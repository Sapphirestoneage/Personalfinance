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10.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01 Paycheck" sheetId="2" state="visible" r:id="rId4"/>
    <sheet name="02 Refinance" sheetId="3" state="visible" r:id="rId5"/>
    <sheet name="03 Move the Debt" sheetId="4" state="visible" r:id="rId6"/>
    <sheet name="04 Cash or Finance" sheetId="5" state="visible" r:id="rId7"/>
    <sheet name="05 Lump or Payments" sheetId="6" state="visible" r:id="rId8"/>
    <sheet name="06 Cash Ladder" sheetId="7" state="visible" r:id="rId9"/>
    <sheet name="07 Three Paychecks" sheetId="8" state="visible" r:id="rId10"/>
    <sheet name="08 401k Loan" sheetId="9" state="visible" r:id="rId11"/>
    <sheet name="09 Sinking Funds" sheetId="10" state="visible" r:id="rId12"/>
    <sheet name="10 Stay or Move" sheetId="11" state="visible" r:id="rId13"/>
    <sheet name="Tax Table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<sst xmlns="http://schemas.openxmlformats.org/spreadsheetml/2006/main" count="499" uniqueCount="419">
  <si>
    <t xml:space="preserve">SPARKS Toolbox</t>
  </si>
  <si>
    <t xml:space="preserve">Ten money calculators in one workbook. Each tab is one question with a number for an answer.</t>
  </si>
  <si>
    <t xml:space="preserve">HOW IT WORKS</t>
  </si>
  <si>
    <t xml:space="preserve">Type only in the yellow boxes</t>
  </si>
  <si>
    <t xml:space="preserve">Blue numbers on yellow are yours to change. Everything in black is worked out from them and should be left alone.</t>
  </si>
  <si>
    <t xml:space="preserve">The answer is at the top of each tab</t>
  </si>
  <si>
    <t xml:space="preserve">A sentence in plain words, then the figures behind it. Change a yellow box and the sentence changes.</t>
  </si>
  <si>
    <t xml:space="preserve">Empty means not known</t>
  </si>
  <si>
    <t xml:space="preserve">A yellow box marked optional can be left blank. Do not type 0 unless the true figure is zero.</t>
  </si>
  <si>
    <t xml:space="preserve">Every tab opens with example numbers</t>
  </si>
  <si>
    <t xml:space="preserve">They are nobody's real numbers. Type over them with yours.</t>
  </si>
  <si>
    <t xml:space="preserve">Percentages are typed as percentages</t>
  </si>
  <si>
    <t xml:space="preserve">Type 7 in a rate box and it reads 7.00%. Money is typed in dollars.</t>
  </si>
  <si>
    <t xml:space="preserve">Estimates, not advice</t>
  </si>
  <si>
    <t xml:space="preserve">Taxes use the 2026 federal tables on the Tax Tables tab, marked unverified. No state schedules, no credits. A tool that says a bill is coming is a reason to check, not a return.</t>
  </si>
  <si>
    <t xml:space="preserve">LEGEND</t>
  </si>
  <si>
    <t xml:space="preserve">A number you type. Blue, on yellow.</t>
  </si>
  <si>
    <t xml:space="preserve">A number the sheet works out. Black. Leave it.</t>
  </si>
  <si>
    <t xml:space="preserve">The figure that answers the question. Bold, shaded.</t>
  </si>
  <si>
    <t xml:space="preserve">THE TEN TOOLS</t>
  </si>
  <si>
    <t xml:space="preserve">Paycheck Check</t>
  </si>
  <si>
    <t xml:space="preserve">Is the withholding on this paystub right? Refund or bill in April, and the change per check.</t>
  </si>
  <si>
    <t xml:space="preserve">Refinance</t>
  </si>
  <si>
    <t xml:space="preserve">Is a new loan worth its closing costs? Three paths to the last payment.</t>
  </si>
  <si>
    <t xml:space="preserve">Move the Debt</t>
  </si>
  <si>
    <t xml:space="preserve">A balance transfer or a consolidation loan against staying put.</t>
  </si>
  <si>
    <t xml:space="preserve">Pay Cash or Finance</t>
  </si>
  <si>
    <t xml:space="preserve">0% for 24 months, or a discount for cash: which leaves you richer?</t>
  </si>
  <si>
    <t xml:space="preserve">Lump Sum or Payments</t>
  </si>
  <si>
    <t xml:space="preserve">A pension buyout or severance: the return the payments promise, the age the lump runs out.</t>
  </si>
  <si>
    <t xml:space="preserve">Cash Ladder</t>
  </si>
  <si>
    <t xml:space="preserve">CDs or Treasury bills in rungs against one savings account.</t>
  </si>
  <si>
    <t xml:space="preserve">Three Paychecks</t>
  </si>
  <si>
    <t xml:space="preserve">Which months hold a third check, and the budget that never counts on it.</t>
  </si>
  <si>
    <t xml:space="preserve">Borrow From Yourself</t>
  </si>
  <si>
    <t xml:space="preserve">What a 401(k) loan really costs, and the bill if you leave the job.</t>
  </si>
  <si>
    <t xml:space="preserve">Sinking Funds</t>
  </si>
  <si>
    <t xml:space="preserve">The yearly bills, spread into a monthly set-aside.</t>
  </si>
  <si>
    <t xml:space="preserve">Stay or Move</t>
  </si>
  <si>
    <t xml:space="preserve">The rent went up: stay, or move, and the counter-offer.</t>
  </si>
  <si>
    <t xml:space="preserve">Tax Tables</t>
  </si>
  <si>
    <t xml:space="preserve">The 2026 federal brackets, standard deductions, payroll tax rates and 401(k) loan limits the tools read. Change a figure here and every tool follows.</t>
  </si>
  <si>
    <t xml:space="preserve">Built from the SPARKS Toolbox (toolbox/), 2026-09-26. The same maths as the web tools; the web tools are the reference.</t>
  </si>
  <si>
    <t xml:space="preserve">One paystub, read as a year. Is the withholding on track, or is April a refund or a bill? Type the lines off one check; every check is assumed to look like it.</t>
  </si>
  <si>
    <t xml:space="preserve">ONE PAYSTUB</t>
  </si>
  <si>
    <t xml:space="preserve">Gross pay, this check</t>
  </si>
  <si>
    <t xml:space="preserve">Before anything comes out.</t>
  </si>
  <si>
    <t xml:space="preserve">Paid</t>
  </si>
  <si>
    <t xml:space="preserve">Every two weeks</t>
  </si>
  <si>
    <t xml:space="preserve">Pick from the list.</t>
  </si>
  <si>
    <t xml:space="preserve">Federal income tax withheld, this check</t>
  </si>
  <si>
    <t xml:space="preserve">The federal line on the stub.</t>
  </si>
  <si>
    <t xml:space="preserve">401(k) or other pre-tax, this check</t>
  </si>
  <si>
    <t xml:space="preserve">0 if none. Comes off before federal tax, not before payroll tax.</t>
  </si>
  <si>
    <t xml:space="preserve">Health, HSA, FSA premiums, this check</t>
  </si>
  <si>
    <t xml:space="preserve">0 if none. Comes off before federal and payroll tax.</t>
  </si>
  <si>
    <t xml:space="preserve">Social Security + Medicare withheld (optional)</t>
  </si>
  <si>
    <t xml:space="preserve">Type it to check it. Leave blank to skip.</t>
  </si>
  <si>
    <t xml:space="preserve">YOU</t>
  </si>
  <si>
    <t xml:space="preserve">Filing status</t>
  </si>
  <si>
    <t xml:space="preserve">Single</t>
  </si>
  <si>
    <t xml:space="preserve">State income tax rate, flat (optional)</t>
  </si>
  <si>
    <t xml:space="preserve">A single rate is a rough stand-in for a state schedule. 0 in a state with no income tax.</t>
  </si>
  <si>
    <t xml:space="preserve">State tax withheld, this check (optional)</t>
  </si>
  <si>
    <t xml:space="preserve">Checks already received this year</t>
  </si>
  <si>
    <t xml:space="preserve">0 in January.</t>
  </si>
  <si>
    <t xml:space="preserve">Other income this year with no withholding</t>
  </si>
  <si>
    <t xml:space="preserve">Interest, a side gig.</t>
  </si>
  <si>
    <t xml:space="preserve">THE ANSWER</t>
  </si>
  <si>
    <t xml:space="preserve">THE YEAR, READ FROM THIS CHECK</t>
  </si>
  <si>
    <t xml:space="preserve">Checks a year</t>
  </si>
  <si>
    <t xml:space="preserve">Checks left this year</t>
  </si>
  <si>
    <t xml:space="preserve">Gross for the year</t>
  </si>
  <si>
    <t xml:space="preserve">Wages for federal tax</t>
  </si>
  <si>
    <t xml:space="preserve">After both kinds of deduction, plus other income.</t>
  </si>
  <si>
    <t xml:space="preserve">Wages for payroll tax</t>
  </si>
  <si>
    <t xml:space="preserve">Only the premiums come off.</t>
  </si>
  <si>
    <t xml:space="preserve">Standard deduction</t>
  </si>
  <si>
    <t xml:space="preserve">From Tax Tables.</t>
  </si>
  <si>
    <t xml:space="preserve">Federal taxable income</t>
  </si>
  <si>
    <t xml:space="preserve">Federal tax for the year</t>
  </si>
  <si>
    <t xml:space="preserve">The bracket ladder on Tax Tables. No credits.</t>
  </si>
  <si>
    <t xml:space="preserve">Rate on the next dollar</t>
  </si>
  <si>
    <t xml:space="preserve">Withheld for the year, at this check's rate</t>
  </si>
  <si>
    <t xml:space="preserve">April: tax less withholding</t>
  </si>
  <si>
    <t xml:space="preserve">Positive: you will owe. Negative: a refund.</t>
  </si>
  <si>
    <t xml:space="preserve">Change per remaining check to land at zero</t>
  </si>
  <si>
    <t xml:space="preserve">Add this to line 4(c) of the W-4 (or reduce withholding by it if negative).</t>
  </si>
  <si>
    <t xml:space="preserve">PAYROLL TAX, CHECKED</t>
  </si>
  <si>
    <t xml:space="preserve">Social Security + Medicare for the year</t>
  </si>
  <si>
    <t xml:space="preserve">Per check, expected</t>
  </si>
  <si>
    <t xml:space="preserve">Yours against expected</t>
  </si>
  <si>
    <t xml:space="preserve">Past the Social Security wage base late in the year, less is normal.</t>
  </si>
  <si>
    <t xml:space="preserve">Take-home per check</t>
  </si>
  <si>
    <t xml:space="preserve">STATE, ROUGHLY</t>
  </si>
  <si>
    <t xml:space="preserve">State tax for the year at the flat rate</t>
  </si>
  <si>
    <t xml:space="preserve">Federal taxable income times the flat rate. A stand-in, not a schedule.</t>
  </si>
  <si>
    <t xml:space="preserve">State withheld for the year</t>
  </si>
  <si>
    <t xml:space="preserve">State, in April</t>
  </si>
  <si>
    <t xml:space="preserve">Positive: owe. Negative: refund.</t>
  </si>
  <si>
    <t xml:space="preserve">Every check is assumed to look like this one. The year's federal tax is the 2026 bracket ladder on the wages after the pre-tax deductions and the standard deduction; no credits, no itemising. Payroll tax is Social Security up to the wage base plus Medicare. An estimate, not a return; the W-4 is where the change is made. Under-withholding by more than 10% of the tax can carry a penalty: the safe harbours are 90% of this year's tax or 100% of last year's.</t>
  </si>
  <si>
    <t xml:space="preserve">Is the new loan worth its closing costs? Any loan: a mortgage, a car, a student loan. Three paths costed to the last payment, and the month the saving has paid the costs back.</t>
  </si>
  <si>
    <t xml:space="preserve">THE LOAN YOU HAVE</t>
  </si>
  <si>
    <t xml:space="preserve">Balance left</t>
  </si>
  <si>
    <t xml:space="preserve">Rate now</t>
  </si>
  <si>
    <t xml:space="preserve">Months left</t>
  </si>
  <si>
    <t xml:space="preserve">Or leave it and type the payment below.</t>
  </si>
  <si>
    <t xml:space="preserve">Payment now (optional)</t>
  </si>
  <si>
    <t xml:space="preserve">If typed, it is used instead of the months left.</t>
  </si>
  <si>
    <t xml:space="preserve">THE LOAN ON OFFER</t>
  </si>
  <si>
    <t xml:space="preserve">New rate</t>
  </si>
  <si>
    <t xml:space="preserve">New term, months</t>
  </si>
  <si>
    <t xml:space="preserve">Closing costs</t>
  </si>
  <si>
    <t xml:space="preserve">Roll the closing costs into the new balance?</t>
  </si>
  <si>
    <t xml:space="preserve">No</t>
  </si>
  <si>
    <t xml:space="preserve">Yes or No.</t>
  </si>
  <si>
    <t xml:space="preserve">KEEP THE LOAN YOU HAVE</t>
  </si>
  <si>
    <t xml:space="preserve">Payment now</t>
  </si>
  <si>
    <t xml:space="preserve">The level payment for the rate and months, unless you typed one.</t>
  </si>
  <si>
    <t xml:space="preserve">Months to the last payment</t>
  </si>
  <si>
    <t xml:space="preserve">Paid in all</t>
  </si>
  <si>
    <t xml:space="preserve">Of which interest</t>
  </si>
  <si>
    <t xml:space="preserve">TAKE THE NEW LOAN</t>
  </si>
  <si>
    <t xml:space="preserve">New balance</t>
  </si>
  <si>
    <t xml:space="preserve">New payment</t>
  </si>
  <si>
    <t xml:space="preserve">Paid in all, closing costs included</t>
  </si>
  <si>
    <t xml:space="preserve">Of which interest and costs</t>
  </si>
  <si>
    <t xml:space="preserve">Monthly saving</t>
  </si>
  <si>
    <t xml:space="preserve">Negative: the new payment is higher.</t>
  </si>
  <si>
    <t xml:space="preserve">Break-even</t>
  </si>
  <si>
    <t xml:space="preserve">Months for the saving to pay back the closing costs.</t>
  </si>
  <si>
    <t xml:space="preserve">Lifetime difference against keeping the loan</t>
  </si>
  <si>
    <t xml:space="preserve">Negative: the new loan costs less over its life.</t>
  </si>
  <si>
    <t xml:space="preserve">NEW LOAN, KEEP PAYING THE OLD AMOUNT</t>
  </si>
  <si>
    <t xml:space="preserve">The lower rate with the same payment clears it sooner.</t>
  </si>
  <si>
    <t xml:space="preserve">Cheapest path</t>
  </si>
  <si>
    <t xml:space="preserve">The payment on each loan is the level payment for its rate and term. Closing costs count in the new loan's cost whether paid up front or rolled in. A lower payment on a longer term is the trap this tab exists to show: the payment falls and the lifetime cost rises. Taxes, escrow, insurance and points are not modelled.</t>
  </si>
  <si>
    <t xml:space="preserve">BALANCE LEFT, YEAR BY YEAR</t>
  </si>
  <si>
    <t xml:space="preserve">Years from now</t>
  </si>
  <si>
    <t xml:space="preserve">Keep the loan</t>
  </si>
  <si>
    <t xml:space="preserve">Take the new loan</t>
  </si>
  <si>
    <t xml:space="preserve">A balance transfer or a consolidation loan against leaving it where it is. Three paths, each run to the last payment. The cost of a path is everything paid minus the balance itself: interest plus fees.</t>
  </si>
  <si>
    <t xml:space="preserve">THE DEBT</t>
  </si>
  <si>
    <t xml:space="preserve">Balance</t>
  </si>
  <si>
    <t xml:space="preserve">APR now</t>
  </si>
  <si>
    <t xml:space="preserve">What you can pay a month</t>
  </si>
  <si>
    <t xml:space="preserve">A BALANCE TRANSFER CARD (leave blank if none)</t>
  </si>
  <si>
    <t xml:space="preserve">Transfer fee</t>
  </si>
  <si>
    <t xml:space="preserve">Goes onto the balance.</t>
  </si>
  <si>
    <t xml:space="preserve">Promo, months at 0%</t>
  </si>
  <si>
    <t xml:space="preserve">APR after the promo</t>
  </si>
  <si>
    <t xml:space="preserve">A CONSOLIDATION LOAN (leave blank if none)</t>
  </si>
  <si>
    <t xml:space="preserve">Loan APR</t>
  </si>
  <si>
    <t xml:space="preserve">Term, months</t>
  </si>
  <si>
    <t xml:space="preserve">Origination fee</t>
  </si>
  <si>
    <t xml:space="preserve">Added to the loan.</t>
  </si>
  <si>
    <t xml:space="preserve">STAY WHERE IT IS</t>
  </si>
  <si>
    <t xml:space="preserve">Months to clear</t>
  </si>
  <si>
    <t xml:space="preserve">Cost: interest</t>
  </si>
  <si>
    <t xml:space="preserve">BALANCE TRANSFER</t>
  </si>
  <si>
    <t xml:space="preserve">Balance after the fee</t>
  </si>
  <si>
    <t xml:space="preserve">Payment that clears it inside the promo</t>
  </si>
  <si>
    <t xml:space="preserve">The number that matters.</t>
  </si>
  <si>
    <t xml:space="preserve">Left when the promo ends, at your payment</t>
  </si>
  <si>
    <t xml:space="preserve">Cost: interest and fee</t>
  </si>
  <si>
    <t xml:space="preserve">CONSOLIDATION LOAN</t>
  </si>
  <si>
    <t xml:space="preserve">Loan amount with the fee</t>
  </si>
  <si>
    <t xml:space="preserve">Its payment</t>
  </si>
  <si>
    <t xml:space="preserve">Against what you can pay</t>
  </si>
  <si>
    <t xml:space="preserve">Saves against staying</t>
  </si>
  <si>
    <t xml:space="preserve">The transfer fee goes onto the balance; the promo is taken at 0% and the after-rate applies to whatever is left. The trap is not in the arithmetic: a card moved to 0% is an empty card, and if it fills again you have two balances. Close it, freeze it, or cut it up. Minimum payments, late fees and credit score effects are not modelled.</t>
  </si>
  <si>
    <t xml:space="preserve">The shop offers 0% for two years, or a little off for cash. Which leaves you with more after the last payment? You are assumed to hold the price in cash.</t>
  </si>
  <si>
    <t xml:space="preserve">THE THING, AND THE TWO WAYS TO PAY</t>
  </si>
  <si>
    <t xml:space="preserve">Price</t>
  </si>
  <si>
    <t xml:space="preserve">Discount for paying cash</t>
  </si>
  <si>
    <t xml:space="preserve">0 if none.</t>
  </si>
  <si>
    <t xml:space="preserve">Financing APR</t>
  </si>
  <si>
    <t xml:space="preserve">0 for a 0% offer.</t>
  </si>
  <si>
    <t xml:space="preserve">Months of payments</t>
  </si>
  <si>
    <t xml:space="preserve">Any fee to finance</t>
  </si>
  <si>
    <t xml:space="preserve">What your cash earns where it sits</t>
  </si>
  <si>
    <t xml:space="preserve">The savings account rate, usually.</t>
  </si>
  <si>
    <t xml:space="preserve">Is it a "no interest if paid in full by" plan?</t>
  </si>
  <si>
    <t xml:space="preserve">Yes</t>
  </si>
  <si>
    <t xml:space="preserve">Deferred interest. Yes or No.</t>
  </si>
  <si>
    <t xml:space="preserve">The rate on the fine print</t>
  </si>
  <si>
    <t xml:space="preserve">Only used if the answer above is Yes.</t>
  </si>
  <si>
    <t xml:space="preserve">THE TWO PATHS</t>
  </si>
  <si>
    <t xml:space="preserve">Cash price after the discount</t>
  </si>
  <si>
    <t xml:space="preserve">Monthly payment</t>
  </si>
  <si>
    <t xml:space="preserve">Interest and fees on the financing</t>
  </si>
  <si>
    <t xml:space="preserve">Pay cash: left in the account after the last month</t>
  </si>
  <si>
    <t xml:space="preserve">The discount, kept and growing.</t>
  </si>
  <si>
    <t xml:space="preserve">Finance: left in the account after the last payment</t>
  </si>
  <si>
    <t xml:space="preserve">The cash keeps earning while a payment leaves each month (a positive pmt in FV is money coming out).</t>
  </si>
  <si>
    <t xml:space="preserve">Earned by your cash while the payments run</t>
  </si>
  <si>
    <t xml:space="preserve">Financing leaves you ahead by</t>
  </si>
  <si>
    <t xml:space="preserve">Negative: paying cash leaves you ahead.</t>
  </si>
  <si>
    <t xml:space="preserve">Back interest if a deferred payment slips</t>
  </si>
  <si>
    <t xml:space="preserve">Charged from day one at the fine-print rate if a single payment is late or any balance remains at the end.</t>
  </si>
  <si>
    <t xml:space="preserve">Paying cash: the discount stays in the account and earns the parked rate. Financing: the account keeps earning while a payment leaves it each month and any fee leaves at once. Whichever leaves more in the account after the last payment won. With a deferred-interest plan, set the payments to autopay and finish a month early.</t>
  </si>
  <si>
    <t xml:space="preserve">One amount now, or so much a month for life. What return are the payments quietly promising, and how long would the lump sum last if you took it? Nothing here knows how long you will live; the age you plan to is the whole of that assumption.</t>
  </si>
  <si>
    <t xml:space="preserve">THE TWO OFFERS</t>
  </si>
  <si>
    <t xml:space="preserve">The lump sum, today</t>
  </si>
  <si>
    <t xml:space="preserve">Or, a month</t>
  </si>
  <si>
    <t xml:space="preserve">Payments rise each year by</t>
  </si>
  <si>
    <t xml:space="preserve">0 if fixed.</t>
  </si>
  <si>
    <t xml:space="preserve">Payments start at age (optional)</t>
  </si>
  <si>
    <t xml:space="preserve">Blank: they start now.</t>
  </si>
  <si>
    <t xml:space="preserve">Your age</t>
  </si>
  <si>
    <t xml:space="preserve">Plan to age</t>
  </si>
  <si>
    <t xml:space="preserve">Return you would earn on the lump</t>
  </si>
  <si>
    <t xml:space="preserve">THE TWO READINGS</t>
  </si>
  <si>
    <t xml:space="preserve">Payments start at</t>
  </si>
  <si>
    <t xml:space="preserve">Payments received by the planning age</t>
  </si>
  <si>
    <t xml:space="preserve">From the year table below.</t>
  </si>
  <si>
    <t xml:space="preserve">Years of payments to equal the lump</t>
  </si>
  <si>
    <t xml:space="preserve">Ignoring returns.</t>
  </si>
  <si>
    <t xml:space="preserve">Implied return of the payments</t>
  </si>
  <si>
    <t xml:space="preserve">The yearly return the lump would have to earn to fund exactly these payments to the planning age.</t>
  </si>
  <si>
    <t xml:space="preserve">Lump sum runs out around age</t>
  </si>
  <si>
    <t xml:space="preserve">Invested at your rate, drawn at the monthly amount from the start age.</t>
  </si>
  <si>
    <t xml:space="preserve">Left at the planning age if you take the lump</t>
  </si>
  <si>
    <t xml:space="preserve">Payments for life are insurance against living long; a lump sum is a bet that you will not, or that you can earn more than the implied return. Someone in good health with long-lived parents should lean to the payments; someone who needs the money flexible, or has heirs, to the lump. Also ask who stands behind the payments. Tax is not modelled: a lump rolled to an IRA is not taxed on arrival; a payment is taxed as it comes.</t>
  </si>
  <si>
    <t xml:space="preserve">YEAR BY YEAR</t>
  </si>
  <si>
    <t xml:space="preserve">Year</t>
  </si>
  <si>
    <t xml:space="preserve">Age</t>
  </si>
  <si>
    <t xml:space="preserve">Payments that year</t>
  </si>
  <si>
    <t xml:space="preserve">Cash flow for the return</t>
  </si>
  <si>
    <t xml:space="preserve">Lump sum left, at your rate</t>
  </si>
  <si>
    <t xml:space="preserve">Cash you will not need this month, split across CDs or Treasury bills that mature at different times, against leaving it all in the savings account.</t>
  </si>
  <si>
    <t xml:space="preserve">THE CASH, AND WHERE IT SITS NOW</t>
  </si>
  <si>
    <t xml:space="preserve">Cash to place</t>
  </si>
  <si>
    <t xml:space="preserve">Savings account rate</t>
  </si>
  <si>
    <t xml:space="preserve">Treasury bills? (no state income tax)</t>
  </si>
  <si>
    <t xml:space="preserve">Your state income tax rate</t>
  </si>
  <si>
    <t xml:space="preserve">Used only for Treasuries.</t>
  </si>
  <si>
    <t xml:space="preserve">Start date</t>
  </si>
  <si>
    <t xml:space="preserve">THE RUNGS (type a term and a rate; leave a row blank to skip it)</t>
  </si>
  <si>
    <t xml:space="preserve">Rung</t>
  </si>
  <si>
    <t xml:space="preserve">Months</t>
  </si>
  <si>
    <t xml:space="preserve">Rate</t>
  </si>
  <si>
    <t xml:space="preserve">Share (optional)</t>
  </si>
  <si>
    <t xml:space="preserve">Amount</t>
  </si>
  <si>
    <t xml:space="preserve">Matures on</t>
  </si>
  <si>
    <t xml:space="preserve">Interest to maturity</t>
  </si>
  <si>
    <t xml:space="preserve">Tax-equivalent rate</t>
  </si>
  <si>
    <t xml:space="preserve">Rung 1</t>
  </si>
  <si>
    <t xml:space="preserve">Rung 2</t>
  </si>
  <si>
    <t xml:space="preserve">Rung 3</t>
  </si>
  <si>
    <t xml:space="preserve">Rung 4</t>
  </si>
  <si>
    <t xml:space="preserve">THE WHOLE</t>
  </si>
  <si>
    <t xml:space="preserve">Blended rate</t>
  </si>
  <si>
    <t xml:space="preserve">Blended tax-equivalent rate</t>
  </si>
  <si>
    <t xml:space="preserve">What a taxable account would have to pay to match a Treasury, given state tax.</t>
  </si>
  <si>
    <t xml:space="preserve">Average months locked</t>
  </si>
  <si>
    <t xml:space="preserve">First rung unlocks</t>
  </si>
  <si>
    <t xml:space="preserve">Interest by the last maturity, ladder</t>
  </si>
  <si>
    <t xml:space="preserve">Same money in the account, same dates</t>
  </si>
  <si>
    <t xml:space="preserve">A year of the ladder against the account</t>
  </si>
  <si>
    <t xml:space="preserve">Positive: the ladder earns more.</t>
  </si>
  <si>
    <t xml:space="preserve">Each rung earns simple interest to its maturity. A Treasury's interest is exempt from state income tax and a savings account's is not, so the comparison uses the tax-equivalent rate when the rungs are Treasuries. A ladder is a promise not to touch the money: keep what you might need before the first rung matures in the account. When a rung matures, roll it to the longest term and the ladder keeps unlocking. Early withdrawal penalties, reinvestment and federal tax are not modelled.</t>
  </si>
  <si>
    <t xml:space="preserve">Paid every two weeks, two months a year hold a third check; paid weekly, four months hold a fifth. Here are the months, the amount, and the budget that never counts on it.</t>
  </si>
  <si>
    <t xml:space="preserve">HOW YOU ARE PAID</t>
  </si>
  <si>
    <t xml:space="preserve">Payday list (helper)</t>
  </si>
  <si>
    <t xml:space="preserve">How often</t>
  </si>
  <si>
    <t xml:space="preserve">Next payday</t>
  </si>
  <si>
    <t xml:space="preserve">Net pay per check</t>
  </si>
  <si>
    <t xml:space="preserve">THE NUMBERS</t>
  </si>
  <si>
    <t xml:space="preserve">Days between paydays</t>
  </si>
  <si>
    <t xml:space="preserve">0 means there is no extra month.</t>
  </si>
  <si>
    <t xml:space="preserve">Checks in a normal month</t>
  </si>
  <si>
    <t xml:space="preserve">Extra checks a year</t>
  </si>
  <si>
    <t xml:space="preserve">Build the month on</t>
  </si>
  <si>
    <t xml:space="preserve">The normal count of checks.</t>
  </si>
  <si>
    <t xml:space="preserve">The extra checks are worth</t>
  </si>
  <si>
    <t xml:space="preserve">A year, free to go somewhere on purpose.</t>
  </si>
  <si>
    <t xml:space="preserve">Spread over the year, a month</t>
  </si>
  <si>
    <t xml:space="preserve">Take-home for the year</t>
  </si>
  <si>
    <t xml:space="preserve">THE NEXT TWELVE MONTHS</t>
  </si>
  <si>
    <t xml:space="preserve">Month</t>
  </si>
  <si>
    <t xml:space="preserve">Paydays</t>
  </si>
  <si>
    <t xml:space="preserve">Extra checks</t>
  </si>
  <si>
    <t xml:space="preserve">Extra pay</t>
  </si>
  <si>
    <t xml:space="preserve">Months with an extra check</t>
  </si>
  <si>
    <t xml:space="preserve">The months are counted from your next payday forward, in the helper list to the right. A payday that falls on a weekend or holiday and is paid early may shift a month by one check. Decide now where the extra goes: the whole check to the highest-rate debt, to the cushion, or to the sinking funds. A standing rule beats a good intention.</t>
  </si>
  <si>
    <t xml:space="preserve">A 401(k) loan pays its interest back to you, which makes it look free. It is not: its cost is what the money did not earn while it was out. Here is that number, and what it costs if you leave the job.</t>
  </si>
  <si>
    <t xml:space="preserve">THE LOAN</t>
  </si>
  <si>
    <t xml:space="preserve">Borrow</t>
  </si>
  <si>
    <t xml:space="preserve">Vested balance in the plan</t>
  </si>
  <si>
    <t xml:space="preserve">Loan rate</t>
  </si>
  <si>
    <t xml:space="preserve">Usually prime plus one or two.</t>
  </si>
  <si>
    <t xml:space="preserve">Repay over, months</t>
  </si>
  <si>
    <t xml:space="preserve">Up to 60 by law, except a first home.</t>
  </si>
  <si>
    <t xml:space="preserve">Return the plan would earn</t>
  </si>
  <si>
    <t xml:space="preserve">Contributions you would pause, a month</t>
  </si>
  <si>
    <t xml:space="preserve">THE TWO RISKS</t>
  </si>
  <si>
    <t xml:space="preserve">Your marginal tax rate</t>
  </si>
  <si>
    <t xml:space="preserve">If you left the job after, months</t>
  </si>
  <si>
    <t xml:space="preserve">Blank to skip.</t>
  </si>
  <si>
    <t xml:space="preserve">THE ALTERNATIVE</t>
  </si>
  <si>
    <t xml:space="preserve">A personal loan at</t>
  </si>
  <si>
    <t xml:space="preserve">WHAT IT COSTS</t>
  </si>
  <si>
    <t xml:space="preserve">Most the plan can lend</t>
  </si>
  <si>
    <t xml:space="preserve">The lesser of $50,000 and half the vested balance (Tax Tables).</t>
  </si>
  <si>
    <t xml:space="preserve">Inside the limits?</t>
  </si>
  <si>
    <t xml:space="preserve">Interest, paid to yourself</t>
  </si>
  <si>
    <t xml:space="preserve">Left in the plan, the loan would have grown to</t>
  </si>
  <si>
    <t xml:space="preserve">Paid back a month at a time, it grows to</t>
  </si>
  <si>
    <t xml:space="preserve">Each payment lands and grows from then.</t>
  </si>
  <si>
    <t xml:space="preserve">Growth the borrowed money misses</t>
  </si>
  <si>
    <t xml:space="preserve">Can be negative when the loan rate beats the plan return.</t>
  </si>
  <si>
    <t xml:space="preserve">Paused contributions, at what they would be worth</t>
  </si>
  <si>
    <t xml:space="preserve">Cost of the plan loan</t>
  </si>
  <si>
    <t xml:space="preserve">IF YOU LEAVE THE JOB</t>
  </si>
  <si>
    <t xml:space="preserve">Still owed at that point</t>
  </si>
  <si>
    <t xml:space="preserve">Income tax on it</t>
  </si>
  <si>
    <t xml:space="preserve">If not repaid by the tax deadline it becomes a withdrawal.</t>
  </si>
  <si>
    <t xml:space="preserve">Penalty</t>
  </si>
  <si>
    <t xml:space="preserve">Before 59 and a half.</t>
  </si>
  <si>
    <t xml:space="preserve">The bill</t>
  </si>
  <si>
    <t xml:space="preserve">On money that is also gone from the plan.</t>
  </si>
  <si>
    <t xml:space="preserve">Personal loan payment</t>
  </si>
  <si>
    <t xml:space="preserve">Its interest, paid to a lender</t>
  </si>
  <si>
    <t xml:space="preserve">Cheaper</t>
  </si>
  <si>
    <t xml:space="preserve">A lost employer match is not counted and would make it worse. On leaving a job the unpaid balance is due; a plan may allow rolling the offset amount to an IRA by the tax deadline. The limits are on the Tax Tables tab; a plan may set tighter ones and the plan document wins.</t>
  </si>
  <si>
    <t xml:space="preserve">The bills that come once or twice a year and always feel like a surprise. Spread into a monthly amount, with what the fund should already hold today and what lands in each of the next twelve months.</t>
  </si>
  <si>
    <t xml:space="preserve">TODAY</t>
  </si>
  <si>
    <t xml:space="preserve">Today</t>
  </si>
  <si>
    <t xml:space="preserve">Left as a formula, this is always today. Type a date to fix it.</t>
  </si>
  <si>
    <t xml:space="preserve">THE BILLS (type up to fifteen; leave a row blank to skip it)</t>
  </si>
  <si>
    <t xml:space="preserve">Bill</t>
  </si>
  <si>
    <t xml:space="preserve">Every (months)</t>
  </si>
  <si>
    <t xml:space="preserve">Next due</t>
  </si>
  <si>
    <t xml:space="preserve">A month</t>
  </si>
  <si>
    <t xml:space="preserve">Hold now</t>
  </si>
  <si>
    <t xml:space="preserve">A year</t>
  </si>
  <si>
    <t xml:space="preserve">Every, or 1 (helper)</t>
  </si>
  <si>
    <t xml:space="preserve">Car insurance</t>
  </si>
  <si>
    <t xml:space="preserve">Holidays and gifts</t>
  </si>
  <si>
    <t xml:space="preserve">Property tax</t>
  </si>
  <si>
    <t xml:space="preserve">Tyres</t>
  </si>
  <si>
    <t xml:space="preserve">Vet, the yearly visit</t>
  </si>
  <si>
    <t xml:space="preserve">All bills</t>
  </si>
  <si>
    <t xml:space="preserve">Lands</t>
  </si>
  <si>
    <t xml:space="preserve">Fund after</t>
  </si>
  <si>
    <t xml:space="preserve">Set aside</t>
  </si>
  <si>
    <t xml:space="preserve">Lowest the fund gets</t>
  </si>
  <si>
    <t xml:space="preserve">Start with this much if it runs short</t>
  </si>
  <si>
    <t xml:space="preserve">Each bill's set-aside is its amount over the months between one and the next. What the fund should hold today is the share of each bill that has accrued since the last one: a yearly bill due next month is nearly all owed already. The months ahead start from that amount, add the set-aside and take out what lands.</t>
  </si>
  <si>
    <t xml:space="preserve">The renewal letter came. Over the lease you would sign, does moving pay for itself? And the one number to take back to the landlord.</t>
  </si>
  <si>
    <t xml:space="preserve">THE RENTS</t>
  </si>
  <si>
    <t xml:space="preserve">Rent now</t>
  </si>
  <si>
    <t xml:space="preserve">Rent if you stay</t>
  </si>
  <si>
    <t xml:space="preserve">The renewal letter.</t>
  </si>
  <si>
    <t xml:space="preserve">Rent at the new place</t>
  </si>
  <si>
    <t xml:space="preserve">WHAT MOVING COSTS, ONCE</t>
  </si>
  <si>
    <t xml:space="preserve">Movers, truck, boxes</t>
  </si>
  <si>
    <t xml:space="preserve">Fees and deposit you will not see again</t>
  </si>
  <si>
    <t xml:space="preserve">A returned deposit is not a cost.</t>
  </si>
  <si>
    <t xml:space="preserve">Overlap rent, time off, the rest</t>
  </si>
  <si>
    <t xml:space="preserve">WHAT CHANGES EVERY MONTH</t>
  </si>
  <si>
    <t xml:space="preserve">Commute, more (+) or less (-) a month</t>
  </si>
  <si>
    <t xml:space="preserve">Utilities, parking, the rest, + or -</t>
  </si>
  <si>
    <t xml:space="preserve">Lease you would sign, months</t>
  </si>
  <si>
    <t xml:space="preserve">The rise</t>
  </si>
  <si>
    <t xml:space="preserve">Moving, once</t>
  </si>
  <si>
    <t xml:space="preserve">The new place, a month, all in</t>
  </si>
  <si>
    <t xml:space="preserve">Moving saves, a month</t>
  </si>
  <si>
    <t xml:space="preserve">Negative: the new place costs more once everything is counted.</t>
  </si>
  <si>
    <t xml:space="preserve">Months for the saving to pay back the moving costs.</t>
  </si>
  <si>
    <t xml:space="preserve">Stay: cost over the lease</t>
  </si>
  <si>
    <t xml:space="preserve">Move: cost over the lease, moving included</t>
  </si>
  <si>
    <t xml:space="preserve">Moving saves over the lease</t>
  </si>
  <si>
    <t xml:space="preserve">Negative: staying is cheaper.</t>
  </si>
  <si>
    <t xml:space="preserve">The counter-offer</t>
  </si>
  <si>
    <t xml:space="preserve">The rent at which staying costs exactly what moving does. Anything under it and you are ahead staying.</t>
  </si>
  <si>
    <t xml:space="preserve">Both paths are summed over the lease term. Staying costs the new rent each month; moving costs the new place's rent plus the monthly changes, plus the one-off costs on day one. An empty month costs the landlord a month of rent, which is why the counter-offer is worth making. The hassle of moving is real and has no box.</t>
  </si>
  <si>
    <t xml:space="preserve">MONTH BY MONTH</t>
  </si>
  <si>
    <t xml:space="preserve">Stay, so far</t>
  </si>
  <si>
    <t xml:space="preserve">Move, so far</t>
  </si>
  <si>
    <t xml:space="preserve">Tax Tables, 2026</t>
  </si>
  <si>
    <t xml:space="preserve">Every figure the tools read, in one place. Change a number here and every tool follows. Source and confidence are stated beside each block.</t>
  </si>
  <si>
    <t xml:space="preserve">FEDERAL BRACKETS (ordinary income)</t>
  </si>
  <si>
    <t xml:space="preserve">Taxable income from</t>
  </si>
  <si>
    <t xml:space="preserve">Rate step</t>
  </si>
  <si>
    <t xml:space="preserve">Note</t>
  </si>
  <si>
    <t xml:space="preserve">Source: Federal ordinary-income brackets and standard deductions for tax year 2026 as announced by the IRS in its annual inflation adjustments (Rev. Proc. 2025-32). Transcribed from memory of the announcement; not yet re-derived against the published text.</t>
  </si>
  <si>
    <t xml:space="preserve">Confidence: unverified. Thresholds have NOT been checked against the IRS revenue procedure line by line. Every room that shows a bracket from this file labels it 'federal only, estimate' until that pass is done (BRIEF §2.4). Marginal bracket only: no credits, no phase-outs, no state.</t>
  </si>
  <si>
    <t xml:space="preserve">Married, joint</t>
  </si>
  <si>
    <t xml:space="preserve">Tax on a taxable income is the sum over rows of (income above the row's "from", if any) times the rate step. That is the bracket ladder in one formula, and it is what 01 Paycheck uses.</t>
  </si>
  <si>
    <t xml:space="preserve">Married, separate</t>
  </si>
  <si>
    <t xml:space="preserve">Head of household</t>
  </si>
  <si>
    <t xml:space="preserve">STANDARD DEDUCTION AND ADDITIONAL MEDICARE THRESHOLD</t>
  </si>
  <si>
    <t xml:space="preserve">Add. Medicare from</t>
  </si>
  <si>
    <t xml:space="preserve">Standard deduction: same source as the brackets. Additional Medicare threshold: Not deductible, and applies to the earnings above the threshold only.</t>
  </si>
  <si>
    <t xml:space="preserve">PAYROLL TAX (what an employee pays)</t>
  </si>
  <si>
    <t xml:space="preserve">Social Security rate, employee</t>
  </si>
  <si>
    <t xml:space="preserve">Half of the 12.4% combined rate; the employer pays the other half.</t>
  </si>
  <si>
    <t xml:space="preserve">Social Security wage base</t>
  </si>
  <si>
    <t xml:space="preserve">rates are statutory and stable; the socialSecurityWageBase is UNVERIFIED for 2026 and is the single figure to check before relying on any output above it</t>
  </si>
  <si>
    <t xml:space="preserve">Medicare rate, employee</t>
  </si>
  <si>
    <t xml:space="preserve">Half of 2.9%. No cap.</t>
  </si>
  <si>
    <t xml:space="preserve">Additional Medicare rate</t>
  </si>
  <si>
    <t xml:space="preserve">On wages above the threshold for the filing status.</t>
  </si>
  <si>
    <t xml:space="preserve">Source: Self-employment tax mechanics: IRC 1401/1402. The 92.35% adjustment, the 15.3% combined rate and the deductible employer-equivalent half are long-standing statute. The wage base is indexed annually and must be re-checked.</t>
  </si>
  <si>
    <t xml:space="preserve">401(k) LOAN RULES</t>
  </si>
  <si>
    <t xml:space="preserve">Most a plan can lend</t>
  </si>
  <si>
    <t xml:space="preserve">Source: Internal Revenue Code section 72(p) for the loan limits and repayment term; section 72(t) for the early-distribution penalty. Statutory figures, not indexed to inflation. Confidence: high. The $50,000 cap, the 50% of vested balance rule, the five-year term and the 10% additional tax before 59 and a half have been unchanged for decades. A plan may set tighter limits than the law; the plan document wins.</t>
  </si>
  <si>
    <t xml:space="preserve">Or this share of the vested balance</t>
  </si>
  <si>
    <t xml:space="preserve">Small-balance floor</t>
  </si>
  <si>
    <t xml:space="preserve">Longest term, months</t>
  </si>
  <si>
    <t xml:space="preserve">Early withdrawal penalty</t>
  </si>
  <si>
    <t xml:space="preserve">Penalty stops at age</t>
  </si>
  <si>
    <t xml:space="preserve">PAY FREQUENCY</t>
  </si>
  <si>
    <t xml:space="preserve">In a normal month</t>
  </si>
  <si>
    <t xml:space="preserve">Every week</t>
  </si>
  <si>
    <t xml:space="preserve">Twice a month</t>
  </si>
  <si>
    <t xml:space="preserve">Once a month</t>
  </si>
</sst>
</file>

<file path=xl/styles.xml><?xml version="1.0" encoding="utf-8"?>
<styleSheet xmlns="http://schemas.openxmlformats.org/spreadsheetml/2006/main">
  <numFmts count="11">
    <numFmt numFmtId="164" formatCode="General"/>
    <numFmt numFmtId="165" formatCode="\$#,##0;&quot;($&quot;#,##0\);\-"/>
    <numFmt numFmtId="166" formatCode="\$#,##0.00;&quot;($&quot;#,##0.00\);\-"/>
    <numFmt numFmtId="167" formatCode="0.00%"/>
    <numFmt numFmtId="168" formatCode="0"/>
    <numFmt numFmtId="169" formatCode="0.0%"/>
    <numFmt numFmtId="170" formatCode="0.0"/>
    <numFmt numFmtId="171" formatCode="\$#,##0"/>
    <numFmt numFmtId="172" formatCode="mmm\ d&quot;, &quot;yyyy"/>
    <numFmt numFmtId="173" formatCode="mmmm\ yyyy"/>
    <numFmt numFmtId="174" formatCode="mmm\ yyyy"/>
  </numFmts>
  <fonts count="20">
    <font>
      <sz val="11"/>
      <color theme="1"/>
      <name val="Calibri"/>
      <family val="2"/>
      <charset val="1"/>
    </font>
    <font>
      <sz val="10"/>
      <name val="Arial"/>
      <family val="0"/>
    </font>
    <font>
      <sz val="10"/>
      <name val="Arial"/>
      <family val="0"/>
    </font>
    <font>
      <sz val="10"/>
      <name val="Arial"/>
      <family val="0"/>
    </font>
    <font>
      <b val="true"/>
      <sz val="22"/>
      <color rgb="FF1F3A5F"/>
      <name val="Arial"/>
      <family val="0"/>
      <charset val="1"/>
    </font>
    <font>
      <i val="true"/>
      <sz val="10"/>
      <color rgb="FF555555"/>
      <name val="Arial"/>
      <family val="0"/>
      <charset val="1"/>
    </font>
    <font>
      <b val="true"/>
      <sz val="10"/>
      <color rgb="FFFFFFFF"/>
      <name val="Arial"/>
      <family val="0"/>
      <charset val="1"/>
    </font>
    <font>
      <b val="true"/>
      <sz val="10"/>
      <name val="Arial"/>
      <family val="0"/>
      <charset val="1"/>
    </font>
    <font>
      <sz val="10"/>
      <color rgb="FF222222"/>
      <name val="Arial"/>
      <family val="0"/>
      <charset val="1"/>
    </font>
    <font>
      <sz val="10"/>
      <color rgb="FF0000FF"/>
      <name val="Arial"/>
      <family val="0"/>
      <charset val="1"/>
    </font>
    <font>
      <sz val="10"/>
      <color rgb="FF000000"/>
      <name val="Arial"/>
      <family val="0"/>
      <charset val="1"/>
    </font>
    <font>
      <b val="true"/>
      <sz val="11"/>
      <color rgb="FF000000"/>
      <name val="Arial"/>
      <family val="0"/>
      <charset val="1"/>
    </font>
    <font>
      <u val="single"/>
      <sz val="10"/>
      <color rgb="FF0563C1"/>
      <name val="Arial"/>
      <family val="0"/>
      <charset val="1"/>
    </font>
    <font>
      <i val="true"/>
      <sz val="9"/>
      <color rgb="FF666666"/>
      <name val="Arial"/>
      <family val="0"/>
      <charset val="1"/>
    </font>
    <font>
      <b val="true"/>
      <sz val="18"/>
      <color rgb="FF1F3A5F"/>
      <name val="Arial"/>
      <family val="0"/>
      <charset val="1"/>
    </font>
    <font>
      <b val="true"/>
      <sz val="9"/>
      <color rgb="FF888888"/>
      <name val="Arial"/>
      <family val="0"/>
      <charset val="1"/>
    </font>
    <font>
      <b val="true"/>
      <sz val="13"/>
      <color rgb="FF1F3A5F"/>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F3A5F"/>
        <bgColor rgb="FF222222"/>
      </patternFill>
    </fill>
    <fill>
      <patternFill patternType="solid">
        <fgColor rgb="FFFFFFCC"/>
        <bgColor rgb="FFFFFFFF"/>
      </patternFill>
    </fill>
    <fill>
      <patternFill patternType="solid">
        <fgColor rgb="FFEEF3FA"/>
        <bgColor rgb="FFFFFFFF"/>
      </patternFill>
    </fill>
  </fills>
  <borders count="2">
    <border diagonalUp="false" diagonalDown="false">
      <left/>
      <right/>
      <top/>
      <bottom/>
      <diagonal/>
    </border>
    <border diagonalUp="false" diagonalDown="false">
      <left style="thin">
        <color rgb="FFC9D1DC"/>
      </left>
      <right style="thin">
        <color rgb="FFC9D1DC"/>
      </right>
      <top style="thin">
        <color rgb="FFC9D1DC"/>
      </top>
      <bottom style="thin">
        <color rgb="FFC9D1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6" fontId="9" fillId="3" borderId="1" xfId="0" applyFont="true" applyBorder="true" applyAlignment="true" applyProtection="false">
      <alignment horizontal="right"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1" shrinkToFit="false"/>
      <protection locked="true" hidden="false"/>
    </xf>
    <xf numFmtId="164" fontId="9" fillId="3" borderId="1" xfId="0" applyFont="true" applyBorder="true" applyAlignment="true" applyProtection="false">
      <alignment horizontal="right" vertical="bottom" textRotation="0" wrapText="false" indent="0" shrinkToFit="false"/>
      <protection locked="true" hidden="false"/>
    </xf>
    <xf numFmtId="167" fontId="9" fillId="3" borderId="1" xfId="0" applyFont="true" applyBorder="true" applyAlignment="true" applyProtection="false">
      <alignment horizontal="right" vertical="bottom" textRotation="0" wrapText="false" indent="0" shrinkToFit="false"/>
      <protection locked="true" hidden="false"/>
    </xf>
    <xf numFmtId="168" fontId="9" fillId="3" borderId="1" xfId="0" applyFont="true" applyBorder="true" applyAlignment="true" applyProtection="false">
      <alignment horizontal="right" vertical="bottom" textRotation="0" wrapText="false" indent="0" shrinkToFit="false"/>
      <protection locked="true" hidden="false"/>
    </xf>
    <xf numFmtId="165" fontId="9" fillId="3" borderId="1" xfId="0" applyFont="true" applyBorder="true" applyAlignment="true" applyProtection="false">
      <alignment horizontal="right"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4" borderId="0" xfId="0" applyFont="true" applyBorder="true" applyAlignment="true" applyProtection="false">
      <alignment horizontal="general" vertical="center" textRotation="0" wrapText="true" indent="0" shrinkToFit="false"/>
      <protection locked="true" hidden="false"/>
    </xf>
    <xf numFmtId="168" fontId="10" fillId="0" borderId="0" xfId="0" applyFont="true" applyBorder="false" applyAlignment="true" applyProtection="false">
      <alignment horizontal="right" vertical="bottom" textRotation="0" wrapText="false" indent="0" shrinkToFit="false"/>
      <protection locked="true" hidden="false"/>
    </xf>
    <xf numFmtId="165" fontId="10" fillId="0" borderId="0" xfId="0" applyFont="true" applyBorder="false" applyAlignment="true" applyProtection="false">
      <alignment horizontal="right" vertical="bottom" textRotation="0" wrapText="false" indent="0" shrinkToFit="false"/>
      <protection locked="true" hidden="false"/>
    </xf>
    <xf numFmtId="169" fontId="10" fillId="0" borderId="0" xfId="0" applyFont="true" applyBorder="false" applyAlignment="true" applyProtection="false">
      <alignment horizontal="right"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true" applyProtection="false">
      <alignment horizontal="right" vertical="bottom" textRotation="0" wrapText="false" indent="0" shrinkToFit="false"/>
      <protection locked="true" hidden="false"/>
    </xf>
    <xf numFmtId="166" fontId="11" fillId="4" borderId="0" xfId="0" applyFont="true" applyBorder="false" applyAlignment="true" applyProtection="false">
      <alignment horizontal="right" vertical="bottom" textRotation="0" wrapText="false" indent="0" shrinkToFit="false"/>
      <protection locked="true" hidden="false"/>
    </xf>
    <xf numFmtId="166" fontId="10" fillId="0"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70" fontId="10" fillId="0" borderId="0" xfId="0" applyFont="true" applyBorder="false" applyAlignment="true" applyProtection="false">
      <alignment horizontal="right" vertical="bottom" textRotation="0" wrapText="false" indent="0" shrinkToFit="false"/>
      <protection locked="true" hidden="false"/>
    </xf>
    <xf numFmtId="170" fontId="11" fillId="4" borderId="0" xfId="0" applyFont="true" applyBorder="false" applyAlignment="true" applyProtection="false">
      <alignment horizontal="right" vertical="bottom" textRotation="0" wrapText="false" indent="0" shrinkToFit="false"/>
      <protection locked="true" hidden="false"/>
    </xf>
    <xf numFmtId="164" fontId="11" fillId="4" borderId="0" xfId="0" applyFont="true" applyBorder="false" applyAlignment="true" applyProtection="false">
      <alignment horizontal="right"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tru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left" vertical="bottom" textRotation="0" wrapText="false" indent="0" shrinkToFit="false"/>
      <protection locked="true" hidden="false"/>
    </xf>
    <xf numFmtId="167" fontId="11" fillId="4" borderId="0" xfId="0" applyFont="true" applyBorder="false" applyAlignment="true" applyProtection="false">
      <alignment horizontal="right" vertical="bottom" textRotation="0" wrapText="false" indent="0" shrinkToFit="false"/>
      <protection locked="true" hidden="false"/>
    </xf>
    <xf numFmtId="168" fontId="11" fillId="4" borderId="0" xfId="0" applyFont="true" applyBorder="false" applyAlignment="true" applyProtection="false">
      <alignment horizontal="right"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72" fontId="9" fillId="3" borderId="1" xfId="0" applyFont="true" applyBorder="true" applyAlignment="true" applyProtection="false">
      <alignment horizontal="right" vertical="bottom" textRotation="0" wrapText="false" indent="0" shrinkToFit="false"/>
      <protection locked="true" hidden="false"/>
    </xf>
    <xf numFmtId="168" fontId="9" fillId="3"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69" fontId="9" fillId="3" borderId="1" xfId="0" applyFont="true" applyBorder="true" applyAlignment="false" applyProtection="false">
      <alignment horizontal="general" vertical="bottom" textRotation="0" wrapText="false" indent="0" shrinkToFit="false"/>
      <protection locked="true" hidden="false"/>
    </xf>
    <xf numFmtId="172" fontId="10"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2" fontId="10" fillId="0"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2" fontId="13" fillId="0" borderId="0" xfId="0" applyFont="true" applyBorder="false" applyAlignment="false" applyProtection="false">
      <alignment horizontal="general" vertical="bottom" textRotation="0" wrapText="false" indent="0" shrinkToFit="false"/>
      <protection locked="true" hidden="false"/>
    </xf>
    <xf numFmtId="173" fontId="10"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72" fontId="9" fillId="3"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4" fontId="10"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70" fontId="9"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BE4B48"/>
      <rgbColor rgb="FFFFFFCC"/>
      <rgbColor rgb="FFEEF3FA"/>
      <rgbColor rgb="FF660066"/>
      <rgbColor rgb="FFFF8080"/>
      <rgbColor rgb="FF0563C1"/>
      <rgbColor rgb="FFC9D1D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987E5"/>
      <rgbColor rgb="FF33CCCC"/>
      <rgbColor rgb="FF99CC00"/>
      <rgbColor rgb="FFFFCC00"/>
      <rgbColor rgb="FFFF9900"/>
      <rgbColor rgb="FFFF6600"/>
      <rgbColor rgb="FF666666"/>
      <rgbColor rgb="FF888888"/>
      <rgbColor rgb="FF1F3A5F"/>
      <rgbColor rgb="FF4A7EBB"/>
      <rgbColor rgb="FF003300"/>
      <rgbColor rgb="FF333300"/>
      <rgbColor rgb="FF993300"/>
      <rgbColor rgb="FF993366"/>
      <rgbColor rgb="FF555555"/>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What is still owed</a:t>
            </a:r>
          </a:p>
        </c:rich>
      </c:tx>
      <c:overlay val="0"/>
      <c:spPr>
        <a:noFill/>
        <a:ln w="0">
          <a:noFill/>
        </a:ln>
      </c:spPr>
    </c:title>
    <c:autoTitleDeleted val="0"/>
    <c:plotArea>
      <c:lineChart>
        <c:grouping val="standard"/>
        <c:varyColors val="0"/>
        <c:ser>
          <c:idx val="0"/>
          <c:order val="0"/>
          <c:tx>
            <c:strRef>
              <c:f>'02 Refinance'!C43</c:f>
              <c:strCache>
                <c:ptCount val="1"/>
                <c:pt idx="0">
                  <c:v>Keep the loan</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'02 Refinance'!$B$44:$B$74</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'02 Refinance'!$C$44:$C$74</c:f>
              <c:numCache>
                <c:formatCode>\$#,##0;"($"#,##0\);\-</c:formatCode>
                <c:ptCount val="31"/>
                <c:pt idx="0">
                  <c:v>300000</c:v>
                </c:pt>
                <c:pt idx="1">
                  <c:v>295410.559807345</c:v>
                </c:pt>
                <c:pt idx="2">
                  <c:v>290489.348612079</c:v>
                </c:pt>
                <c:pt idx="3">
                  <c:v>285212.382661596</c:v>
                </c:pt>
                <c:pt idx="4">
                  <c:v>279553.944415876</c:v>
                </c:pt>
                <c:pt idx="5">
                  <c:v>273486.457211854</c:v>
                </c:pt>
                <c:pt idx="6">
                  <c:v>266980.350867259</c:v>
                </c:pt>
                <c:pt idx="7">
                  <c:v>260003.917568954</c:v>
                </c:pt>
                <c:pt idx="8">
                  <c:v>252523.157343426</c:v>
                </c:pt>
                <c:pt idx="9">
                  <c:v>244501.612356329</c:v>
                </c:pt>
                <c:pt idx="10">
                  <c:v>235900.189233522</c:v>
                </c:pt>
                <c:pt idx="11">
                  <c:v>226676.968537689</c:v>
                </c:pt>
                <c:pt idx="12">
                  <c:v>216787.000472</c:v>
                </c:pt>
                <c:pt idx="13">
                  <c:v>206182.085815176</c:v>
                </c:pt>
                <c:pt idx="14">
                  <c:v>194810.541020337</c:v>
                </c:pt>
                <c:pt idx="15">
                  <c:v>182616.946332819</c:v>
                </c:pt>
                <c:pt idx="16">
                  <c:v>169541.875699412</c:v>
                </c:pt>
                <c:pt idx="17">
                  <c:v>155521.607152714</c:v>
                </c:pt>
                <c:pt idx="18">
                  <c:v>140487.81225915</c:v>
                </c:pt>
                <c:pt idx="19">
                  <c:v>124367.223117154</c:v>
                </c:pt>
                <c:pt idx="20">
                  <c:v>107081.275282633</c:v>
                </c:pt>
                <c:pt idx="21">
                  <c:v>88545.7248814781</c:v>
                </c:pt>
                <c:pt idx="22">
                  <c:v>68670.2380431087</c:v>
                </c:pt>
                <c:pt idx="23">
                  <c:v>47357.9506541365</c:v>
                </c:pt>
                <c:pt idx="24">
                  <c:v>24504.9962865838</c:v>
                </c:pt>
                <c:pt idx="25">
                  <c:v>0</c:v>
                </c:pt>
                <c:pt idx="26">
                  <c:v>0</c:v>
                </c:pt>
                <c:pt idx="27">
                  <c:v>0</c:v>
                </c:pt>
                <c:pt idx="28">
                  <c:v>0</c:v>
                </c:pt>
                <c:pt idx="29">
                  <c:v>0</c:v>
                </c:pt>
                <c:pt idx="30">
                  <c:v>0</c:v>
                </c:pt>
              </c:numCache>
            </c:numRef>
          </c:val>
          <c:smooth val="1"/>
        </c:ser>
        <c:ser>
          <c:idx val="1"/>
          <c:order val="1"/>
          <c:tx>
            <c:strRef>
              <c:f>'02 Refinance'!D43</c:f>
              <c:strCache>
                <c:ptCount val="1"/>
                <c:pt idx="0">
                  <c:v>Take the new loan</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'02 Refinance'!$B$44:$B$74</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'02 Refinance'!$D$44:$D$74</c:f>
              <c:numCache>
                <c:formatCode>\$#,##0;"($"#,##0\);\-</c:formatCode>
                <c:ptCount val="31"/>
                <c:pt idx="0">
                  <c:v>300000</c:v>
                </c:pt>
                <c:pt idx="1">
                  <c:v>295958.731610365</c:v>
                </c:pt>
                <c:pt idx="2">
                  <c:v>291689.503917626</c:v>
                </c:pt>
                <c:pt idx="3">
                  <c:v>287179.458225242</c:v>
                </c:pt>
                <c:pt idx="4">
                  <c:v>282415.010505109</c:v>
                </c:pt>
                <c:pt idx="5">
                  <c:v>277381.810483165</c:v>
                </c:pt>
                <c:pt idx="6">
                  <c:v>272064.69841709</c:v>
                </c:pt>
                <c:pt idx="7">
                  <c:v>266447.659435938</c:v>
                </c:pt>
                <c:pt idx="8">
                  <c:v>260513.775304157</c:v>
                </c:pt>
                <c:pt idx="9">
                  <c:v>254245.173464727</c:v>
                </c:pt>
                <c:pt idx="10">
                  <c:v>247622.973207926</c:v>
                </c:pt>
                <c:pt idx="11">
                  <c:v>240627.228803593</c:v>
                </c:pt>
                <c:pt idx="12">
                  <c:v>233236.869425609</c:v>
                </c:pt>
                <c:pt idx="13">
                  <c:v>225429.635687632</c:v>
                </c:pt>
                <c:pt idx="14">
                  <c:v>217182.012598966</c:v>
                </c:pt>
                <c:pt idx="15">
                  <c:v>208469.158738602</c:v>
                </c:pt>
                <c:pt idx="16">
                  <c:v>199264.831434123</c:v>
                </c:pt>
                <c:pt idx="17">
                  <c:v>189541.30772011</c:v>
                </c:pt>
                <c:pt idx="18">
                  <c:v>179269.300837982</c:v>
                </c:pt>
                <c:pt idx="19">
                  <c:v>168417.872025767</c:v>
                </c:pt>
                <c:pt idx="20">
                  <c:v>156954.33733213</c:v>
                </c:pt>
                <c:pt idx="21">
                  <c:v>144844.169173969</c:v>
                </c:pt>
                <c:pt idx="22">
                  <c:v>132050.892341097</c:v>
                </c:pt>
                <c:pt idx="23">
                  <c:v>118535.974134763</c:v>
                </c:pt>
                <c:pt idx="24">
                  <c:v>104258.708309124</c:v>
                </c:pt>
                <c:pt idx="25">
                  <c:v>89176.0924661052</c:v>
                </c:pt>
                <c:pt idx="26">
                  <c:v>73242.6985343646</c:v>
                </c:pt>
                <c:pt idx="27">
                  <c:v>56410.5359422548</c:v>
                </c:pt>
                <c:pt idx="28">
                  <c:v>38628.9070726626</c:v>
                </c:pt>
                <c:pt idx="29">
                  <c:v>19844.2545643672</c:v>
                </c:pt>
                <c:pt idx="30">
                  <c:v>0</c:v>
                </c:pt>
              </c:numCache>
            </c:numRef>
          </c:val>
          <c:smooth val="1"/>
        </c:ser>
        <c:hiLowLines>
          <c:spPr>
            <a:ln w="0">
              <a:noFill/>
            </a:ln>
          </c:spPr>
        </c:hiLowLines>
        <c:marker val="0"/>
        <c:axId val="93976448"/>
        <c:axId val="14014466"/>
      </c:lineChart>
      <c:catAx>
        <c:axId val="9397644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years from now</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014466"/>
        <c:crosses val="autoZero"/>
        <c:auto val="1"/>
        <c:lblAlgn val="ctr"/>
        <c:lblOffset val="100"/>
        <c:noMultiLvlLbl val="0"/>
      </c:catAx>
      <c:valAx>
        <c:axId val="14014466"/>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97644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The lump sum, invested and drawn</a:t>
            </a:r>
          </a:p>
        </c:rich>
      </c:tx>
      <c:overlay val="0"/>
      <c:spPr>
        <a:noFill/>
        <a:ln w="0">
          <a:noFill/>
        </a:ln>
      </c:spPr>
    </c:title>
    <c:autoTitleDeleted val="0"/>
    <c:plotArea>
      <c:lineChart>
        <c:grouping val="standard"/>
        <c:varyColors val="0"/>
        <c:ser>
          <c:idx val="0"/>
          <c:order val="0"/>
          <c:tx>
            <c:strRef>
              <c:f>'05 Lump or Payments'!F49</c:f>
              <c:strCache>
                <c:ptCount val="1"/>
                <c:pt idx="0">
                  <c:v>Lump sum left, at your rate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'05 Lump or Payments'!$C$50:$C$111</c:f>
              <c:strCache>
                <c:ptCount val="62"/>
                <c:pt idx="0">
                  <c:v>62</c:v>
                </c:pt>
                <c:pt idx="1">
                  <c:v>63</c:v>
                </c:pt>
                <c:pt idx="2">
                  <c:v>64</c:v>
                </c:pt>
                <c:pt idx="3">
                  <c:v>65</c:v>
                </c:pt>
                <c:pt idx="4">
                  <c:v>66</c:v>
                </c:pt>
                <c:pt idx="5">
                  <c:v>67</c:v>
                </c:pt>
                <c:pt idx="6">
                  <c:v>68</c:v>
                </c:pt>
                <c:pt idx="7">
                  <c:v>69</c:v>
                </c:pt>
                <c:pt idx="8">
                  <c:v>70</c:v>
                </c:pt>
                <c:pt idx="9">
                  <c:v>71</c:v>
                </c:pt>
                <c:pt idx="10">
                  <c:v>72</c:v>
                </c:pt>
                <c:pt idx="11">
                  <c:v>73</c:v>
                </c:pt>
                <c:pt idx="12">
                  <c:v>74</c:v>
                </c:pt>
                <c:pt idx="13">
                  <c:v>75</c:v>
                </c:pt>
                <c:pt idx="14">
                  <c:v>76</c:v>
                </c:pt>
                <c:pt idx="15">
                  <c:v>77</c:v>
                </c:pt>
                <c:pt idx="16">
                  <c:v>78</c:v>
                </c:pt>
                <c:pt idx="17">
                  <c:v>79</c:v>
                </c:pt>
                <c:pt idx="18">
                  <c:v>80</c:v>
                </c:pt>
                <c:pt idx="19">
                  <c:v>81</c:v>
                </c:pt>
                <c:pt idx="20">
                  <c:v>82</c:v>
                </c:pt>
                <c:pt idx="21">
                  <c:v>83</c:v>
                </c:pt>
                <c:pt idx="22">
                  <c:v>84</c:v>
                </c:pt>
                <c:pt idx="23">
                  <c:v>85</c:v>
                </c:pt>
                <c:pt idx="24">
                  <c:v>86</c:v>
                </c:pt>
                <c:pt idx="25">
                  <c:v>87</c:v>
                </c:pt>
                <c:pt idx="26">
                  <c:v>88</c:v>
                </c:pt>
                <c:pt idx="27">
                  <c:v>89</c:v>
                </c:pt>
                <c:pt idx="28">
                  <c:v>90</c:v>
                </c:pt>
                <c:pt idx="29">
                  <c:v>91</c:v>
                </c:pt>
                <c:pt idx="30">
                  <c:v>92</c:v>
                </c:pt>
                <c:pt idx="31">
                  <c:v>93</c:v>
                </c:pt>
                <c:pt idx="32">
                  <c:v>94</c:v>
                </c:pt>
                <c:pt idx="33">
                  <c:v>95</c:v>
                </c:pt>
                <c:pt idx="34">
                  <c:v>96</c:v>
                </c:pt>
                <c:pt idx="35">
                  <c:v>97</c:v>
                </c:pt>
                <c:pt idx="36">
                  <c:v>98</c:v>
                </c:pt>
                <c:pt idx="37">
                  <c:v>99</c:v>
                </c:pt>
                <c:pt idx="38">
                  <c:v>100</c:v>
                </c:pt>
                <c:pt idx="39">
                  <c:v>101</c:v>
                </c:pt>
                <c:pt idx="40">
                  <c:v>102</c:v>
                </c:pt>
                <c:pt idx="41">
                  <c:v>103</c:v>
                </c:pt>
                <c:pt idx="42">
                  <c:v>104</c:v>
                </c:pt>
                <c:pt idx="43">
                  <c:v>105</c:v>
                </c:pt>
                <c:pt idx="44">
                  <c:v>106</c:v>
                </c:pt>
                <c:pt idx="45">
                  <c:v>107</c:v>
                </c:pt>
                <c:pt idx="46">
                  <c:v>108</c:v>
                </c:pt>
                <c:pt idx="47">
                  <c:v>109</c:v>
                </c:pt>
                <c:pt idx="48">
                  <c:v>110</c:v>
                </c:pt>
                <c:pt idx="49">
                  <c:v>111</c:v>
                </c:pt>
                <c:pt idx="50">
                  <c:v>112</c:v>
                </c:pt>
                <c:pt idx="51">
                  <c:v>113</c:v>
                </c:pt>
                <c:pt idx="52">
                  <c:v>114</c:v>
                </c:pt>
                <c:pt idx="53">
                  <c:v>115</c:v>
                </c:pt>
                <c:pt idx="54">
                  <c:v>116</c:v>
                </c:pt>
                <c:pt idx="55">
                  <c:v>117</c:v>
                </c:pt>
                <c:pt idx="56">
                  <c:v>118</c:v>
                </c:pt>
                <c:pt idx="57">
                  <c:v>119</c:v>
                </c:pt>
                <c:pt idx="58">
                  <c:v>120</c:v>
                </c:pt>
                <c:pt idx="59">
                  <c:v>121</c:v>
                </c:pt>
                <c:pt idx="60">
                  <c:v>122</c:v>
                </c:pt>
                <c:pt idx="61">
                  <c:v>123</c:v>
                </c:pt>
              </c:strCache>
            </c:strRef>
          </c:cat>
          <c:val>
            <c:numRef>
              <c:f>'05 Lump or Payments'!$F$50:$F$111</c:f>
              <c:numCache>
                <c:formatCode>\$#,##0;"($"#,##0\);\-</c:formatCode>
                <c:ptCount val="62"/>
                <c:pt idx="0">
                  <c:v>200000</c:v>
                </c:pt>
                <c:pt idx="1">
                  <c:v>195600</c:v>
                </c:pt>
                <c:pt idx="2">
                  <c:v>190980</c:v>
                </c:pt>
                <c:pt idx="3">
                  <c:v>186129</c:v>
                </c:pt>
                <c:pt idx="4">
                  <c:v>181035.45</c:v>
                </c:pt>
                <c:pt idx="5">
                  <c:v>175687.2225</c:v>
                </c:pt>
                <c:pt idx="6">
                  <c:v>170071.583625</c:v>
                </c:pt>
                <c:pt idx="7">
                  <c:v>164175.16280625</c:v>
                </c:pt>
                <c:pt idx="8">
                  <c:v>157983.920946563</c:v>
                </c:pt>
                <c:pt idx="9">
                  <c:v>151483.116993891</c:v>
                </c:pt>
                <c:pt idx="10">
                  <c:v>144657.272843585</c:v>
                </c:pt>
                <c:pt idx="11">
                  <c:v>137490.136485764</c:v>
                </c:pt>
                <c:pt idx="12">
                  <c:v>129964.643310053</c:v>
                </c:pt>
                <c:pt idx="13">
                  <c:v>122062.875475555</c:v>
                </c:pt>
                <c:pt idx="14">
                  <c:v>113766.019249333</c:v>
                </c:pt>
                <c:pt idx="15">
                  <c:v>105054.3202118</c:v>
                </c:pt>
                <c:pt idx="16">
                  <c:v>95907.0362223898</c:v>
                </c:pt>
                <c:pt idx="17">
                  <c:v>86302.3880335093</c:v>
                </c:pt>
                <c:pt idx="18">
                  <c:v>76217.5074351847</c:v>
                </c:pt>
                <c:pt idx="19">
                  <c:v>65628.382806944</c:v>
                </c:pt>
                <c:pt idx="20">
                  <c:v>54509.8019472912</c:v>
                </c:pt>
                <c:pt idx="21">
                  <c:v>42835.2920446557</c:v>
                </c:pt>
                <c:pt idx="22">
                  <c:v>30577.0566468885</c:v>
                </c:pt>
                <c:pt idx="23">
                  <c:v>17705.9094792329</c:v>
                </c:pt>
                <c:pt idx="24">
                  <c:v>4191.20495319458</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smooth val="1"/>
        </c:ser>
        <c:hiLowLines>
          <c:spPr>
            <a:ln w="0">
              <a:noFill/>
            </a:ln>
          </c:spPr>
        </c:hiLowLines>
        <c:marker val="0"/>
        <c:axId val="84547287"/>
        <c:axId val="21617016"/>
      </c:lineChart>
      <c:catAx>
        <c:axId val="8454728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age</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617016"/>
        <c:crosses val="autoZero"/>
        <c:auto val="1"/>
        <c:lblAlgn val="ctr"/>
        <c:lblOffset val="100"/>
        <c:noMultiLvlLbl val="0"/>
      </c:catAx>
      <c:valAx>
        <c:axId val="21617016"/>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54728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The fund over the next year</a:t>
            </a:r>
          </a:p>
        </c:rich>
      </c:tx>
      <c:overlay val="0"/>
      <c:spPr>
        <a:noFill/>
        <a:ln w="0">
          <a:noFill/>
        </a:ln>
      </c:spPr>
    </c:title>
    <c:autoTitleDeleted val="0"/>
    <c:plotArea>
      <c:lineChart>
        <c:grouping val="standard"/>
        <c:varyColors val="0"/>
        <c:ser>
          <c:idx val="0"/>
          <c:order val="0"/>
          <c:tx>
            <c:strRef>
              <c:f>'09 Sinking Funds'!D30</c:f>
              <c:strCache>
                <c:ptCount val="1"/>
                <c:pt idx="0">
                  <c:v>Fund after</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'09 Sinking Funds'!$B$31:$B$43</c:f>
              <c:strCache>
                <c:ptCount val="13"/>
                <c:pt idx="0">
                  <c:v>Today</c:v>
                </c:pt>
                <c:pt idx="1">
                  <c:v>Sep 2026</c:v>
                </c:pt>
                <c:pt idx="2">
                  <c:v>Oct 2026</c:v>
                </c:pt>
                <c:pt idx="3">
                  <c:v>Nov 2026</c:v>
                </c:pt>
                <c:pt idx="4">
                  <c:v>Dec 2026</c:v>
                </c:pt>
                <c:pt idx="5">
                  <c:v>Jan 2027</c:v>
                </c:pt>
                <c:pt idx="6">
                  <c:v>Feb 2027</c:v>
                </c:pt>
                <c:pt idx="7">
                  <c:v>Mar 2027</c:v>
                </c:pt>
                <c:pt idx="8">
                  <c:v>Apr 2027</c:v>
                </c:pt>
                <c:pt idx="9">
                  <c:v>May 2027</c:v>
                </c:pt>
                <c:pt idx="10">
                  <c:v>Jun 2027</c:v>
                </c:pt>
                <c:pt idx="11">
                  <c:v>Jul 2027</c:v>
                </c:pt>
                <c:pt idx="12">
                  <c:v>Aug 2027</c:v>
                </c:pt>
              </c:strCache>
            </c:strRef>
          </c:cat>
          <c:val>
            <c:numRef>
              <c:f>'09 Sinking Funds'!$D$31:$D$43</c:f>
              <c:numCache>
                <c:formatCode>\$#,##0;"($"#,##0\);\-</c:formatCode>
                <c:ptCount val="13"/>
                <c:pt idx="0">
                  <c:v>3755.27036276523</c:v>
                </c:pt>
                <c:pt idx="1">
                  <c:v>4323.32591832079</c:v>
                </c:pt>
                <c:pt idx="2">
                  <c:v>4891.38147387634</c:v>
                </c:pt>
                <c:pt idx="3">
                  <c:v>5459.4370294319</c:v>
                </c:pt>
                <c:pt idx="4">
                  <c:v>3927.49258498745</c:v>
                </c:pt>
                <c:pt idx="5">
                  <c:v>4495.54814054301</c:v>
                </c:pt>
                <c:pt idx="6">
                  <c:v>4713.60369609856</c:v>
                </c:pt>
                <c:pt idx="7">
                  <c:v>5281.65925165412</c:v>
                </c:pt>
                <c:pt idx="8">
                  <c:v>2649.71480720967</c:v>
                </c:pt>
                <c:pt idx="9">
                  <c:v>3217.77036276523</c:v>
                </c:pt>
                <c:pt idx="10">
                  <c:v>2885.82591832079</c:v>
                </c:pt>
                <c:pt idx="11">
                  <c:v>3453.88147387634</c:v>
                </c:pt>
                <c:pt idx="12">
                  <c:v>3221.9370294319</c:v>
                </c:pt>
              </c:numCache>
            </c:numRef>
          </c:val>
          <c:smooth val="1"/>
        </c:ser>
        <c:hiLowLines>
          <c:spPr>
            <a:ln w="0">
              <a:noFill/>
            </a:ln>
          </c:spPr>
        </c:hiLowLines>
        <c:marker val="0"/>
        <c:axId val="72336287"/>
        <c:axId val="41809418"/>
      </c:lineChart>
      <c:catAx>
        <c:axId val="72336287"/>
        <c:scaling>
          <c:orientation val="minMax"/>
        </c:scaling>
        <c:delete val="0"/>
        <c:axPos val="b"/>
        <c:numFmt formatCode="mmm\ yyyy"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809418"/>
        <c:crosses val="autoZero"/>
        <c:auto val="1"/>
        <c:lblAlgn val="ctr"/>
        <c:lblOffset val="100"/>
        <c:noMultiLvlLbl val="0"/>
      </c:catAx>
      <c:valAx>
        <c:axId val="41809418"/>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33628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What each path has cost</a:t>
            </a:r>
          </a:p>
        </c:rich>
      </c:tx>
      <c:overlay val="0"/>
      <c:spPr>
        <a:noFill/>
        <a:ln w="0">
          <a:noFill/>
        </a:ln>
      </c:spPr>
    </c:title>
    <c:autoTitleDeleted val="0"/>
    <c:plotArea>
      <c:lineChart>
        <c:grouping val="standard"/>
        <c:varyColors val="0"/>
        <c:ser>
          <c:idx val="0"/>
          <c:order val="0"/>
          <c:tx>
            <c:strRef>
              <c:f>'10 Stay or Move'!C34</c:f>
              <c:strCache>
                <c:ptCount val="1"/>
                <c:pt idx="0">
                  <c:v>Stay, so far</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'10 Stay or Move'!$B$35:$B$71</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strCache>
            </c:strRef>
          </c:cat>
          <c:val>
            <c:numRef>
              <c:f>'10 Stay or Move'!$C$35:$C$71</c:f>
              <c:numCache>
                <c:formatCode>\$#,##0;"($"#,##0\);\-</c:formatCode>
                <c:ptCount val="37"/>
                <c:pt idx="0">
                  <c:v>0</c:v>
                </c:pt>
                <c:pt idx="1">
                  <c:v>1950</c:v>
                </c:pt>
                <c:pt idx="2">
                  <c:v>3900</c:v>
                </c:pt>
                <c:pt idx="3">
                  <c:v>5850</c:v>
                </c:pt>
                <c:pt idx="4">
                  <c:v>7800</c:v>
                </c:pt>
                <c:pt idx="5">
                  <c:v>9750</c:v>
                </c:pt>
                <c:pt idx="6">
                  <c:v>11700</c:v>
                </c:pt>
                <c:pt idx="7">
                  <c:v>13650</c:v>
                </c:pt>
                <c:pt idx="8">
                  <c:v>15600</c:v>
                </c:pt>
                <c:pt idx="9">
                  <c:v>17550</c:v>
                </c:pt>
                <c:pt idx="10">
                  <c:v>19500</c:v>
                </c:pt>
                <c:pt idx="11">
                  <c:v>21450</c:v>
                </c:pt>
                <c:pt idx="12">
                  <c:v>23400</c:v>
                </c:pt>
                <c:pt idx="13">
                  <c:v>25350</c:v>
                </c:pt>
                <c:pt idx="14">
                  <c:v>27300</c:v>
                </c:pt>
                <c:pt idx="15">
                  <c:v>29250</c:v>
                </c:pt>
                <c:pt idx="16">
                  <c:v>31200</c:v>
                </c:pt>
                <c:pt idx="17">
                  <c:v>33150</c:v>
                </c:pt>
                <c:pt idx="18">
                  <c:v>35100</c:v>
                </c:pt>
                <c:pt idx="19">
                  <c:v>37050</c:v>
                </c:pt>
                <c:pt idx="20">
                  <c:v>39000</c:v>
                </c:pt>
                <c:pt idx="21">
                  <c:v>40950</c:v>
                </c:pt>
                <c:pt idx="22">
                  <c:v>42900</c:v>
                </c:pt>
                <c:pt idx="23">
                  <c:v>44850</c:v>
                </c:pt>
                <c:pt idx="24">
                  <c:v>46800</c:v>
                </c:pt>
                <c:pt idx="25">
                  <c:v>48750</c:v>
                </c:pt>
                <c:pt idx="26">
                  <c:v>50700</c:v>
                </c:pt>
                <c:pt idx="27">
                  <c:v>52650</c:v>
                </c:pt>
                <c:pt idx="28">
                  <c:v>54600</c:v>
                </c:pt>
                <c:pt idx="29">
                  <c:v>56550</c:v>
                </c:pt>
                <c:pt idx="30">
                  <c:v>58500</c:v>
                </c:pt>
                <c:pt idx="31">
                  <c:v>60450</c:v>
                </c:pt>
                <c:pt idx="32">
                  <c:v>62400</c:v>
                </c:pt>
                <c:pt idx="33">
                  <c:v>64350</c:v>
                </c:pt>
                <c:pt idx="34">
                  <c:v>66300</c:v>
                </c:pt>
                <c:pt idx="35">
                  <c:v>68250</c:v>
                </c:pt>
                <c:pt idx="36">
                  <c:v>70200</c:v>
                </c:pt>
              </c:numCache>
            </c:numRef>
          </c:val>
          <c:smooth val="1"/>
        </c:ser>
        <c:ser>
          <c:idx val="1"/>
          <c:order val="1"/>
          <c:tx>
            <c:strRef>
              <c:f>'10 Stay or Move'!D34</c:f>
              <c:strCache>
                <c:ptCount val="1"/>
                <c:pt idx="0">
                  <c:v>Move, so far</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'10 Stay or Move'!$B$35:$B$71</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strCache>
            </c:strRef>
          </c:cat>
          <c:val>
            <c:numRef>
              <c:f>'10 Stay or Move'!$D$35:$D$71</c:f>
              <c:numCache>
                <c:formatCode>\$#,##0;"($"#,##0\);\-</c:formatCode>
                <c:ptCount val="37"/>
                <c:pt idx="0">
                  <c:v>2500</c:v>
                </c:pt>
                <c:pt idx="1">
                  <c:v>4250</c:v>
                </c:pt>
                <c:pt idx="2">
                  <c:v>6000</c:v>
                </c:pt>
                <c:pt idx="3">
                  <c:v>7750</c:v>
                </c:pt>
                <c:pt idx="4">
                  <c:v>9500</c:v>
                </c:pt>
                <c:pt idx="5">
                  <c:v>11250</c:v>
                </c:pt>
                <c:pt idx="6">
                  <c:v>13000</c:v>
                </c:pt>
                <c:pt idx="7">
                  <c:v>14750</c:v>
                </c:pt>
                <c:pt idx="8">
                  <c:v>16500</c:v>
                </c:pt>
                <c:pt idx="9">
                  <c:v>18250</c:v>
                </c:pt>
                <c:pt idx="10">
                  <c:v>20000</c:v>
                </c:pt>
                <c:pt idx="11">
                  <c:v>21750</c:v>
                </c:pt>
                <c:pt idx="12">
                  <c:v>23500</c:v>
                </c:pt>
                <c:pt idx="13">
                  <c:v>25250</c:v>
                </c:pt>
                <c:pt idx="14">
                  <c:v>27000</c:v>
                </c:pt>
                <c:pt idx="15">
                  <c:v>28750</c:v>
                </c:pt>
                <c:pt idx="16">
                  <c:v>30500</c:v>
                </c:pt>
                <c:pt idx="17">
                  <c:v>32250</c:v>
                </c:pt>
                <c:pt idx="18">
                  <c:v>34000</c:v>
                </c:pt>
                <c:pt idx="19">
                  <c:v>35750</c:v>
                </c:pt>
                <c:pt idx="20">
                  <c:v>37500</c:v>
                </c:pt>
                <c:pt idx="21">
                  <c:v>39250</c:v>
                </c:pt>
                <c:pt idx="22">
                  <c:v>41000</c:v>
                </c:pt>
                <c:pt idx="23">
                  <c:v>42750</c:v>
                </c:pt>
                <c:pt idx="24">
                  <c:v>44500</c:v>
                </c:pt>
                <c:pt idx="25">
                  <c:v>46250</c:v>
                </c:pt>
                <c:pt idx="26">
                  <c:v>48000</c:v>
                </c:pt>
                <c:pt idx="27">
                  <c:v>49750</c:v>
                </c:pt>
                <c:pt idx="28">
                  <c:v>51500</c:v>
                </c:pt>
                <c:pt idx="29">
                  <c:v>53250</c:v>
                </c:pt>
                <c:pt idx="30">
                  <c:v>55000</c:v>
                </c:pt>
                <c:pt idx="31">
                  <c:v>56750</c:v>
                </c:pt>
                <c:pt idx="32">
                  <c:v>58500</c:v>
                </c:pt>
                <c:pt idx="33">
                  <c:v>60250</c:v>
                </c:pt>
                <c:pt idx="34">
                  <c:v>62000</c:v>
                </c:pt>
                <c:pt idx="35">
                  <c:v>63750</c:v>
                </c:pt>
                <c:pt idx="36">
                  <c:v>65500</c:v>
                </c:pt>
              </c:numCache>
            </c:numRef>
          </c:val>
          <c:smooth val="1"/>
        </c:ser>
        <c:hiLowLines>
          <c:spPr>
            <a:ln w="0">
              <a:noFill/>
            </a:ln>
          </c:spPr>
        </c:hiLowLines>
        <c:marker val="0"/>
        <c:axId val="24012794"/>
        <c:axId val="16843021"/>
      </c:lineChart>
      <c:catAx>
        <c:axId val="2401279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843021"/>
        <c:crosses val="autoZero"/>
        <c:auto val="1"/>
        <c:lblAlgn val="ctr"/>
        <c:lblOffset val="100"/>
        <c:noMultiLvlLbl val="0"/>
      </c:catAx>
      <c:valAx>
        <c:axId val="1684302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01279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41</xdr:row>
      <xdr:rowOff>138960</xdr:rowOff>
    </xdr:from>
    <xdr:to>
      <xdr:col>12</xdr:col>
      <xdr:colOff>447840</xdr:colOff>
      <xdr:row>55</xdr:row>
      <xdr:rowOff>133560</xdr:rowOff>
    </xdr:to>
    <xdr:graphicFrame>
      <xdr:nvGraphicFramePr>
        <xdr:cNvPr id="0" name="Chart 1"/>
        <xdr:cNvGraphicFramePr/>
      </xdr:nvGraphicFramePr>
      <xdr:xfrm>
        <a:off x="11960280" y="908676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101160</xdr:rowOff>
    </xdr:from>
    <xdr:to>
      <xdr:col>14</xdr:col>
      <xdr:colOff>447840</xdr:colOff>
      <xdr:row>14</xdr:row>
      <xdr:rowOff>438480</xdr:rowOff>
    </xdr:to>
    <xdr:graphicFrame>
      <xdr:nvGraphicFramePr>
        <xdr:cNvPr id="1" name="Chart 1"/>
        <xdr:cNvGraphicFramePr/>
      </xdr:nvGraphicFramePr>
      <xdr:xfrm>
        <a:off x="16049520" y="76212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26</xdr:row>
      <xdr:rowOff>65520</xdr:rowOff>
    </xdr:from>
    <xdr:to>
      <xdr:col>10</xdr:col>
      <xdr:colOff>729000</xdr:colOff>
      <xdr:row>39</xdr:row>
      <xdr:rowOff>70560</xdr:rowOff>
    </xdr:to>
    <xdr:graphicFrame>
      <xdr:nvGraphicFramePr>
        <xdr:cNvPr id="2" name="Chart 1"/>
        <xdr:cNvGraphicFramePr/>
      </xdr:nvGraphicFramePr>
      <xdr:xfrm>
        <a:off x="7645320" y="5962680"/>
        <a:ext cx="539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31</xdr:row>
      <xdr:rowOff>101160</xdr:rowOff>
    </xdr:from>
    <xdr:to>
      <xdr:col>12</xdr:col>
      <xdr:colOff>447840</xdr:colOff>
      <xdr:row>45</xdr:row>
      <xdr:rowOff>95400</xdr:rowOff>
    </xdr:to>
    <xdr:graphicFrame>
      <xdr:nvGraphicFramePr>
        <xdr:cNvPr id="3" name="Chart 1"/>
        <xdr:cNvGraphicFramePr/>
      </xdr:nvGraphicFramePr>
      <xdr:xfrm>
        <a:off x="11960280" y="710568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SPARKS-Toolbox.xlsx" TargetMode="External"/><Relationship Id="rId2" Type="http://schemas.openxmlformats.org/officeDocument/2006/relationships/hyperlink" Target="SPARKS-Toolbox.xlsx" TargetMode="External"/><Relationship Id="rId3" Type="http://schemas.openxmlformats.org/officeDocument/2006/relationships/hyperlink" Target="SPARKS-Toolbox.xlsx" TargetMode="External"/><Relationship Id="rId4" Type="http://schemas.openxmlformats.org/officeDocument/2006/relationships/hyperlink" Target="SPARKS-Toolbox.xlsx" TargetMode="External"/><Relationship Id="rId5" Type="http://schemas.openxmlformats.org/officeDocument/2006/relationships/hyperlink" Target="SPARKS-Toolbox.xlsx" TargetMode="External"/><Relationship Id="rId6" Type="http://schemas.openxmlformats.org/officeDocument/2006/relationships/hyperlink" Target="SPARKS-Toolbox.xlsx" TargetMode="External"/><Relationship Id="rId7" Type="http://schemas.openxmlformats.org/officeDocument/2006/relationships/hyperlink" Target="SPARKS-Toolbox.xlsx" TargetMode="External"/><Relationship Id="rId8" Type="http://schemas.openxmlformats.org/officeDocument/2006/relationships/hyperlink" Target="SPARKS-Toolbox.xlsx" TargetMode="External"/><Relationship Id="rId9" Type="http://schemas.openxmlformats.org/officeDocument/2006/relationships/hyperlink" Target="SPARKS-Toolbox.xlsx" TargetMode="External"/><Relationship Id="rId10" Type="http://schemas.openxmlformats.org/officeDocument/2006/relationships/hyperlink" Target="SPARKS-Toolbox.xlsx" TargetMode="External"/><Relationship Id="rId11" Type="http://schemas.openxmlformats.org/officeDocument/2006/relationships/hyperlink" Target="SPARKS-Toolbox.xlsx" TargetMode="Externa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_rels/sheet11.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true"/>
  </sheetPr>
  <dimension ref="B1:C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70"/>
    <col collapsed="false" customWidth="true" hidden="false" outlineLevel="0" max="4" min="4" style="0" width="8"/>
  </cols>
  <sheetData>
    <row r="1" customFormat="false" ht="26.8"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c r="C4" s="4"/>
    </row>
    <row r="5" customFormat="false" ht="30" hidden="false" customHeight="true" outlineLevel="0" collapsed="false">
      <c r="B5" s="5" t="s">
        <v>3</v>
      </c>
      <c r="C5" s="6" t="s">
        <v>4</v>
      </c>
    </row>
    <row r="6" customFormat="false" ht="30" hidden="false" customHeight="true" outlineLevel="0" collapsed="false">
      <c r="B6" s="5" t="s">
        <v>5</v>
      </c>
      <c r="C6" s="6" t="s">
        <v>6</v>
      </c>
    </row>
    <row r="7" customFormat="false" ht="30" hidden="false" customHeight="true" outlineLevel="0" collapsed="false">
      <c r="B7" s="5" t="s">
        <v>7</v>
      </c>
      <c r="C7" s="6" t="s">
        <v>8</v>
      </c>
    </row>
    <row r="8" customFormat="false" ht="30" hidden="false" customHeight="true" outlineLevel="0" collapsed="false">
      <c r="B8" s="5" t="s">
        <v>9</v>
      </c>
      <c r="C8" s="6" t="s">
        <v>10</v>
      </c>
    </row>
    <row r="9" customFormat="false" ht="30" hidden="false" customHeight="true" outlineLevel="0" collapsed="false">
      <c r="B9" s="5" t="s">
        <v>11</v>
      </c>
      <c r="C9" s="6" t="s">
        <v>12</v>
      </c>
    </row>
    <row r="10" customFormat="false" ht="30" hidden="false" customHeight="true" outlineLevel="0" collapsed="false">
      <c r="B10" s="5" t="s">
        <v>13</v>
      </c>
      <c r="C10" s="6" t="s">
        <v>14</v>
      </c>
    </row>
    <row r="12" customFormat="false" ht="15" hidden="false" customHeight="false" outlineLevel="0" collapsed="false">
      <c r="B12" s="3" t="s">
        <v>15</v>
      </c>
      <c r="C12" s="4"/>
    </row>
    <row r="13" customFormat="false" ht="15" hidden="false" customHeight="false" outlineLevel="0" collapsed="false">
      <c r="B13" s="7" t="n">
        <v>12345</v>
      </c>
      <c r="C13" s="8" t="s">
        <v>16</v>
      </c>
    </row>
    <row r="14" customFormat="false" ht="15" hidden="false" customHeight="false" outlineLevel="0" collapsed="false">
      <c r="B14" s="9" t="n">
        <v>12345</v>
      </c>
      <c r="C14" s="8" t="s">
        <v>17</v>
      </c>
    </row>
    <row r="15" customFormat="false" ht="15" hidden="false" customHeight="false" outlineLevel="0" collapsed="false">
      <c r="B15" s="10" t="n">
        <v>12345</v>
      </c>
      <c r="C15" s="8" t="s">
        <v>18</v>
      </c>
    </row>
    <row r="17" customFormat="false" ht="15" hidden="false" customHeight="false" outlineLevel="0" collapsed="false">
      <c r="B17" s="3" t="s">
        <v>19</v>
      </c>
      <c r="C17" s="4"/>
    </row>
    <row r="18" customFormat="false" ht="15" hidden="false" customHeight="false" outlineLevel="0" collapsed="false">
      <c r="B18" s="11" t="s">
        <v>20</v>
      </c>
      <c r="C18" s="12" t="s">
        <v>21</v>
      </c>
    </row>
    <row r="19" customFormat="false" ht="15" hidden="false" customHeight="false" outlineLevel="0" collapsed="false">
      <c r="B19" s="11" t="s">
        <v>22</v>
      </c>
      <c r="C19" s="12" t="s">
        <v>23</v>
      </c>
    </row>
    <row r="20" customFormat="false" ht="15" hidden="false" customHeight="false" outlineLevel="0" collapsed="false">
      <c r="B20" s="11" t="s">
        <v>24</v>
      </c>
      <c r="C20" s="12" t="s">
        <v>25</v>
      </c>
    </row>
    <row r="21" customFormat="false" ht="15" hidden="false" customHeight="false" outlineLevel="0" collapsed="false">
      <c r="B21" s="11" t="s">
        <v>26</v>
      </c>
      <c r="C21" s="12" t="s">
        <v>27</v>
      </c>
    </row>
    <row r="22" customFormat="false" ht="15" hidden="false" customHeight="false" outlineLevel="0" collapsed="false">
      <c r="B22" s="11" t="s">
        <v>28</v>
      </c>
      <c r="C22" s="12" t="s">
        <v>29</v>
      </c>
    </row>
    <row r="23" customFormat="false" ht="15" hidden="false" customHeight="false" outlineLevel="0" collapsed="false">
      <c r="B23" s="11" t="s">
        <v>30</v>
      </c>
      <c r="C23" s="12" t="s">
        <v>31</v>
      </c>
    </row>
    <row r="24" customFormat="false" ht="15" hidden="false" customHeight="false" outlineLevel="0" collapsed="false">
      <c r="B24" s="11" t="s">
        <v>32</v>
      </c>
      <c r="C24" s="12" t="s">
        <v>33</v>
      </c>
    </row>
    <row r="25" customFormat="false" ht="15" hidden="false" customHeight="false" outlineLevel="0" collapsed="false">
      <c r="B25" s="11" t="s">
        <v>34</v>
      </c>
      <c r="C25" s="12" t="s">
        <v>35</v>
      </c>
    </row>
    <row r="26" customFormat="false" ht="15" hidden="false" customHeight="false" outlineLevel="0" collapsed="false">
      <c r="B26" s="11" t="s">
        <v>36</v>
      </c>
      <c r="C26" s="12" t="s">
        <v>37</v>
      </c>
    </row>
    <row r="27" customFormat="false" ht="15" hidden="false" customHeight="false" outlineLevel="0" collapsed="false">
      <c r="B27" s="11" t="s">
        <v>38</v>
      </c>
      <c r="C27" s="12" t="s">
        <v>39</v>
      </c>
    </row>
    <row r="29" customFormat="false" ht="30" hidden="false" customHeight="true" outlineLevel="0" collapsed="false">
      <c r="B29" s="11" t="s">
        <v>40</v>
      </c>
      <c r="C29" s="12" t="s">
        <v>41</v>
      </c>
    </row>
    <row r="31" customFormat="false" ht="15" hidden="false" customHeight="false" outlineLevel="0" collapsed="false">
      <c r="B31" s="13" t="s">
        <v>42</v>
      </c>
      <c r="C31" s="13"/>
    </row>
  </sheetData>
  <mergeCells count="1">
    <mergeCell ref="B31:C31"/>
  </mergeCells>
  <hyperlinks>
    <hyperlink ref="B18" r:id="rId1" location="'01%20Paycheck'!B1" display="Paycheck Check"/>
    <hyperlink ref="B19" r:id="rId2" location="'02%20Refinance'!B1" display="Refinance"/>
    <hyperlink ref="B20" r:id="rId3" location="'03%20Move%20the%20Debt'!B1" display="Move the Debt"/>
    <hyperlink ref="B21" r:id="rId4" location="'04%20Cash%20or%20Finance'!B1" display="Pay Cash or Finance"/>
    <hyperlink ref="B22" r:id="rId5" location="'05%20Lump%20or%20Payments'!B1" display="Lump Sum or Payments"/>
    <hyperlink ref="B23" r:id="rId6" location="'06%20Cash%20Ladder'!B1" display="Cash Ladder"/>
    <hyperlink ref="B24" r:id="rId7" location="'07%20Three%20Paychecks'!B1" display="Three Paychecks"/>
    <hyperlink ref="B25" r:id="rId8" location="'08%20401k%20Loan'!B1" display="Borrow From Yourself"/>
    <hyperlink ref="B26" r:id="rId9" location="'09%20Sinking%20Funds'!B1" display="Sinking Funds"/>
    <hyperlink ref="B27" r:id="rId10" location="'10%20Stay%20or%20Move'!B1" display="Stay or Move"/>
    <hyperlink ref="B29" r:id="rId11" location="'Tax%20Tables'!B1" display="Tax Table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987E5"/>
    <pageSetUpPr fitToPage="true"/>
  </sheetPr>
  <dimension ref="B1:D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3" min="3" style="0" width="18"/>
    <col collapsed="false" customWidth="true" hidden="false" outlineLevel="0" max="4" min="4" style="0" width="62"/>
  </cols>
  <sheetData>
    <row r="1" customFormat="false" ht="22.05" hidden="false" customHeight="false" outlineLevel="0" collapsed="false">
      <c r="B1" s="14" t="s">
        <v>20</v>
      </c>
    </row>
    <row r="2" customFormat="false" ht="30" hidden="false" customHeight="true" outlineLevel="0" collapsed="false">
      <c r="B2" s="15" t="s">
        <v>43</v>
      </c>
      <c r="C2" s="15"/>
      <c r="D2" s="15"/>
    </row>
    <row r="4" customFormat="false" ht="18" hidden="false" customHeight="true" outlineLevel="0" collapsed="false">
      <c r="B4" s="3" t="s">
        <v>44</v>
      </c>
      <c r="C4" s="3"/>
      <c r="D4" s="3"/>
    </row>
    <row r="5" customFormat="false" ht="15" hidden="false" customHeight="false" outlineLevel="0" collapsed="false">
      <c r="B5" s="8" t="s">
        <v>45</v>
      </c>
      <c r="C5" s="16" t="n">
        <v>3000</v>
      </c>
      <c r="D5" s="17" t="s">
        <v>46</v>
      </c>
    </row>
    <row r="6" customFormat="false" ht="15" hidden="false" customHeight="false" outlineLevel="0" collapsed="false">
      <c r="B6" s="8" t="s">
        <v>47</v>
      </c>
      <c r="C6" s="18" t="s">
        <v>48</v>
      </c>
      <c r="D6" s="17" t="s">
        <v>49</v>
      </c>
    </row>
    <row r="7" customFormat="false" ht="15" hidden="false" customHeight="false" outlineLevel="0" collapsed="false">
      <c r="B7" s="8" t="s">
        <v>50</v>
      </c>
      <c r="C7" s="16" t="n">
        <v>280</v>
      </c>
      <c r="D7" s="17" t="s">
        <v>51</v>
      </c>
    </row>
    <row r="8" customFormat="false" ht="15" hidden="false" customHeight="false" outlineLevel="0" collapsed="false">
      <c r="B8" s="8" t="s">
        <v>52</v>
      </c>
      <c r="C8" s="16" t="n">
        <v>180</v>
      </c>
      <c r="D8" s="17" t="s">
        <v>53</v>
      </c>
    </row>
    <row r="9" customFormat="false" ht="15" hidden="false" customHeight="false" outlineLevel="0" collapsed="false">
      <c r="B9" s="8" t="s">
        <v>54</v>
      </c>
      <c r="C9" s="16" t="n">
        <v>120</v>
      </c>
      <c r="D9" s="17" t="s">
        <v>55</v>
      </c>
    </row>
    <row r="10" customFormat="false" ht="15" hidden="false" customHeight="false" outlineLevel="0" collapsed="false">
      <c r="B10" s="8" t="s">
        <v>56</v>
      </c>
      <c r="C10" s="16"/>
      <c r="D10" s="17" t="s">
        <v>57</v>
      </c>
    </row>
    <row r="11" customFormat="false" ht="18" hidden="false" customHeight="true" outlineLevel="0" collapsed="false">
      <c r="B11" s="3" t="s">
        <v>58</v>
      </c>
      <c r="C11" s="3"/>
      <c r="D11" s="3"/>
    </row>
    <row r="12" customFormat="false" ht="15" hidden="false" customHeight="false" outlineLevel="0" collapsed="false">
      <c r="B12" s="8" t="s">
        <v>59</v>
      </c>
      <c r="C12" s="18" t="s">
        <v>60</v>
      </c>
      <c r="D12" s="17" t="s">
        <v>49</v>
      </c>
    </row>
    <row r="13" customFormat="false" ht="15" hidden="false" customHeight="false" outlineLevel="0" collapsed="false">
      <c r="B13" s="8" t="s">
        <v>61</v>
      </c>
      <c r="C13" s="19" t="n">
        <v>0.05</v>
      </c>
      <c r="D13" s="17" t="s">
        <v>62</v>
      </c>
    </row>
    <row r="14" customFormat="false" ht="15" hidden="false" customHeight="false" outlineLevel="0" collapsed="false">
      <c r="B14" s="8" t="s">
        <v>63</v>
      </c>
      <c r="C14" s="16" t="n">
        <v>100</v>
      </c>
    </row>
    <row r="15" customFormat="false" ht="15" hidden="false" customHeight="false" outlineLevel="0" collapsed="false">
      <c r="B15" s="8" t="s">
        <v>64</v>
      </c>
      <c r="C15" s="20" t="n">
        <v>18</v>
      </c>
      <c r="D15" s="17" t="s">
        <v>65</v>
      </c>
    </row>
    <row r="16" customFormat="false" ht="15" hidden="false" customHeight="false" outlineLevel="0" collapsed="false">
      <c r="B16" s="8" t="s">
        <v>66</v>
      </c>
      <c r="C16" s="21" t="n">
        <v>0</v>
      </c>
      <c r="D16" s="17" t="s">
        <v>67</v>
      </c>
    </row>
    <row r="18" customFormat="false" ht="15" hidden="false" customHeight="false" outlineLevel="0" collapsed="false">
      <c r="B18" s="22" t="s">
        <v>68</v>
      </c>
    </row>
    <row r="19" customFormat="false" ht="43.5" hidden="false" customHeight="true" outlineLevel="0" collapsed="false">
      <c r="B19" s="23" t="str">
        <f aca="false">IF(ABS($C$32)&lt;200,"On track. April comes within "&amp;TEXT(ABS($C$32),"$#,##0")&amp;" either way. Leave the W-4 alone.",IF($C$32&lt;0,"A refund of about "&amp;TEXT(-$C$32,"$#,##0")&amp;" in April. You are lending the government "&amp;TEXT(-$C$33,"$#,##0")&amp;" a check, interest free.","A bill of about "&amp;TEXT($C$32,"$#,##0")&amp;" in April. Add about "&amp;TEXT($C$33,"$#,##0")&amp;" of extra withholding to each of the "&amp;$C$23&amp;" checks left."))</f>
        <v>A refund of about $666 in April. You are lending the government $83 a check, interest free.</v>
      </c>
      <c r="C19" s="23"/>
      <c r="D19" s="23"/>
    </row>
    <row r="21" customFormat="false" ht="18" hidden="false" customHeight="true" outlineLevel="0" collapsed="false">
      <c r="B21" s="3" t="s">
        <v>69</v>
      </c>
      <c r="C21" s="3"/>
      <c r="D21" s="3"/>
    </row>
    <row r="22" customFormat="false" ht="15" hidden="false" customHeight="false" outlineLevel="0" collapsed="false">
      <c r="B22" s="8" t="s">
        <v>70</v>
      </c>
      <c r="C22" s="24" t="n">
        <f aca="false">INDEX('Tax Tables'!$C$59:$C$62,MATCH($C$6,'Tax Tables'!$B$59:$B$62,0))</f>
        <v>26</v>
      </c>
    </row>
    <row r="23" customFormat="false" ht="15" hidden="false" customHeight="false" outlineLevel="0" collapsed="false">
      <c r="B23" s="8" t="s">
        <v>71</v>
      </c>
      <c r="C23" s="24" t="n">
        <f aca="false">MAX(0,$C$22-$C$15)</f>
        <v>8</v>
      </c>
    </row>
    <row r="24" customFormat="false" ht="15" hidden="false" customHeight="false" outlineLevel="0" collapsed="false">
      <c r="B24" s="8" t="s">
        <v>72</v>
      </c>
      <c r="C24" s="25" t="n">
        <f aca="false">$C$5*$C$22</f>
        <v>78000</v>
      </c>
    </row>
    <row r="25" customFormat="false" ht="15" hidden="false" customHeight="false" outlineLevel="0" collapsed="false">
      <c r="B25" s="8" t="s">
        <v>73</v>
      </c>
      <c r="C25" s="25" t="n">
        <f aca="false">($C$5-$C$8-$C$9)*$C$22+$C$16</f>
        <v>70200</v>
      </c>
      <c r="D25" s="17" t="s">
        <v>74</v>
      </c>
    </row>
    <row r="26" customFormat="false" ht="15" hidden="false" customHeight="false" outlineLevel="0" collapsed="false">
      <c r="B26" s="8" t="s">
        <v>75</v>
      </c>
      <c r="C26" s="25" t="n">
        <f aca="false">($C$5-$C$9)*$C$22</f>
        <v>74880</v>
      </c>
      <c r="D26" s="17" t="s">
        <v>76</v>
      </c>
    </row>
    <row r="27" customFormat="false" ht="15" hidden="false" customHeight="false" outlineLevel="0" collapsed="false">
      <c r="B27" s="8" t="s">
        <v>77</v>
      </c>
      <c r="C27" s="25" t="n">
        <f aca="false">INDEX('Tax Tables'!$C$37:$C$40,MATCH($C$12,'Tax Tables'!$B$37:$B$40,0))</f>
        <v>16100</v>
      </c>
      <c r="D27" s="17" t="s">
        <v>78</v>
      </c>
    </row>
    <row r="28" customFormat="false" ht="15" hidden="false" customHeight="false" outlineLevel="0" collapsed="false">
      <c r="B28" s="8" t="s">
        <v>79</v>
      </c>
      <c r="C28" s="25" t="n">
        <f aca="false">MAX(0,$C$25-$C$27)</f>
        <v>54100</v>
      </c>
    </row>
    <row r="29" customFormat="false" ht="15" hidden="false" customHeight="false" outlineLevel="0" collapsed="false">
      <c r="B29" s="8" t="s">
        <v>80</v>
      </c>
      <c r="C29" s="25" t="n">
        <f aca="false">SUMPRODUCT(('Tax Tables'!$B$6:$B$33=$C$12)*($C$28&gt;'Tax Tables'!$C$6:$C$33)*($C$28-'Tax Tables'!$C$6:$C$33)*'Tax Tables'!$E$6:$E$33)</f>
        <v>6614</v>
      </c>
      <c r="D29" s="17" t="s">
        <v>81</v>
      </c>
    </row>
    <row r="30" customFormat="false" ht="15" hidden="false" customHeight="false" outlineLevel="0" collapsed="false">
      <c r="B30" s="8" t="s">
        <v>82</v>
      </c>
      <c r="C30" s="26" t="n">
        <f aca="false">SUMPRODUCT(('Tax Tables'!$B$6:$B$33=$C$12)*($C$28&gt;'Tax Tables'!$C$6:$C$33)*'Tax Tables'!$E$6:$E$33)</f>
        <v>0.22</v>
      </c>
    </row>
    <row r="31" customFormat="false" ht="15" hidden="false" customHeight="false" outlineLevel="0" collapsed="false">
      <c r="B31" s="8" t="s">
        <v>83</v>
      </c>
      <c r="C31" s="25" t="n">
        <f aca="false">$C$7*$C$22</f>
        <v>7280</v>
      </c>
    </row>
    <row r="32" customFormat="false" ht="15" hidden="false" customHeight="false" outlineLevel="0" collapsed="false">
      <c r="B32" s="27" t="s">
        <v>84</v>
      </c>
      <c r="C32" s="28" t="n">
        <f aca="false">$C$29-$C$31</f>
        <v>-666</v>
      </c>
      <c r="D32" s="17" t="s">
        <v>85</v>
      </c>
    </row>
    <row r="33" customFormat="false" ht="15" hidden="false" customHeight="false" outlineLevel="0" collapsed="false">
      <c r="B33" s="27" t="s">
        <v>86</v>
      </c>
      <c r="C33" s="29" t="n">
        <f aca="false">IF($C$23&gt;0,$C$32/$C$23,"no checks left")</f>
        <v>-83.25</v>
      </c>
      <c r="D33" s="17" t="s">
        <v>87</v>
      </c>
    </row>
    <row r="35" customFormat="false" ht="18" hidden="false" customHeight="true" outlineLevel="0" collapsed="false">
      <c r="B35" s="3" t="s">
        <v>88</v>
      </c>
      <c r="C35" s="3"/>
      <c r="D35" s="3"/>
    </row>
    <row r="36" customFormat="false" ht="15" hidden="false" customHeight="false" outlineLevel="0" collapsed="false">
      <c r="B36" s="8" t="s">
        <v>89</v>
      </c>
      <c r="C36" s="25" t="n">
        <f aca="false">MIN($C$26,'Tax Tables'!$C$44)*'Tax Tables'!$C$43+$C$26*'Tax Tables'!$C$45+MAX(0,$C$26-INDEX('Tax Tables'!$D$37:$D$40,MATCH($C$12,'Tax Tables'!$B$37:$B$40,0)))*'Tax Tables'!$C$46</f>
        <v>5728.32</v>
      </c>
    </row>
    <row r="37" customFormat="false" ht="15" hidden="false" customHeight="false" outlineLevel="0" collapsed="false">
      <c r="B37" s="8" t="s">
        <v>90</v>
      </c>
      <c r="C37" s="30" t="n">
        <f aca="false">$C$36/$C$22</f>
        <v>220.32</v>
      </c>
    </row>
    <row r="38" customFormat="false" ht="15" hidden="false" customHeight="false" outlineLevel="0" collapsed="false">
      <c r="B38" s="8" t="s">
        <v>91</v>
      </c>
      <c r="C38" s="31" t="str">
        <f aca="false">IF($C$10="","type the line to check it",IF(ABS($C$10-$C$37)&lt;5,"matches",IF($C$10&gt;$C$37,"yours is "&amp;TEXT($C$10-$C$37,"$#,##0.00")&amp;" more","yours is "&amp;TEXT($C$37-$C$10,"$#,##0.00")&amp;" less; ask payroll")))</f>
        <v>type the line to check it</v>
      </c>
      <c r="D38" s="17" t="s">
        <v>92</v>
      </c>
    </row>
    <row r="39" customFormat="false" ht="15" hidden="false" customHeight="false" outlineLevel="0" collapsed="false">
      <c r="B39" s="8" t="s">
        <v>93</v>
      </c>
      <c r="C39" s="30" t="n">
        <f aca="false">$C$5-$C$8-$C$9-$C$7-$C$14-IF($C$10="",$C$37,$C$10)</f>
        <v>2099.68</v>
      </c>
    </row>
    <row r="41" customFormat="false" ht="18" hidden="false" customHeight="true" outlineLevel="0" collapsed="false">
      <c r="B41" s="3" t="s">
        <v>94</v>
      </c>
      <c r="C41" s="3"/>
      <c r="D41" s="3"/>
    </row>
    <row r="42" customFormat="false" ht="15" hidden="false" customHeight="false" outlineLevel="0" collapsed="false">
      <c r="B42" s="8" t="s">
        <v>95</v>
      </c>
      <c r="C42" s="25" t="n">
        <f aca="false">$C$28*$C$13</f>
        <v>2705</v>
      </c>
      <c r="D42" s="17" t="s">
        <v>96</v>
      </c>
    </row>
    <row r="43" customFormat="false" ht="15" hidden="false" customHeight="false" outlineLevel="0" collapsed="false">
      <c r="B43" s="8" t="s">
        <v>97</v>
      </c>
      <c r="C43" s="25" t="n">
        <f aca="false">$C$14*$C$22</f>
        <v>2600</v>
      </c>
    </row>
    <row r="44" customFormat="false" ht="15" hidden="false" customHeight="false" outlineLevel="0" collapsed="false">
      <c r="B44" s="27" t="s">
        <v>98</v>
      </c>
      <c r="C44" s="28" t="n">
        <f aca="false">$C$42-$C$43</f>
        <v>105</v>
      </c>
      <c r="D44" s="17" t="s">
        <v>99</v>
      </c>
    </row>
    <row r="46" customFormat="false" ht="51.75" hidden="false" customHeight="true" outlineLevel="0" collapsed="false">
      <c r="B46" s="32" t="s">
        <v>100</v>
      </c>
      <c r="C46" s="32"/>
      <c r="D46" s="32"/>
    </row>
  </sheetData>
  <mergeCells count="3">
    <mergeCell ref="B2:D2"/>
    <mergeCell ref="B19:D19"/>
    <mergeCell ref="B46:D46"/>
  </mergeCells>
  <dataValidations count="2">
    <dataValidation allowBlank="false" errorStyle="stop" operator="between" showDropDown="false" showErrorMessage="false" showInputMessage="false" sqref="C6" type="list">
      <formula1>"Every two weeks,Every week,Twice a month,Once a month"</formula1>
      <formula2>0</formula2>
    </dataValidation>
    <dataValidation allowBlank="false" errorStyle="stop" operator="between" showDropDown="false" showErrorMessage="false" showInputMessage="false" sqref="C12" type="list">
      <formula1>"Single,Married,joint,Married,separate,Head of household"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987E5"/>
    <pageSetUpPr fitToPage="true"/>
  </sheetPr>
  <dimension ref="B1:D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3" min="3" style="0" width="18"/>
    <col collapsed="false" customWidth="true" hidden="false" outlineLevel="0" max="4" min="4" style="0" width="62"/>
  </cols>
  <sheetData>
    <row r="1" customFormat="false" ht="22.05" hidden="false" customHeight="false" outlineLevel="0" collapsed="false">
      <c r="B1" s="14" t="s">
        <v>22</v>
      </c>
    </row>
    <row r="2" customFormat="false" ht="30" hidden="false" customHeight="true" outlineLevel="0" collapsed="false">
      <c r="B2" s="15" t="s">
        <v>101</v>
      </c>
      <c r="C2" s="15"/>
      <c r="D2" s="15"/>
    </row>
    <row r="4" customFormat="false" ht="18" hidden="false" customHeight="true" outlineLevel="0" collapsed="false">
      <c r="B4" s="3" t="s">
        <v>102</v>
      </c>
      <c r="C4" s="3"/>
      <c r="D4" s="3"/>
    </row>
    <row r="5" customFormat="false" ht="15" hidden="false" customHeight="false" outlineLevel="0" collapsed="false">
      <c r="B5" s="8" t="s">
        <v>103</v>
      </c>
      <c r="C5" s="21" t="n">
        <v>300000</v>
      </c>
    </row>
    <row r="6" customFormat="false" ht="15" hidden="false" customHeight="false" outlineLevel="0" collapsed="false">
      <c r="B6" s="8" t="s">
        <v>104</v>
      </c>
      <c r="C6" s="19" t="n">
        <v>0.07</v>
      </c>
    </row>
    <row r="7" customFormat="false" ht="15" hidden="false" customHeight="false" outlineLevel="0" collapsed="false">
      <c r="B7" s="8" t="s">
        <v>105</v>
      </c>
      <c r="C7" s="20" t="n">
        <v>300</v>
      </c>
      <c r="D7" s="17" t="s">
        <v>106</v>
      </c>
    </row>
    <row r="8" customFormat="false" ht="15" hidden="false" customHeight="false" outlineLevel="0" collapsed="false">
      <c r="B8" s="8" t="s">
        <v>107</v>
      </c>
      <c r="C8" s="16"/>
      <c r="D8" s="17" t="s">
        <v>108</v>
      </c>
    </row>
    <row r="9" customFormat="false" ht="18" hidden="false" customHeight="true" outlineLevel="0" collapsed="false">
      <c r="B9" s="3" t="s">
        <v>109</v>
      </c>
      <c r="C9" s="3"/>
      <c r="D9" s="3"/>
    </row>
    <row r="10" customFormat="false" ht="15" hidden="false" customHeight="false" outlineLevel="0" collapsed="false">
      <c r="B10" s="8" t="s">
        <v>110</v>
      </c>
      <c r="C10" s="19" t="n">
        <v>0.055</v>
      </c>
    </row>
    <row r="11" customFormat="false" ht="15" hidden="false" customHeight="false" outlineLevel="0" collapsed="false">
      <c r="B11" s="8" t="s">
        <v>111</v>
      </c>
      <c r="C11" s="20" t="n">
        <v>360</v>
      </c>
    </row>
    <row r="12" customFormat="false" ht="15" hidden="false" customHeight="false" outlineLevel="0" collapsed="false">
      <c r="B12" s="8" t="s">
        <v>112</v>
      </c>
      <c r="C12" s="21" t="n">
        <v>6000</v>
      </c>
    </row>
    <row r="13" customFormat="false" ht="15" hidden="false" customHeight="false" outlineLevel="0" collapsed="false">
      <c r="B13" s="8" t="s">
        <v>113</v>
      </c>
      <c r="C13" s="18" t="s">
        <v>114</v>
      </c>
      <c r="D13" s="17" t="s">
        <v>115</v>
      </c>
    </row>
    <row r="15" customFormat="false" ht="15" hidden="false" customHeight="false" outlineLevel="0" collapsed="false">
      <c r="B15" s="22" t="s">
        <v>68</v>
      </c>
    </row>
    <row r="16" customFormat="false" ht="43.5" hidden="false" customHeight="true" outlineLevel="0" collapsed="false">
      <c r="B16" s="23" t="str">
        <f aca="false">IF($C$38="Keep the loan you have","Keep the loan you have. Refinancing costs "&amp;TEXT($C$31,"$#,##0")&amp;" more over its life.",IF($C$38="Take the new loan","Take the new loan: "&amp;TEXT(-$C$31,"$#,##0")&amp;" less over its life. The payment falls by "&amp;TEXT($C$29,"$#,##0")&amp;" a month and the closing costs are paid back in "&amp;IF(ISNUMBER($C$30),TEXT($C$30,"0")&amp;" months.","no time."),"Take the new loan but keep paying the old amount: "&amp;TEXT(-$C$36,"$#,##0")&amp;" less over its life, gone in "&amp;TEXT($C$34,"0")&amp;" months. Take the lower rate, ignore the lower payment."))</f>
        <v>Take the new loan but keep paying the old amount: $145,329 less over its life, gone in 229 months. Take the lower rate, ignore the lower payment.</v>
      </c>
      <c r="C16" s="23"/>
      <c r="D16" s="23"/>
    </row>
    <row r="18" customFormat="false" ht="18" hidden="false" customHeight="true" outlineLevel="0" collapsed="false">
      <c r="B18" s="3" t="s">
        <v>116</v>
      </c>
      <c r="C18" s="3"/>
      <c r="D18" s="3"/>
    </row>
    <row r="19" customFormat="false" ht="15" hidden="false" customHeight="false" outlineLevel="0" collapsed="false">
      <c r="B19" s="8" t="s">
        <v>117</v>
      </c>
      <c r="C19" s="30" t="n">
        <f aca="false">IF($C$8&gt;0,$C$8,PMT($C$6/12,$C$7,-$C$5))</f>
        <v>2120.33759182528</v>
      </c>
      <c r="D19" s="17" t="s">
        <v>118</v>
      </c>
    </row>
    <row r="20" customFormat="false" ht="15" hidden="false" customHeight="false" outlineLevel="0" collapsed="false">
      <c r="B20" s="8" t="s">
        <v>119</v>
      </c>
      <c r="C20" s="33" t="n">
        <f aca="false">IF($C$8&gt;0,IF($C$8&lt;=$C$5*$C$6/12,"never: the payment does not cover the interest",NPER($C$6/12,-$C$8,$C$5)),$C$7)</f>
        <v>300</v>
      </c>
    </row>
    <row r="21" customFormat="false" ht="15" hidden="false" customHeight="false" outlineLevel="0" collapsed="false">
      <c r="B21" s="8" t="s">
        <v>120</v>
      </c>
      <c r="C21" s="25" t="n">
        <f aca="false">IFERROR($C$19*$C$20,"never")</f>
        <v>636101.277547583</v>
      </c>
    </row>
    <row r="22" customFormat="false" ht="15" hidden="false" customHeight="false" outlineLevel="0" collapsed="false">
      <c r="B22" s="8" t="s">
        <v>121</v>
      </c>
      <c r="C22" s="25" t="n">
        <f aca="false">IFERROR($C$21-$C$5,"never")</f>
        <v>336101.277547583</v>
      </c>
    </row>
    <row r="24" customFormat="false" ht="18" hidden="false" customHeight="true" outlineLevel="0" collapsed="false">
      <c r="B24" s="3" t="s">
        <v>122</v>
      </c>
      <c r="C24" s="3"/>
      <c r="D24" s="3"/>
    </row>
    <row r="25" customFormat="false" ht="15" hidden="false" customHeight="false" outlineLevel="0" collapsed="false">
      <c r="B25" s="8" t="s">
        <v>123</v>
      </c>
      <c r="C25" s="25" t="n">
        <f aca="false">$C$5+IF($C$13="Yes",$C$12,0)</f>
        <v>300000</v>
      </c>
    </row>
    <row r="26" customFormat="false" ht="15" hidden="false" customHeight="false" outlineLevel="0" collapsed="false">
      <c r="B26" s="8" t="s">
        <v>124</v>
      </c>
      <c r="C26" s="30" t="n">
        <f aca="false">PMT($C$10/12,$C$11,-$C$25)</f>
        <v>1703.36700404101</v>
      </c>
    </row>
    <row r="27" customFormat="false" ht="15" hidden="false" customHeight="false" outlineLevel="0" collapsed="false">
      <c r="B27" s="8" t="s">
        <v>125</v>
      </c>
      <c r="C27" s="25" t="n">
        <f aca="false">$C$26*$C$11+IF($C$13="Yes",0,$C$12)</f>
        <v>619212.121454763</v>
      </c>
    </row>
    <row r="28" customFormat="false" ht="15" hidden="false" customHeight="false" outlineLevel="0" collapsed="false">
      <c r="B28" s="8" t="s">
        <v>126</v>
      </c>
      <c r="C28" s="25" t="n">
        <f aca="false">$C$27-$C$5</f>
        <v>319212.121454763</v>
      </c>
    </row>
    <row r="29" customFormat="false" ht="15" hidden="false" customHeight="false" outlineLevel="0" collapsed="false">
      <c r="B29" s="8" t="s">
        <v>127</v>
      </c>
      <c r="C29" s="30" t="n">
        <f aca="false">$C$19-$C$26</f>
        <v>416.970587784266</v>
      </c>
      <c r="D29" s="17" t="s">
        <v>128</v>
      </c>
    </row>
    <row r="30" customFormat="false" ht="15" hidden="false" customHeight="false" outlineLevel="0" collapsed="false">
      <c r="B30" s="27" t="s">
        <v>129</v>
      </c>
      <c r="C30" s="34" t="n">
        <f aca="false">IF($C$29&lt;=0,"never: the payment does not fall",IF($C$12=0,0,$C$12/$C$29))</f>
        <v>14.3895041419667</v>
      </c>
      <c r="D30" s="17" t="s">
        <v>130</v>
      </c>
    </row>
    <row r="31" customFormat="false" ht="15" hidden="false" customHeight="false" outlineLevel="0" collapsed="false">
      <c r="B31" s="27" t="s">
        <v>131</v>
      </c>
      <c r="C31" s="28" t="n">
        <f aca="false">IFERROR($C$27-$C$21,"n/a")</f>
        <v>-16889.1560928193</v>
      </c>
      <c r="D31" s="17" t="s">
        <v>132</v>
      </c>
    </row>
    <row r="33" customFormat="false" ht="18" hidden="false" customHeight="true" outlineLevel="0" collapsed="false">
      <c r="B33" s="3" t="s">
        <v>133</v>
      </c>
      <c r="C33" s="3"/>
      <c r="D33" s="3"/>
    </row>
    <row r="34" customFormat="false" ht="15" hidden="false" customHeight="false" outlineLevel="0" collapsed="false">
      <c r="B34" s="8" t="s">
        <v>119</v>
      </c>
      <c r="C34" s="33" t="n">
        <f aca="false">IF($C$19&gt;$C$26,NPER($C$10/12,-$C$19,$C$25),"n/a: the old payment is not higher")</f>
        <v>228.629985486501</v>
      </c>
      <c r="D34" s="17" t="s">
        <v>134</v>
      </c>
    </row>
    <row r="35" customFormat="false" ht="15" hidden="false" customHeight="false" outlineLevel="0" collapsed="false">
      <c r="B35" s="8" t="s">
        <v>125</v>
      </c>
      <c r="C35" s="25" t="n">
        <f aca="false">IFERROR($C$19*$C$34+IF($C$13="Yes",0,$C$12),"n/a")</f>
        <v>490772.752845495</v>
      </c>
    </row>
    <row r="36" customFormat="false" ht="15" hidden="false" customHeight="false" outlineLevel="0" collapsed="false">
      <c r="B36" s="27" t="s">
        <v>131</v>
      </c>
      <c r="C36" s="28" t="n">
        <f aca="false">IFERROR($C$35-$C$21,"n/a")</f>
        <v>-145328.524702088</v>
      </c>
    </row>
    <row r="38" customFormat="false" ht="15" hidden="false" customHeight="false" outlineLevel="0" collapsed="false">
      <c r="B38" s="27" t="s">
        <v>135</v>
      </c>
      <c r="C38" s="35" t="str">
        <f aca="false">IFERROR(IF(MIN($C$21,$C$27,IF(ISNUMBER($C$35),$C$35,$C$21))=$C$21,"Keep the loan you have",IF(ISNUMBER($C$35),IF($C$35&lt;=$C$27,"New loan, keep paying the old amount","Take the new loan"),"Take the new loan")),"Take the new loan")</f>
        <v>New loan, keep paying the old amount</v>
      </c>
    </row>
    <row r="40" customFormat="false" ht="39" hidden="false" customHeight="true" outlineLevel="0" collapsed="false">
      <c r="B40" s="32" t="s">
        <v>136</v>
      </c>
      <c r="C40" s="32"/>
      <c r="D40" s="32"/>
    </row>
    <row r="42" customFormat="false" ht="18" hidden="false" customHeight="true" outlineLevel="0" collapsed="false">
      <c r="B42" s="3" t="s">
        <v>137</v>
      </c>
      <c r="C42" s="3"/>
      <c r="D42" s="3"/>
    </row>
    <row r="43" customFormat="false" ht="15" hidden="false" customHeight="false" outlineLevel="0" collapsed="false">
      <c r="B43" s="36" t="s">
        <v>138</v>
      </c>
      <c r="C43" s="36" t="s">
        <v>139</v>
      </c>
      <c r="D43" s="36" t="s">
        <v>140</v>
      </c>
    </row>
    <row r="44" customFormat="false" ht="15" hidden="false" customHeight="false" outlineLevel="0" collapsed="false">
      <c r="B44" s="37" t="n">
        <v>0</v>
      </c>
      <c r="C44" s="38" t="n">
        <f aca="false">IFERROR(IF(0*12&gt;=$C$20,0,MAX(0,-FV($C$6/12,0*12,-$C$19,$C$5))),0)</f>
        <v>300000</v>
      </c>
      <c r="D44" s="39" t="n">
        <f aca="false">IF(0*12&gt;=$C$11,0,MAX(0,-FV($C$10/12,0*12,-$C$26,$C$25)))</f>
        <v>300000</v>
      </c>
    </row>
    <row r="45" customFormat="false" ht="15" hidden="false" customHeight="false" outlineLevel="0" collapsed="false">
      <c r="B45" s="37" t="n">
        <v>1</v>
      </c>
      <c r="C45" s="38" t="n">
        <f aca="false">IFERROR(IF(1*12&gt;=$C$20,0,MAX(0,-FV($C$6/12,1*12,-$C$19,$C$5))),0)</f>
        <v>295410.559807345</v>
      </c>
      <c r="D45" s="39" t="n">
        <f aca="false">IF(1*12&gt;=$C$11,0,MAX(0,-FV($C$10/12,1*12,-$C$26,$C$25)))</f>
        <v>295958.731610365</v>
      </c>
    </row>
    <row r="46" customFormat="false" ht="15" hidden="false" customHeight="false" outlineLevel="0" collapsed="false">
      <c r="B46" s="37" t="n">
        <v>2</v>
      </c>
      <c r="C46" s="38" t="n">
        <f aca="false">IFERROR(IF(2*12&gt;=$C$20,0,MAX(0,-FV($C$6/12,2*12,-$C$19,$C$5))),0)</f>
        <v>290489.348612079</v>
      </c>
      <c r="D46" s="39" t="n">
        <f aca="false">IF(2*12&gt;=$C$11,0,MAX(0,-FV($C$10/12,2*12,-$C$26,$C$25)))</f>
        <v>291689.503917626</v>
      </c>
    </row>
    <row r="47" customFormat="false" ht="15" hidden="false" customHeight="false" outlineLevel="0" collapsed="false">
      <c r="B47" s="37" t="n">
        <v>3</v>
      </c>
      <c r="C47" s="38" t="n">
        <f aca="false">IFERROR(IF(3*12&gt;=$C$20,0,MAX(0,-FV($C$6/12,3*12,-$C$19,$C$5))),0)</f>
        <v>285212.382661596</v>
      </c>
      <c r="D47" s="39" t="n">
        <f aca="false">IF(3*12&gt;=$C$11,0,MAX(0,-FV($C$10/12,3*12,-$C$26,$C$25)))</f>
        <v>287179.458225242</v>
      </c>
    </row>
    <row r="48" customFormat="false" ht="15" hidden="false" customHeight="false" outlineLevel="0" collapsed="false">
      <c r="B48" s="37" t="n">
        <v>4</v>
      </c>
      <c r="C48" s="38" t="n">
        <f aca="false">IFERROR(IF(4*12&gt;=$C$20,0,MAX(0,-FV($C$6/12,4*12,-$C$19,$C$5))),0)</f>
        <v>279553.944415876</v>
      </c>
      <c r="D48" s="39" t="n">
        <f aca="false">IF(4*12&gt;=$C$11,0,MAX(0,-FV($C$10/12,4*12,-$C$26,$C$25)))</f>
        <v>282415.010505109</v>
      </c>
    </row>
    <row r="49" customFormat="false" ht="15" hidden="false" customHeight="false" outlineLevel="0" collapsed="false">
      <c r="B49" s="37" t="n">
        <v>5</v>
      </c>
      <c r="C49" s="38" t="n">
        <f aca="false">IFERROR(IF(5*12&gt;=$C$20,0,MAX(0,-FV($C$6/12,5*12,-$C$19,$C$5))),0)</f>
        <v>273486.457211854</v>
      </c>
      <c r="D49" s="39" t="n">
        <f aca="false">IF(5*12&gt;=$C$11,0,MAX(0,-FV($C$10/12,5*12,-$C$26,$C$25)))</f>
        <v>277381.810483165</v>
      </c>
    </row>
    <row r="50" customFormat="false" ht="15" hidden="false" customHeight="false" outlineLevel="0" collapsed="false">
      <c r="B50" s="37" t="n">
        <v>6</v>
      </c>
      <c r="C50" s="38" t="n">
        <f aca="false">IFERROR(IF(6*12&gt;=$C$20,0,MAX(0,-FV($C$6/12,6*12,-$C$19,$C$5))),0)</f>
        <v>266980.350867259</v>
      </c>
      <c r="D50" s="39" t="n">
        <f aca="false">IF(6*12&gt;=$C$11,0,MAX(0,-FV($C$10/12,6*12,-$C$26,$C$25)))</f>
        <v>272064.69841709</v>
      </c>
    </row>
    <row r="51" customFormat="false" ht="15" hidden="false" customHeight="false" outlineLevel="0" collapsed="false">
      <c r="B51" s="37" t="n">
        <v>7</v>
      </c>
      <c r="C51" s="38" t="n">
        <f aca="false">IFERROR(IF(7*12&gt;=$C$20,0,MAX(0,-FV($C$6/12,7*12,-$C$19,$C$5))),0)</f>
        <v>260003.917568954</v>
      </c>
      <c r="D51" s="39" t="n">
        <f aca="false">IF(7*12&gt;=$C$11,0,MAX(0,-FV($C$10/12,7*12,-$C$26,$C$25)))</f>
        <v>266447.659435938</v>
      </c>
    </row>
    <row r="52" customFormat="false" ht="15" hidden="false" customHeight="false" outlineLevel="0" collapsed="false">
      <c r="B52" s="37" t="n">
        <v>8</v>
      </c>
      <c r="C52" s="38" t="n">
        <f aca="false">IFERROR(IF(8*12&gt;=$C$20,0,MAX(0,-FV($C$6/12,8*12,-$C$19,$C$5))),0)</f>
        <v>252523.157343426</v>
      </c>
      <c r="D52" s="39" t="n">
        <f aca="false">IF(8*12&gt;=$C$11,0,MAX(0,-FV($C$10/12,8*12,-$C$26,$C$25)))</f>
        <v>260513.775304157</v>
      </c>
    </row>
    <row r="53" customFormat="false" ht="15" hidden="false" customHeight="false" outlineLevel="0" collapsed="false">
      <c r="B53" s="37" t="n">
        <v>9</v>
      </c>
      <c r="C53" s="38" t="n">
        <f aca="false">IFERROR(IF(9*12&gt;=$C$20,0,MAX(0,-FV($C$6/12,9*12,-$C$19,$C$5))),0)</f>
        <v>244501.612356329</v>
      </c>
      <c r="D53" s="39" t="n">
        <f aca="false">IF(9*12&gt;=$C$11,0,MAX(0,-FV($C$10/12,9*12,-$C$26,$C$25)))</f>
        <v>254245.173464727</v>
      </c>
    </row>
    <row r="54" customFormat="false" ht="15" hidden="false" customHeight="false" outlineLevel="0" collapsed="false">
      <c r="B54" s="37" t="n">
        <v>10</v>
      </c>
      <c r="C54" s="38" t="n">
        <f aca="false">IFERROR(IF(10*12&gt;=$C$20,0,MAX(0,-FV($C$6/12,10*12,-$C$19,$C$5))),0)</f>
        <v>235900.189233522</v>
      </c>
      <c r="D54" s="39" t="n">
        <f aca="false">IF(10*12&gt;=$C$11,0,MAX(0,-FV($C$10/12,10*12,-$C$26,$C$25)))</f>
        <v>247622.973207926</v>
      </c>
    </row>
    <row r="55" customFormat="false" ht="15" hidden="false" customHeight="false" outlineLevel="0" collapsed="false">
      <c r="B55" s="37" t="n">
        <v>11</v>
      </c>
      <c r="C55" s="38" t="n">
        <f aca="false">IFERROR(IF(11*12&gt;=$C$20,0,MAX(0,-FV($C$6/12,11*12,-$C$19,$C$5))),0)</f>
        <v>226676.968537689</v>
      </c>
      <c r="D55" s="39" t="n">
        <f aca="false">IF(11*12&gt;=$C$11,0,MAX(0,-FV($C$10/12,11*12,-$C$26,$C$25)))</f>
        <v>240627.228803593</v>
      </c>
    </row>
    <row r="56" customFormat="false" ht="15" hidden="false" customHeight="false" outlineLevel="0" collapsed="false">
      <c r="B56" s="37" t="n">
        <v>12</v>
      </c>
      <c r="C56" s="38" t="n">
        <f aca="false">IFERROR(IF(12*12&gt;=$C$20,0,MAX(0,-FV($C$6/12,12*12,-$C$19,$C$5))),0)</f>
        <v>216787.000472</v>
      </c>
      <c r="D56" s="39" t="n">
        <f aca="false">IF(12*12&gt;=$C$11,0,MAX(0,-FV($C$10/12,12*12,-$C$26,$C$25)))</f>
        <v>233236.869425609</v>
      </c>
    </row>
    <row r="57" customFormat="false" ht="15" hidden="false" customHeight="false" outlineLevel="0" collapsed="false">
      <c r="B57" s="37" t="n">
        <v>13</v>
      </c>
      <c r="C57" s="38" t="n">
        <f aca="false">IFERROR(IF(13*12&gt;=$C$20,0,MAX(0,-FV($C$6/12,13*12,-$C$19,$C$5))),0)</f>
        <v>206182.085815176</v>
      </c>
      <c r="D57" s="39" t="n">
        <f aca="false">IF(13*12&gt;=$C$11,0,MAX(0,-FV($C$10/12,13*12,-$C$26,$C$25)))</f>
        <v>225429.635687632</v>
      </c>
    </row>
    <row r="58" customFormat="false" ht="15" hidden="false" customHeight="false" outlineLevel="0" collapsed="false">
      <c r="B58" s="37" t="n">
        <v>14</v>
      </c>
      <c r="C58" s="38" t="n">
        <f aca="false">IFERROR(IF(14*12&gt;=$C$20,0,MAX(0,-FV($C$6/12,14*12,-$C$19,$C$5))),0)</f>
        <v>194810.541020337</v>
      </c>
      <c r="D58" s="39" t="n">
        <f aca="false">IF(14*12&gt;=$C$11,0,MAX(0,-FV($C$10/12,14*12,-$C$26,$C$25)))</f>
        <v>217182.012598966</v>
      </c>
    </row>
    <row r="59" customFormat="false" ht="15" hidden="false" customHeight="false" outlineLevel="0" collapsed="false">
      <c r="B59" s="37" t="n">
        <v>15</v>
      </c>
      <c r="C59" s="38" t="n">
        <f aca="false">IFERROR(IF(15*12&gt;=$C$20,0,MAX(0,-FV($C$6/12,15*12,-$C$19,$C$5))),0)</f>
        <v>182616.946332819</v>
      </c>
      <c r="D59" s="39" t="n">
        <f aca="false">IF(15*12&gt;=$C$11,0,MAX(0,-FV($C$10/12,15*12,-$C$26,$C$25)))</f>
        <v>208469.158738602</v>
      </c>
    </row>
    <row r="60" customFormat="false" ht="15" hidden="false" customHeight="false" outlineLevel="0" collapsed="false">
      <c r="B60" s="37" t="n">
        <v>16</v>
      </c>
      <c r="C60" s="38" t="n">
        <f aca="false">IFERROR(IF(16*12&gt;=$C$20,0,MAX(0,-FV($C$6/12,16*12,-$C$19,$C$5))),0)</f>
        <v>169541.875699412</v>
      </c>
      <c r="D60" s="39" t="n">
        <f aca="false">IF(16*12&gt;=$C$11,0,MAX(0,-FV($C$10/12,16*12,-$C$26,$C$25)))</f>
        <v>199264.831434123</v>
      </c>
    </row>
    <row r="61" customFormat="false" ht="15" hidden="false" customHeight="false" outlineLevel="0" collapsed="false">
      <c r="B61" s="37" t="n">
        <v>17</v>
      </c>
      <c r="C61" s="38" t="n">
        <f aca="false">IFERROR(IF(17*12&gt;=$C$20,0,MAX(0,-FV($C$6/12,17*12,-$C$19,$C$5))),0)</f>
        <v>155521.607152714</v>
      </c>
      <c r="D61" s="39" t="n">
        <f aca="false">IF(17*12&gt;=$C$11,0,MAX(0,-FV($C$10/12,17*12,-$C$26,$C$25)))</f>
        <v>189541.30772011</v>
      </c>
    </row>
    <row r="62" customFormat="false" ht="15" hidden="false" customHeight="false" outlineLevel="0" collapsed="false">
      <c r="B62" s="37" t="n">
        <v>18</v>
      </c>
      <c r="C62" s="38" t="n">
        <f aca="false">IFERROR(IF(18*12&gt;=$C$20,0,MAX(0,-FV($C$6/12,18*12,-$C$19,$C$5))),0)</f>
        <v>140487.81225915</v>
      </c>
      <c r="D62" s="39" t="n">
        <f aca="false">IF(18*12&gt;=$C$11,0,MAX(0,-FV($C$10/12,18*12,-$C$26,$C$25)))</f>
        <v>179269.300837982</v>
      </c>
    </row>
    <row r="63" customFormat="false" ht="15" hidden="false" customHeight="false" outlineLevel="0" collapsed="false">
      <c r="B63" s="37" t="n">
        <v>19</v>
      </c>
      <c r="C63" s="38" t="n">
        <f aca="false">IFERROR(IF(19*12&gt;=$C$20,0,MAX(0,-FV($C$6/12,19*12,-$C$19,$C$5))),0)</f>
        <v>124367.223117154</v>
      </c>
      <c r="D63" s="39" t="n">
        <f aca="false">IF(19*12&gt;=$C$11,0,MAX(0,-FV($C$10/12,19*12,-$C$26,$C$25)))</f>
        <v>168417.872025767</v>
      </c>
    </row>
    <row r="64" customFormat="false" ht="15" hidden="false" customHeight="false" outlineLevel="0" collapsed="false">
      <c r="B64" s="37" t="n">
        <v>20</v>
      </c>
      <c r="C64" s="38" t="n">
        <f aca="false">IFERROR(IF(20*12&gt;=$C$20,0,MAX(0,-FV($C$6/12,20*12,-$C$19,$C$5))),0)</f>
        <v>107081.275282633</v>
      </c>
      <c r="D64" s="39" t="n">
        <f aca="false">IF(20*12&gt;=$C$11,0,MAX(0,-FV($C$10/12,20*12,-$C$26,$C$25)))</f>
        <v>156954.33733213</v>
      </c>
    </row>
    <row r="65" customFormat="false" ht="15" hidden="false" customHeight="false" outlineLevel="0" collapsed="false">
      <c r="B65" s="37" t="n">
        <v>21</v>
      </c>
      <c r="C65" s="38" t="n">
        <f aca="false">IFERROR(IF(21*12&gt;=$C$20,0,MAX(0,-FV($C$6/12,21*12,-$C$19,$C$5))),0)</f>
        <v>88545.7248814781</v>
      </c>
      <c r="D65" s="39" t="n">
        <f aca="false">IF(21*12&gt;=$C$11,0,MAX(0,-FV($C$10/12,21*12,-$C$26,$C$25)))</f>
        <v>144844.169173969</v>
      </c>
    </row>
    <row r="66" customFormat="false" ht="15" hidden="false" customHeight="false" outlineLevel="0" collapsed="false">
      <c r="B66" s="37" t="n">
        <v>22</v>
      </c>
      <c r="C66" s="38" t="n">
        <f aca="false">IFERROR(IF(22*12&gt;=$C$20,0,MAX(0,-FV($C$6/12,22*12,-$C$19,$C$5))),0)</f>
        <v>68670.2380431087</v>
      </c>
      <c r="D66" s="39" t="n">
        <f aca="false">IF(22*12&gt;=$C$11,0,MAX(0,-FV($C$10/12,22*12,-$C$26,$C$25)))</f>
        <v>132050.892341097</v>
      </c>
    </row>
    <row r="67" customFormat="false" ht="15" hidden="false" customHeight="false" outlineLevel="0" collapsed="false">
      <c r="B67" s="37" t="n">
        <v>23</v>
      </c>
      <c r="C67" s="38" t="n">
        <f aca="false">IFERROR(IF(23*12&gt;=$C$20,0,MAX(0,-FV($C$6/12,23*12,-$C$19,$C$5))),0)</f>
        <v>47357.9506541365</v>
      </c>
      <c r="D67" s="39" t="n">
        <f aca="false">IF(23*12&gt;=$C$11,0,MAX(0,-FV($C$10/12,23*12,-$C$26,$C$25)))</f>
        <v>118535.974134763</v>
      </c>
    </row>
    <row r="68" customFormat="false" ht="15" hidden="false" customHeight="false" outlineLevel="0" collapsed="false">
      <c r="B68" s="37" t="n">
        <v>24</v>
      </c>
      <c r="C68" s="38" t="n">
        <f aca="false">IFERROR(IF(24*12&gt;=$C$20,0,MAX(0,-FV($C$6/12,24*12,-$C$19,$C$5))),0)</f>
        <v>24504.9962865838</v>
      </c>
      <c r="D68" s="39" t="n">
        <f aca="false">IF(24*12&gt;=$C$11,0,MAX(0,-FV($C$10/12,24*12,-$C$26,$C$25)))</f>
        <v>104258.708309124</v>
      </c>
    </row>
    <row r="69" customFormat="false" ht="15" hidden="false" customHeight="false" outlineLevel="0" collapsed="false">
      <c r="B69" s="37" t="n">
        <v>25</v>
      </c>
      <c r="C69" s="38" t="n">
        <f aca="false">IFERROR(IF(25*12&gt;=$C$20,0,MAX(0,-FV($C$6/12,25*12,-$C$19,$C$5))),0)</f>
        <v>0</v>
      </c>
      <c r="D69" s="39" t="n">
        <f aca="false">IF(25*12&gt;=$C$11,0,MAX(0,-FV($C$10/12,25*12,-$C$26,$C$25)))</f>
        <v>89176.0924661052</v>
      </c>
    </row>
    <row r="70" customFormat="false" ht="15" hidden="false" customHeight="false" outlineLevel="0" collapsed="false">
      <c r="B70" s="37" t="n">
        <v>26</v>
      </c>
      <c r="C70" s="38" t="n">
        <f aca="false">IFERROR(IF(26*12&gt;=$C$20,0,MAX(0,-FV($C$6/12,26*12,-$C$19,$C$5))),0)</f>
        <v>0</v>
      </c>
      <c r="D70" s="39" t="n">
        <f aca="false">IF(26*12&gt;=$C$11,0,MAX(0,-FV($C$10/12,26*12,-$C$26,$C$25)))</f>
        <v>73242.6985343646</v>
      </c>
    </row>
    <row r="71" customFormat="false" ht="15" hidden="false" customHeight="false" outlineLevel="0" collapsed="false">
      <c r="B71" s="37" t="n">
        <v>27</v>
      </c>
      <c r="C71" s="38" t="n">
        <f aca="false">IFERROR(IF(27*12&gt;=$C$20,0,MAX(0,-FV($C$6/12,27*12,-$C$19,$C$5))),0)</f>
        <v>0</v>
      </c>
      <c r="D71" s="39" t="n">
        <f aca="false">IF(27*12&gt;=$C$11,0,MAX(0,-FV($C$10/12,27*12,-$C$26,$C$25)))</f>
        <v>56410.5359422548</v>
      </c>
    </row>
    <row r="72" customFormat="false" ht="15" hidden="false" customHeight="false" outlineLevel="0" collapsed="false">
      <c r="B72" s="37" t="n">
        <v>28</v>
      </c>
      <c r="C72" s="38" t="n">
        <f aca="false">IFERROR(IF(28*12&gt;=$C$20,0,MAX(0,-FV($C$6/12,28*12,-$C$19,$C$5))),0)</f>
        <v>0</v>
      </c>
      <c r="D72" s="39" t="n">
        <f aca="false">IF(28*12&gt;=$C$11,0,MAX(0,-FV($C$10/12,28*12,-$C$26,$C$25)))</f>
        <v>38628.9070726626</v>
      </c>
    </row>
    <row r="73" customFormat="false" ht="15" hidden="false" customHeight="false" outlineLevel="0" collapsed="false">
      <c r="B73" s="37" t="n">
        <v>29</v>
      </c>
      <c r="C73" s="38" t="n">
        <f aca="false">IFERROR(IF(29*12&gt;=$C$20,0,MAX(0,-FV($C$6/12,29*12,-$C$19,$C$5))),0)</f>
        <v>0</v>
      </c>
      <c r="D73" s="39" t="n">
        <f aca="false">IF(29*12&gt;=$C$11,0,MAX(0,-FV($C$10/12,29*12,-$C$26,$C$25)))</f>
        <v>19844.2545643672</v>
      </c>
    </row>
    <row r="74" customFormat="false" ht="15" hidden="false" customHeight="false" outlineLevel="0" collapsed="false">
      <c r="B74" s="37" t="n">
        <v>30</v>
      </c>
      <c r="C74" s="38" t="n">
        <f aca="false">IFERROR(IF(30*12&gt;=$C$20,0,MAX(0,-FV($C$6/12,30*12,-$C$19,$C$5))),0)</f>
        <v>0</v>
      </c>
      <c r="D74" s="39" t="n">
        <f aca="false">IF(30*12&gt;=$C$11,0,MAX(0,-FV($C$10/12,30*12,-$C$26,$C$25)))</f>
        <v>0</v>
      </c>
    </row>
  </sheetData>
  <mergeCells count="3">
    <mergeCell ref="B2:D2"/>
    <mergeCell ref="B16:D16"/>
    <mergeCell ref="B40:D40"/>
  </mergeCells>
  <dataValidations count="1">
    <dataValidation allowBlank="false" errorStyle="stop" operator="between" showDropDown="false" showErrorMessage="false" showInputMessage="false" sqref="C13"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987E5"/>
    <pageSetUpPr fitToPage="true"/>
  </sheetPr>
  <dimension ref="B1:D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3" min="3" style="0" width="18"/>
    <col collapsed="false" customWidth="true" hidden="false" outlineLevel="0" max="4" min="4" style="0" width="62"/>
  </cols>
  <sheetData>
    <row r="1" customFormat="false" ht="22.05" hidden="false" customHeight="false" outlineLevel="0" collapsed="false">
      <c r="B1" s="14" t="s">
        <v>24</v>
      </c>
    </row>
    <row r="2" customFormat="false" ht="30" hidden="false" customHeight="true" outlineLevel="0" collapsed="false">
      <c r="B2" s="15" t="s">
        <v>141</v>
      </c>
      <c r="C2" s="15"/>
      <c r="D2" s="15"/>
    </row>
    <row r="4" customFormat="false" ht="18" hidden="false" customHeight="true" outlineLevel="0" collapsed="false">
      <c r="B4" s="3" t="s">
        <v>142</v>
      </c>
      <c r="C4" s="3"/>
      <c r="D4" s="3"/>
    </row>
    <row r="5" customFormat="false" ht="15" hidden="false" customHeight="false" outlineLevel="0" collapsed="false">
      <c r="B5" s="8" t="s">
        <v>143</v>
      </c>
      <c r="C5" s="21" t="n">
        <v>8000</v>
      </c>
    </row>
    <row r="6" customFormat="false" ht="15" hidden="false" customHeight="false" outlineLevel="0" collapsed="false">
      <c r="B6" s="8" t="s">
        <v>144</v>
      </c>
      <c r="C6" s="19" t="n">
        <v>0.24</v>
      </c>
    </row>
    <row r="7" customFormat="false" ht="15" hidden="false" customHeight="false" outlineLevel="0" collapsed="false">
      <c r="B7" s="8" t="s">
        <v>145</v>
      </c>
      <c r="C7" s="16" t="n">
        <v>400</v>
      </c>
    </row>
    <row r="8" customFormat="false" ht="18" hidden="false" customHeight="true" outlineLevel="0" collapsed="false">
      <c r="B8" s="3" t="s">
        <v>146</v>
      </c>
      <c r="C8" s="3"/>
      <c r="D8" s="3"/>
    </row>
    <row r="9" customFormat="false" ht="15" hidden="false" customHeight="false" outlineLevel="0" collapsed="false">
      <c r="B9" s="8" t="s">
        <v>147</v>
      </c>
      <c r="C9" s="19" t="n">
        <v>0.03</v>
      </c>
      <c r="D9" s="17" t="s">
        <v>148</v>
      </c>
    </row>
    <row r="10" customFormat="false" ht="15" hidden="false" customHeight="false" outlineLevel="0" collapsed="false">
      <c r="B10" s="8" t="s">
        <v>149</v>
      </c>
      <c r="C10" s="20" t="n">
        <v>18</v>
      </c>
    </row>
    <row r="11" customFormat="false" ht="15" hidden="false" customHeight="false" outlineLevel="0" collapsed="false">
      <c r="B11" s="8" t="s">
        <v>150</v>
      </c>
      <c r="C11" s="19" t="n">
        <v>0.27</v>
      </c>
    </row>
    <row r="12" customFormat="false" ht="18" hidden="false" customHeight="true" outlineLevel="0" collapsed="false">
      <c r="B12" s="3" t="s">
        <v>151</v>
      </c>
      <c r="C12" s="3"/>
      <c r="D12" s="3"/>
    </row>
    <row r="13" customFormat="false" ht="15" hidden="false" customHeight="false" outlineLevel="0" collapsed="false">
      <c r="B13" s="8" t="s">
        <v>152</v>
      </c>
      <c r="C13" s="19" t="n">
        <v>0.11</v>
      </c>
    </row>
    <row r="14" customFormat="false" ht="15" hidden="false" customHeight="false" outlineLevel="0" collapsed="false">
      <c r="B14" s="8" t="s">
        <v>153</v>
      </c>
      <c r="C14" s="20" t="n">
        <v>24</v>
      </c>
    </row>
    <row r="15" customFormat="false" ht="15" hidden="false" customHeight="false" outlineLevel="0" collapsed="false">
      <c r="B15" s="8" t="s">
        <v>154</v>
      </c>
      <c r="C15" s="19" t="n">
        <v>0.02</v>
      </c>
      <c r="D15" s="17" t="s">
        <v>155</v>
      </c>
    </row>
    <row r="17" customFormat="false" ht="15" hidden="false" customHeight="false" outlineLevel="0" collapsed="false">
      <c r="B17" s="22" t="s">
        <v>68</v>
      </c>
    </row>
    <row r="18" customFormat="false" ht="43.5" hidden="false" customHeight="true" outlineLevel="0" collapsed="false">
      <c r="B18" s="23" t="str">
        <f aca="false">IF($C$37="none clears it","None of these clears the balance at "&amp;TEXT($C$7,"$#,##0")&amp;" a month.",IF($C$37="Stay where it is","Stay where it is. The offers cost more than they save. It clears in "&amp;TEXT($C$21,"0")&amp;" months at "&amp;TEXT($C$22,"$#,##0")&amp;" of interest.",$C$37&amp;": "&amp;TEXT($C$38,"$#,##0")&amp;" less than staying put."&amp;IF($C$37="Balance transfer",IF($C$27=0," Your payment clears it inside the promo."," But "&amp;TEXT($C$27,"$#,##0")&amp;" is left when the promo ends; "&amp;TEXT($C$26,"$#,##0")&amp;" a month would clear it in time."),"")))</f>
        <v>Balance transfer: $2,035 less than staying put. But $1,040 is left when the promo ends; $458 a month would clear it in time.</v>
      </c>
      <c r="C18" s="23"/>
      <c r="D18" s="23"/>
    </row>
    <row r="20" customFormat="false" ht="18" hidden="false" customHeight="true" outlineLevel="0" collapsed="false">
      <c r="B20" s="3" t="s">
        <v>156</v>
      </c>
      <c r="C20" s="3"/>
      <c r="D20" s="3"/>
    </row>
    <row r="21" customFormat="false" ht="15" hidden="false" customHeight="false" outlineLevel="0" collapsed="false">
      <c r="B21" s="8" t="s">
        <v>157</v>
      </c>
      <c r="C21" s="33" t="n">
        <f aca="false">IF($C$7&lt;=$C$5*$C$6/12,"never: the payment does not cover the interest",NPER($C$6/12,-$C$7,$C$5))</f>
        <v>25.7958510315719</v>
      </c>
    </row>
    <row r="22" customFormat="false" ht="15" hidden="false" customHeight="false" outlineLevel="0" collapsed="false">
      <c r="B22" s="27" t="s">
        <v>158</v>
      </c>
      <c r="C22" s="28" t="n">
        <f aca="false">IFERROR($C$7*$C$21-$C$5,"never")</f>
        <v>2318.34041262875</v>
      </c>
    </row>
    <row r="24" customFormat="false" ht="18" hidden="false" customHeight="true" outlineLevel="0" collapsed="false">
      <c r="B24" s="3" t="s">
        <v>159</v>
      </c>
      <c r="C24" s="3"/>
      <c r="D24" s="3"/>
    </row>
    <row r="25" customFormat="false" ht="15" hidden="false" customHeight="false" outlineLevel="0" collapsed="false">
      <c r="B25" s="8" t="s">
        <v>160</v>
      </c>
      <c r="C25" s="25" t="n">
        <f aca="false">IF($C$10&gt;0,$C$5*(1+$C$9),"no offer")</f>
        <v>8240</v>
      </c>
    </row>
    <row r="26" customFormat="false" ht="15" hidden="false" customHeight="false" outlineLevel="0" collapsed="false">
      <c r="B26" s="27" t="s">
        <v>161</v>
      </c>
      <c r="C26" s="29" t="n">
        <f aca="false">IFERROR($C$25/$C$10,"no offer")</f>
        <v>457.777777777778</v>
      </c>
      <c r="D26" s="17" t="s">
        <v>162</v>
      </c>
    </row>
    <row r="27" customFormat="false" ht="15" hidden="false" customHeight="false" outlineLevel="0" collapsed="false">
      <c r="B27" s="8" t="s">
        <v>163</v>
      </c>
      <c r="C27" s="25" t="n">
        <f aca="false">IFERROR(MAX(0,$C$25-$C$7*$C$10),"no offer")</f>
        <v>1040</v>
      </c>
    </row>
    <row r="28" customFormat="false" ht="15" hidden="false" customHeight="false" outlineLevel="0" collapsed="false">
      <c r="B28" s="8" t="s">
        <v>157</v>
      </c>
      <c r="C28" s="33" t="n">
        <f aca="false">IFERROR(IF($C$27=0,$C$25/$C$7,IF($C$7&lt;=$C$27*$C$11/12,"never",$C$10+NPER($C$11/12,-$C$7,$C$27))),"no offer")</f>
        <v>20.7091811761878</v>
      </c>
    </row>
    <row r="29" customFormat="false" ht="15" hidden="false" customHeight="false" outlineLevel="0" collapsed="false">
      <c r="B29" s="27" t="s">
        <v>164</v>
      </c>
      <c r="C29" s="28" t="n">
        <f aca="false">IFERROR($C$7*$C$28-$C$5,"n/a")</f>
        <v>283.672470475123</v>
      </c>
    </row>
    <row r="31" customFormat="false" ht="18" hidden="false" customHeight="true" outlineLevel="0" collapsed="false">
      <c r="B31" s="3" t="s">
        <v>165</v>
      </c>
      <c r="C31" s="3"/>
      <c r="D31" s="3"/>
    </row>
    <row r="32" customFormat="false" ht="15" hidden="false" customHeight="false" outlineLevel="0" collapsed="false">
      <c r="B32" s="8" t="s">
        <v>166</v>
      </c>
      <c r="C32" s="25" t="n">
        <f aca="false">IF($C$14&gt;0,$C$5*(1+$C$15),"no offer")</f>
        <v>8160</v>
      </c>
    </row>
    <row r="33" customFormat="false" ht="15" hidden="false" customHeight="false" outlineLevel="0" collapsed="false">
      <c r="B33" s="8" t="s">
        <v>167</v>
      </c>
      <c r="C33" s="30" t="n">
        <f aca="false">IFERROR(PMT($C$13/12,$C$14,-$C$32),"no offer")</f>
        <v>380.319959683645</v>
      </c>
    </row>
    <row r="34" customFormat="false" ht="15" hidden="false" customHeight="false" outlineLevel="0" collapsed="false">
      <c r="B34" s="8" t="s">
        <v>168</v>
      </c>
      <c r="C34" s="31" t="str">
        <f aca="false">IFERROR(IF($C$33&gt;$C$7,TEXT($C$33-$C$7,"$#,##0")&amp;" a month more than you said","fits"),"no offer")</f>
        <v>fits</v>
      </c>
    </row>
    <row r="35" customFormat="false" ht="15" hidden="false" customHeight="false" outlineLevel="0" collapsed="false">
      <c r="B35" s="27" t="s">
        <v>164</v>
      </c>
      <c r="C35" s="28" t="n">
        <f aca="false">IFERROR($C$33*$C$14-$C$5,"n/a")</f>
        <v>1127.67903240747</v>
      </c>
    </row>
    <row r="37" customFormat="false" ht="15" hidden="false" customHeight="false" outlineLevel="0" collapsed="false">
      <c r="B37" s="27" t="s">
        <v>135</v>
      </c>
      <c r="C37" s="35" t="str">
        <f aca="false">IF(MIN(IF(ISNUMBER($C$22),$C$22,9E+099),IF(ISNUMBER($C$29),$C$29,9E+099),IF(ISNUMBER($C$35),$C$35,9E+099))=9E+099,"none clears it",IF(MIN(IF(ISNUMBER($C$22),$C$22,9E+099),IF(ISNUMBER($C$29),$C$29,9E+099),IF(ISNUMBER($C$35),$C$35,9E+099))=IF(ISNUMBER($C$22),$C$22,9E+099),"Stay where it is",IF(MIN(IF(ISNUMBER($C$29),$C$29,9E+099),IF(ISNUMBER($C$35),$C$35,9E+099))=IF(ISNUMBER($C$29),$C$29,9E+099),"Balance transfer","Consolidation loan")))</f>
        <v>Balance transfer</v>
      </c>
    </row>
    <row r="38" customFormat="false" ht="15" hidden="false" customHeight="false" outlineLevel="0" collapsed="false">
      <c r="B38" s="27" t="s">
        <v>169</v>
      </c>
      <c r="C38" s="28" t="n">
        <f aca="false">IFERROR($C$22-MIN(IF(ISNUMBER($C$29),$C$29,9E+099),IF(ISNUMBER($C$35),$C$35,9E+099)),"n/a")</f>
        <v>2034.66794215362</v>
      </c>
    </row>
    <row r="40" customFormat="false" ht="39" hidden="false" customHeight="true" outlineLevel="0" collapsed="false">
      <c r="B40" s="32" t="s">
        <v>170</v>
      </c>
      <c r="C40" s="32"/>
      <c r="D40" s="32"/>
    </row>
  </sheetData>
  <mergeCells count="3">
    <mergeCell ref="B2:D2"/>
    <mergeCell ref="B18:D18"/>
    <mergeCell ref="B40:D4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987E5"/>
    <pageSetUpPr fitToPage="true"/>
  </sheetPr>
  <dimension ref="B1: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3" min="3" style="0" width="18"/>
    <col collapsed="false" customWidth="true" hidden="false" outlineLevel="0" max="4" min="4" style="0" width="62"/>
  </cols>
  <sheetData>
    <row r="1" customFormat="false" ht="22.05" hidden="false" customHeight="false" outlineLevel="0" collapsed="false">
      <c r="B1" s="14" t="s">
        <v>26</v>
      </c>
    </row>
    <row r="2" customFormat="false" ht="30" hidden="false" customHeight="true" outlineLevel="0" collapsed="false">
      <c r="B2" s="15" t="s">
        <v>171</v>
      </c>
      <c r="C2" s="15"/>
      <c r="D2" s="15"/>
    </row>
    <row r="4" customFormat="false" ht="18" hidden="false" customHeight="true" outlineLevel="0" collapsed="false">
      <c r="B4" s="3" t="s">
        <v>172</v>
      </c>
      <c r="C4" s="3"/>
      <c r="D4" s="3"/>
    </row>
    <row r="5" customFormat="false" ht="15" hidden="false" customHeight="false" outlineLevel="0" collapsed="false">
      <c r="B5" s="8" t="s">
        <v>173</v>
      </c>
      <c r="C5" s="21" t="n">
        <v>2400</v>
      </c>
    </row>
    <row r="6" customFormat="false" ht="15" hidden="false" customHeight="false" outlineLevel="0" collapsed="false">
      <c r="B6" s="8" t="s">
        <v>174</v>
      </c>
      <c r="C6" s="19" t="n">
        <v>0.05</v>
      </c>
      <c r="D6" s="17" t="s">
        <v>175</v>
      </c>
    </row>
    <row r="7" customFormat="false" ht="15" hidden="false" customHeight="false" outlineLevel="0" collapsed="false">
      <c r="B7" s="8" t="s">
        <v>176</v>
      </c>
      <c r="C7" s="19" t="n">
        <v>0</v>
      </c>
      <c r="D7" s="17" t="s">
        <v>177</v>
      </c>
    </row>
    <row r="8" customFormat="false" ht="15" hidden="false" customHeight="false" outlineLevel="0" collapsed="false">
      <c r="B8" s="8" t="s">
        <v>178</v>
      </c>
      <c r="C8" s="20" t="n">
        <v>24</v>
      </c>
    </row>
    <row r="9" customFormat="false" ht="15" hidden="false" customHeight="false" outlineLevel="0" collapsed="false">
      <c r="B9" s="8" t="s">
        <v>179</v>
      </c>
      <c r="C9" s="21" t="n">
        <v>0</v>
      </c>
    </row>
    <row r="10" customFormat="false" ht="15" hidden="false" customHeight="false" outlineLevel="0" collapsed="false">
      <c r="B10" s="8" t="s">
        <v>180</v>
      </c>
      <c r="C10" s="19" t="n">
        <v>0.04</v>
      </c>
      <c r="D10" s="17" t="s">
        <v>181</v>
      </c>
    </row>
    <row r="11" customFormat="false" ht="15" hidden="false" customHeight="false" outlineLevel="0" collapsed="false">
      <c r="B11" s="8" t="s">
        <v>182</v>
      </c>
      <c r="C11" s="18" t="s">
        <v>183</v>
      </c>
      <c r="D11" s="17" t="s">
        <v>184</v>
      </c>
    </row>
    <row r="12" customFormat="false" ht="15" hidden="false" customHeight="false" outlineLevel="0" collapsed="false">
      <c r="B12" s="8" t="s">
        <v>185</v>
      </c>
      <c r="C12" s="19" t="n">
        <v>0.2999</v>
      </c>
      <c r="D12" s="17" t="s">
        <v>186</v>
      </c>
    </row>
    <row r="14" customFormat="false" ht="15" hidden="false" customHeight="false" outlineLevel="0" collapsed="false">
      <c r="B14" s="22" t="s">
        <v>68</v>
      </c>
    </row>
    <row r="15" customFormat="false" ht="43.5" hidden="false" customHeight="true" outlineLevel="0" collapsed="false">
      <c r="B15" s="23" t="str">
        <f aca="false">IF(ABS($C$24)&lt;1,"A wash: the two end within a dollar of each other.",IF($C$24&gt;0,"Take the payments. You end "&amp;TEXT($C$24,"$#,##0")&amp;" ahead: your cash earns "&amp;TEXT($C$23,"$#,##0")&amp;" while the payments run.","Pay cash. You end "&amp;TEXT(-$C$24,"$#,##0")&amp;" ahead."))&amp;IF($C$11="Yes"," Deferred interest: miss one payment and about "&amp;TEXT(PMT($C$12/12,$C$8,-$C$5)*$C$8-$C$5,"$#,##0")&amp;" of back interest lands.","")</f>
        <v>Pay cash. You end $25 ahead. Deferred interest: miss one payment and about $820 of back interest lands.</v>
      </c>
      <c r="C15" s="23"/>
      <c r="D15" s="23"/>
    </row>
    <row r="17" customFormat="false" ht="18" hidden="false" customHeight="true" outlineLevel="0" collapsed="false">
      <c r="B17" s="3" t="s">
        <v>187</v>
      </c>
      <c r="C17" s="3"/>
      <c r="D17" s="3"/>
    </row>
    <row r="18" customFormat="false" ht="15" hidden="false" customHeight="false" outlineLevel="0" collapsed="false">
      <c r="B18" s="8" t="s">
        <v>188</v>
      </c>
      <c r="C18" s="25" t="n">
        <f aca="false">$C$5*(1-$C$6)</f>
        <v>2280</v>
      </c>
    </row>
    <row r="19" customFormat="false" ht="15" hidden="false" customHeight="false" outlineLevel="0" collapsed="false">
      <c r="B19" s="8" t="s">
        <v>189</v>
      </c>
      <c r="C19" s="30" t="n">
        <f aca="false">IF($C$7=0,$C$5/$C$8,PMT($C$7/12,$C$8,-$C$5))</f>
        <v>100</v>
      </c>
    </row>
    <row r="20" customFormat="false" ht="15" hidden="false" customHeight="false" outlineLevel="0" collapsed="false">
      <c r="B20" s="8" t="s">
        <v>190</v>
      </c>
      <c r="C20" s="25" t="n">
        <f aca="false">$C$19*$C$8-$C$5+$C$9</f>
        <v>0</v>
      </c>
    </row>
    <row r="21" customFormat="false" ht="15" hidden="false" customHeight="false" outlineLevel="0" collapsed="false">
      <c r="B21" s="8" t="s">
        <v>191</v>
      </c>
      <c r="C21" s="25" t="n">
        <f aca="false">($C$5-$C$18)*(1+$C$10/12)^$C$8</f>
        <v>129.977155099088</v>
      </c>
      <c r="D21" s="17" t="s">
        <v>192</v>
      </c>
    </row>
    <row r="22" customFormat="false" ht="15" hidden="false" customHeight="false" outlineLevel="0" collapsed="false">
      <c r="B22" s="8" t="s">
        <v>193</v>
      </c>
      <c r="C22" s="25" t="n">
        <f aca="false">FV($C$10/12,$C$8,$C$19,-($C$5-$C$9))</f>
        <v>105.254327209772</v>
      </c>
      <c r="D22" s="17" t="s">
        <v>194</v>
      </c>
    </row>
    <row r="23" customFormat="false" ht="15" hidden="false" customHeight="false" outlineLevel="0" collapsed="false">
      <c r="B23" s="8" t="s">
        <v>195</v>
      </c>
      <c r="C23" s="25" t="n">
        <f aca="false">$C$22-($C$5-$C$9-$C$19*$C$8)</f>
        <v>105.254327209772</v>
      </c>
    </row>
    <row r="24" customFormat="false" ht="15" hidden="false" customHeight="false" outlineLevel="0" collapsed="false">
      <c r="B24" s="27" t="s">
        <v>196</v>
      </c>
      <c r="C24" s="28" t="n">
        <f aca="false">$C$22-$C$21</f>
        <v>-24.7228278893161</v>
      </c>
      <c r="D24" s="17" t="s">
        <v>197</v>
      </c>
    </row>
    <row r="25" customFormat="false" ht="15" hidden="false" customHeight="false" outlineLevel="0" collapsed="false">
      <c r="B25" s="27" t="s">
        <v>198</v>
      </c>
      <c r="C25" s="28" t="n">
        <f aca="false">IF($C$11="Yes",PMT($C$12/12,$C$8,-$C$5)*$C$8-$C$5,"n/a")</f>
        <v>820.28196553959</v>
      </c>
      <c r="D25" s="17" t="s">
        <v>199</v>
      </c>
    </row>
    <row r="27" customFormat="false" ht="39" hidden="false" customHeight="true" outlineLevel="0" collapsed="false">
      <c r="B27" s="32" t="s">
        <v>200</v>
      </c>
      <c r="C27" s="32"/>
      <c r="D27" s="32"/>
    </row>
  </sheetData>
  <mergeCells count="3">
    <mergeCell ref="B2:D2"/>
    <mergeCell ref="B15:D15"/>
    <mergeCell ref="B27:D27"/>
  </mergeCells>
  <dataValidations count="1">
    <dataValidation allowBlank="false" errorStyle="stop" operator="between" showDropDown="false" showErrorMessage="false" showInputMessage="false" sqref="C1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987E5"/>
    <pageSetUpPr fitToPage="true"/>
  </sheetPr>
  <dimension ref="B1:F1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3" min="3" style="0" width="18"/>
    <col collapsed="false" customWidth="true" hidden="false" outlineLevel="0" max="4" min="4" style="0" width="62"/>
    <col collapsed="false" customWidth="true" hidden="false" outlineLevel="0" max="5" min="5" style="0" width="22"/>
    <col collapsed="false" customWidth="true" hidden="false" outlineLevel="0" max="6" min="6" style="0" width="24"/>
  </cols>
  <sheetData>
    <row r="1" customFormat="false" ht="22.05" hidden="false" customHeight="false" outlineLevel="0" collapsed="false">
      <c r="B1" s="14" t="s">
        <v>28</v>
      </c>
    </row>
    <row r="2" customFormat="false" ht="30" hidden="false" customHeight="true" outlineLevel="0" collapsed="false">
      <c r="B2" s="15" t="s">
        <v>201</v>
      </c>
      <c r="C2" s="15"/>
      <c r="D2" s="15"/>
    </row>
    <row r="4" customFormat="false" ht="18" hidden="false" customHeight="true" outlineLevel="0" collapsed="false">
      <c r="B4" s="3" t="s">
        <v>202</v>
      </c>
      <c r="C4" s="3"/>
      <c r="D4" s="3"/>
    </row>
    <row r="5" customFormat="false" ht="15" hidden="false" customHeight="false" outlineLevel="0" collapsed="false">
      <c r="B5" s="8" t="s">
        <v>203</v>
      </c>
      <c r="C5" s="21" t="n">
        <v>200000</v>
      </c>
    </row>
    <row r="6" customFormat="false" ht="15" hidden="false" customHeight="false" outlineLevel="0" collapsed="false">
      <c r="B6" s="8" t="s">
        <v>204</v>
      </c>
      <c r="C6" s="16" t="n">
        <v>1200</v>
      </c>
    </row>
    <row r="7" customFormat="false" ht="15" hidden="false" customHeight="false" outlineLevel="0" collapsed="false">
      <c r="B7" s="8" t="s">
        <v>205</v>
      </c>
      <c r="C7" s="19" t="n">
        <v>0</v>
      </c>
      <c r="D7" s="17" t="s">
        <v>206</v>
      </c>
    </row>
    <row r="8" customFormat="false" ht="15" hidden="false" customHeight="false" outlineLevel="0" collapsed="false">
      <c r="B8" s="8" t="s">
        <v>207</v>
      </c>
      <c r="C8" s="20"/>
      <c r="D8" s="17" t="s">
        <v>208</v>
      </c>
    </row>
    <row r="9" customFormat="false" ht="18" hidden="false" customHeight="true" outlineLevel="0" collapsed="false">
      <c r="B9" s="3" t="s">
        <v>58</v>
      </c>
      <c r="C9" s="3"/>
      <c r="D9" s="3"/>
    </row>
    <row r="10" customFormat="false" ht="15" hidden="false" customHeight="false" outlineLevel="0" collapsed="false">
      <c r="B10" s="8" t="s">
        <v>209</v>
      </c>
      <c r="C10" s="20" t="n">
        <v>62</v>
      </c>
    </row>
    <row r="11" customFormat="false" ht="15" hidden="false" customHeight="false" outlineLevel="0" collapsed="false">
      <c r="B11" s="8" t="s">
        <v>210</v>
      </c>
      <c r="C11" s="20" t="n">
        <v>90</v>
      </c>
    </row>
    <row r="12" customFormat="false" ht="15" hidden="false" customHeight="false" outlineLevel="0" collapsed="false">
      <c r="B12" s="8" t="s">
        <v>211</v>
      </c>
      <c r="C12" s="19" t="n">
        <v>0.05</v>
      </c>
    </row>
    <row r="14" customFormat="false" ht="15" hidden="false" customHeight="false" outlineLevel="0" collapsed="false">
      <c r="B14" s="22" t="s">
        <v>68</v>
      </c>
    </row>
    <row r="15" customFormat="false" ht="43.5" hidden="false" customHeight="true" outlineLevel="0" collapsed="false">
      <c r="B15" s="23" t="str">
        <f aca="false">IF(ISNUMBER($C$22),"The payments, if you expect to live past "&amp;$C$22&amp;". At "&amp;TEXT($C$12,"0.0%")&amp;" the lump sum runs out at that age. The payments are quietly promising "&amp;IF(ISNUMBER($C$21),TEXT($C$21,"0.0%"),"less than nothing")&amp;" a year.","The lump sum, if you can earn "&amp;TEXT($C$12,"0.0%")&amp;". Drawn at "&amp;TEXT($C$6,"$#,##0")&amp;" a month it still holds "&amp;TEXT($C$23,"$#,##0")&amp;" at "&amp;$C$11&amp;". The payments promise only "&amp;IF(ISNUMBER($C$21),TEXT($C$21,"0.0%"),"less than nothing")&amp;" a year.")</f>
        <v>The payments, if you expect to live past 87. At 5.0% the lump sum runs out at that age. The payments are quietly promising 5.7% a year.</v>
      </c>
      <c r="C15" s="23"/>
      <c r="D15" s="23"/>
    </row>
    <row r="17" customFormat="false" ht="18" hidden="false" customHeight="true" outlineLevel="0" collapsed="false">
      <c r="B17" s="3" t="s">
        <v>212</v>
      </c>
      <c r="C17" s="3"/>
      <c r="D17" s="3"/>
    </row>
    <row r="18" customFormat="false" ht="15" hidden="false" customHeight="false" outlineLevel="0" collapsed="false">
      <c r="B18" s="8" t="s">
        <v>213</v>
      </c>
      <c r="C18" s="24" t="n">
        <f aca="false">IF($C$8&gt;0,$C$8,$C$10)</f>
        <v>62</v>
      </c>
    </row>
    <row r="19" customFormat="false" ht="15" hidden="false" customHeight="false" outlineLevel="0" collapsed="false">
      <c r="B19" s="8" t="s">
        <v>214</v>
      </c>
      <c r="C19" s="25" t="n">
        <f aca="false">SUM(D50:D111)</f>
        <v>403200</v>
      </c>
      <c r="D19" s="17" t="s">
        <v>215</v>
      </c>
    </row>
    <row r="20" customFormat="false" ht="15" hidden="false" customHeight="false" outlineLevel="0" collapsed="false">
      <c r="B20" s="8" t="s">
        <v>216</v>
      </c>
      <c r="C20" s="33" t="n">
        <f aca="false">$C$5/($C$6*12)</f>
        <v>13.8888888888889</v>
      </c>
      <c r="D20" s="17" t="s">
        <v>217</v>
      </c>
    </row>
    <row r="21" customFormat="false" ht="15" hidden="false" customHeight="false" outlineLevel="0" collapsed="false">
      <c r="B21" s="27" t="s">
        <v>218</v>
      </c>
      <c r="C21" s="40" t="n">
        <f aca="false">IFERROR(IRR(E50:E111),"below zero")</f>
        <v>0.0565811212573634</v>
      </c>
      <c r="D21" s="17" t="s">
        <v>219</v>
      </c>
    </row>
    <row r="22" customFormat="false" ht="15" hidden="false" customHeight="false" outlineLevel="0" collapsed="false">
      <c r="B22" s="27" t="s">
        <v>220</v>
      </c>
      <c r="C22" s="41" t="n">
        <f aca="false">IF(ISNUMBER(MATCH(0,F51:F111,0)),$C$10+MATCH(0,F51:F111,0),"not before "&amp;$C$11)</f>
        <v>87</v>
      </c>
      <c r="D22" s="17" t="s">
        <v>221</v>
      </c>
    </row>
    <row r="23" customFormat="false" ht="15" hidden="false" customHeight="false" outlineLevel="0" collapsed="false">
      <c r="B23" s="27" t="s">
        <v>222</v>
      </c>
      <c r="C23" s="28" t="n">
        <f aca="false">INDEX(F50:F111,$C$11-$C$10+1)</f>
        <v>0</v>
      </c>
    </row>
    <row r="25" customFormat="false" ht="51.75" hidden="false" customHeight="true" outlineLevel="0" collapsed="false">
      <c r="B25" s="32" t="s">
        <v>223</v>
      </c>
      <c r="C25" s="32"/>
      <c r="D25" s="32"/>
    </row>
    <row r="48" customFormat="false" ht="18" hidden="false" customHeight="true" outlineLevel="0" collapsed="false">
      <c r="B48" s="3" t="s">
        <v>224</v>
      </c>
      <c r="C48" s="3"/>
      <c r="D48" s="3"/>
      <c r="E48" s="3"/>
      <c r="F48" s="3"/>
    </row>
    <row r="49" customFormat="false" ht="15" hidden="false" customHeight="false" outlineLevel="0" collapsed="false">
      <c r="B49" s="36" t="s">
        <v>225</v>
      </c>
      <c r="C49" s="36" t="s">
        <v>226</v>
      </c>
      <c r="D49" s="36" t="s">
        <v>227</v>
      </c>
      <c r="E49" s="36" t="s">
        <v>228</v>
      </c>
      <c r="F49" s="36" t="s">
        <v>229</v>
      </c>
    </row>
    <row r="50" customFormat="false" ht="15" hidden="false" customHeight="false" outlineLevel="0" collapsed="false">
      <c r="B50" s="37" t="n">
        <v>0</v>
      </c>
      <c r="C50" s="42" t="n">
        <f aca="false">$C$10+0</f>
        <v>62</v>
      </c>
      <c r="D50" s="38" t="n">
        <v>0</v>
      </c>
      <c r="E50" s="38" t="n">
        <f aca="false">-$C$5</f>
        <v>-200000</v>
      </c>
      <c r="F50" s="38" t="n">
        <f aca="false">$C$5</f>
        <v>200000</v>
      </c>
    </row>
    <row r="51" customFormat="false" ht="15" hidden="false" customHeight="false" outlineLevel="0" collapsed="false">
      <c r="B51" s="37" t="n">
        <v>1</v>
      </c>
      <c r="C51" s="42" t="n">
        <f aca="false">$C$10+1</f>
        <v>63</v>
      </c>
      <c r="D51" s="38" t="n">
        <f aca="false">IF(AND(C50&gt;=$C$18,C50&lt;$C$11),12*$C$6*(1+$C$7)^(C50-$C$18),0)</f>
        <v>14400</v>
      </c>
      <c r="E51" s="38" t="n">
        <f aca="false">D51</f>
        <v>14400</v>
      </c>
      <c r="F51" s="38" t="n">
        <f aca="false">MAX(0,F50*(1+$C$12)-D51)</f>
        <v>195600</v>
      </c>
    </row>
    <row r="52" customFormat="false" ht="15" hidden="false" customHeight="false" outlineLevel="0" collapsed="false">
      <c r="B52" s="37" t="n">
        <v>2</v>
      </c>
      <c r="C52" s="42" t="n">
        <f aca="false">$C$10+2</f>
        <v>64</v>
      </c>
      <c r="D52" s="38" t="n">
        <f aca="false">IF(AND(C51&gt;=$C$18,C51&lt;$C$11),12*$C$6*(1+$C$7)^(C51-$C$18),0)</f>
        <v>14400</v>
      </c>
      <c r="E52" s="38" t="n">
        <f aca="false">D52</f>
        <v>14400</v>
      </c>
      <c r="F52" s="38" t="n">
        <f aca="false">MAX(0,F51*(1+$C$12)-D52)</f>
        <v>190980</v>
      </c>
    </row>
    <row r="53" customFormat="false" ht="15" hidden="false" customHeight="false" outlineLevel="0" collapsed="false">
      <c r="B53" s="37" t="n">
        <v>3</v>
      </c>
      <c r="C53" s="42" t="n">
        <f aca="false">$C$10+3</f>
        <v>65</v>
      </c>
      <c r="D53" s="38" t="n">
        <f aca="false">IF(AND(C52&gt;=$C$18,C52&lt;$C$11),12*$C$6*(1+$C$7)^(C52-$C$18),0)</f>
        <v>14400</v>
      </c>
      <c r="E53" s="38" t="n">
        <f aca="false">D53</f>
        <v>14400</v>
      </c>
      <c r="F53" s="38" t="n">
        <f aca="false">MAX(0,F52*(1+$C$12)-D53)</f>
        <v>186129</v>
      </c>
    </row>
    <row r="54" customFormat="false" ht="15" hidden="false" customHeight="false" outlineLevel="0" collapsed="false">
      <c r="B54" s="37" t="n">
        <v>4</v>
      </c>
      <c r="C54" s="42" t="n">
        <f aca="false">$C$10+4</f>
        <v>66</v>
      </c>
      <c r="D54" s="38" t="n">
        <f aca="false">IF(AND(C53&gt;=$C$18,C53&lt;$C$11),12*$C$6*(1+$C$7)^(C53-$C$18),0)</f>
        <v>14400</v>
      </c>
      <c r="E54" s="38" t="n">
        <f aca="false">D54</f>
        <v>14400</v>
      </c>
      <c r="F54" s="38" t="n">
        <f aca="false">MAX(0,F53*(1+$C$12)-D54)</f>
        <v>181035.45</v>
      </c>
    </row>
    <row r="55" customFormat="false" ht="15" hidden="false" customHeight="false" outlineLevel="0" collapsed="false">
      <c r="B55" s="37" t="n">
        <v>5</v>
      </c>
      <c r="C55" s="42" t="n">
        <f aca="false">$C$10+5</f>
        <v>67</v>
      </c>
      <c r="D55" s="38" t="n">
        <f aca="false">IF(AND(C54&gt;=$C$18,C54&lt;$C$11),12*$C$6*(1+$C$7)^(C54-$C$18),0)</f>
        <v>14400</v>
      </c>
      <c r="E55" s="38" t="n">
        <f aca="false">D55</f>
        <v>14400</v>
      </c>
      <c r="F55" s="38" t="n">
        <f aca="false">MAX(0,F54*(1+$C$12)-D55)</f>
        <v>175687.2225</v>
      </c>
    </row>
    <row r="56" customFormat="false" ht="15" hidden="false" customHeight="false" outlineLevel="0" collapsed="false">
      <c r="B56" s="37" t="n">
        <v>6</v>
      </c>
      <c r="C56" s="42" t="n">
        <f aca="false">$C$10+6</f>
        <v>68</v>
      </c>
      <c r="D56" s="38" t="n">
        <f aca="false">IF(AND(C55&gt;=$C$18,C55&lt;$C$11),12*$C$6*(1+$C$7)^(C55-$C$18),0)</f>
        <v>14400</v>
      </c>
      <c r="E56" s="38" t="n">
        <f aca="false">D56</f>
        <v>14400</v>
      </c>
      <c r="F56" s="38" t="n">
        <f aca="false">MAX(0,F55*(1+$C$12)-D56)</f>
        <v>170071.583625</v>
      </c>
    </row>
    <row r="57" customFormat="false" ht="15" hidden="false" customHeight="false" outlineLevel="0" collapsed="false">
      <c r="B57" s="37" t="n">
        <v>7</v>
      </c>
      <c r="C57" s="42" t="n">
        <f aca="false">$C$10+7</f>
        <v>69</v>
      </c>
      <c r="D57" s="38" t="n">
        <f aca="false">IF(AND(C56&gt;=$C$18,C56&lt;$C$11),12*$C$6*(1+$C$7)^(C56-$C$18),0)</f>
        <v>14400</v>
      </c>
      <c r="E57" s="38" t="n">
        <f aca="false">D57</f>
        <v>14400</v>
      </c>
      <c r="F57" s="38" t="n">
        <f aca="false">MAX(0,F56*(1+$C$12)-D57)</f>
        <v>164175.16280625</v>
      </c>
    </row>
    <row r="58" customFormat="false" ht="15" hidden="false" customHeight="false" outlineLevel="0" collapsed="false">
      <c r="B58" s="37" t="n">
        <v>8</v>
      </c>
      <c r="C58" s="42" t="n">
        <f aca="false">$C$10+8</f>
        <v>70</v>
      </c>
      <c r="D58" s="38" t="n">
        <f aca="false">IF(AND(C57&gt;=$C$18,C57&lt;$C$11),12*$C$6*(1+$C$7)^(C57-$C$18),0)</f>
        <v>14400</v>
      </c>
      <c r="E58" s="38" t="n">
        <f aca="false">D58</f>
        <v>14400</v>
      </c>
      <c r="F58" s="38" t="n">
        <f aca="false">MAX(0,F57*(1+$C$12)-D58)</f>
        <v>157983.920946563</v>
      </c>
    </row>
    <row r="59" customFormat="false" ht="15" hidden="false" customHeight="false" outlineLevel="0" collapsed="false">
      <c r="B59" s="37" t="n">
        <v>9</v>
      </c>
      <c r="C59" s="42" t="n">
        <f aca="false">$C$10+9</f>
        <v>71</v>
      </c>
      <c r="D59" s="38" t="n">
        <f aca="false">IF(AND(C58&gt;=$C$18,C58&lt;$C$11),12*$C$6*(1+$C$7)^(C58-$C$18),0)</f>
        <v>14400</v>
      </c>
      <c r="E59" s="38" t="n">
        <f aca="false">D59</f>
        <v>14400</v>
      </c>
      <c r="F59" s="38" t="n">
        <f aca="false">MAX(0,F58*(1+$C$12)-D59)</f>
        <v>151483.116993891</v>
      </c>
    </row>
    <row r="60" customFormat="false" ht="15" hidden="false" customHeight="false" outlineLevel="0" collapsed="false">
      <c r="B60" s="37" t="n">
        <v>10</v>
      </c>
      <c r="C60" s="42" t="n">
        <f aca="false">$C$10+10</f>
        <v>72</v>
      </c>
      <c r="D60" s="38" t="n">
        <f aca="false">IF(AND(C59&gt;=$C$18,C59&lt;$C$11),12*$C$6*(1+$C$7)^(C59-$C$18),0)</f>
        <v>14400</v>
      </c>
      <c r="E60" s="38" t="n">
        <f aca="false">D60</f>
        <v>14400</v>
      </c>
      <c r="F60" s="38" t="n">
        <f aca="false">MAX(0,F59*(1+$C$12)-D60)</f>
        <v>144657.272843585</v>
      </c>
    </row>
    <row r="61" customFormat="false" ht="15" hidden="false" customHeight="false" outlineLevel="0" collapsed="false">
      <c r="B61" s="37" t="n">
        <v>11</v>
      </c>
      <c r="C61" s="42" t="n">
        <f aca="false">$C$10+11</f>
        <v>73</v>
      </c>
      <c r="D61" s="38" t="n">
        <f aca="false">IF(AND(C60&gt;=$C$18,C60&lt;$C$11),12*$C$6*(1+$C$7)^(C60-$C$18),0)</f>
        <v>14400</v>
      </c>
      <c r="E61" s="38" t="n">
        <f aca="false">D61</f>
        <v>14400</v>
      </c>
      <c r="F61" s="38" t="n">
        <f aca="false">MAX(0,F60*(1+$C$12)-D61)</f>
        <v>137490.136485764</v>
      </c>
    </row>
    <row r="62" customFormat="false" ht="15" hidden="false" customHeight="false" outlineLevel="0" collapsed="false">
      <c r="B62" s="37" t="n">
        <v>12</v>
      </c>
      <c r="C62" s="42" t="n">
        <f aca="false">$C$10+12</f>
        <v>74</v>
      </c>
      <c r="D62" s="38" t="n">
        <f aca="false">IF(AND(C61&gt;=$C$18,C61&lt;$C$11),12*$C$6*(1+$C$7)^(C61-$C$18),0)</f>
        <v>14400</v>
      </c>
      <c r="E62" s="38" t="n">
        <f aca="false">D62</f>
        <v>14400</v>
      </c>
      <c r="F62" s="38" t="n">
        <f aca="false">MAX(0,F61*(1+$C$12)-D62)</f>
        <v>129964.643310053</v>
      </c>
    </row>
    <row r="63" customFormat="false" ht="15" hidden="false" customHeight="false" outlineLevel="0" collapsed="false">
      <c r="B63" s="37" t="n">
        <v>13</v>
      </c>
      <c r="C63" s="42" t="n">
        <f aca="false">$C$10+13</f>
        <v>75</v>
      </c>
      <c r="D63" s="38" t="n">
        <f aca="false">IF(AND(C62&gt;=$C$18,C62&lt;$C$11),12*$C$6*(1+$C$7)^(C62-$C$18),0)</f>
        <v>14400</v>
      </c>
      <c r="E63" s="38" t="n">
        <f aca="false">D63</f>
        <v>14400</v>
      </c>
      <c r="F63" s="38" t="n">
        <f aca="false">MAX(0,F62*(1+$C$12)-D63)</f>
        <v>122062.875475555</v>
      </c>
    </row>
    <row r="64" customFormat="false" ht="15" hidden="false" customHeight="false" outlineLevel="0" collapsed="false">
      <c r="B64" s="37" t="n">
        <v>14</v>
      </c>
      <c r="C64" s="42" t="n">
        <f aca="false">$C$10+14</f>
        <v>76</v>
      </c>
      <c r="D64" s="38" t="n">
        <f aca="false">IF(AND(C63&gt;=$C$18,C63&lt;$C$11),12*$C$6*(1+$C$7)^(C63-$C$18),0)</f>
        <v>14400</v>
      </c>
      <c r="E64" s="38" t="n">
        <f aca="false">D64</f>
        <v>14400</v>
      </c>
      <c r="F64" s="38" t="n">
        <f aca="false">MAX(0,F63*(1+$C$12)-D64)</f>
        <v>113766.019249333</v>
      </c>
    </row>
    <row r="65" customFormat="false" ht="15" hidden="false" customHeight="false" outlineLevel="0" collapsed="false">
      <c r="B65" s="37" t="n">
        <v>15</v>
      </c>
      <c r="C65" s="42" t="n">
        <f aca="false">$C$10+15</f>
        <v>77</v>
      </c>
      <c r="D65" s="38" t="n">
        <f aca="false">IF(AND(C64&gt;=$C$18,C64&lt;$C$11),12*$C$6*(1+$C$7)^(C64-$C$18),0)</f>
        <v>14400</v>
      </c>
      <c r="E65" s="38" t="n">
        <f aca="false">D65</f>
        <v>14400</v>
      </c>
      <c r="F65" s="38" t="n">
        <f aca="false">MAX(0,F64*(1+$C$12)-D65)</f>
        <v>105054.3202118</v>
      </c>
    </row>
    <row r="66" customFormat="false" ht="15" hidden="false" customHeight="false" outlineLevel="0" collapsed="false">
      <c r="B66" s="37" t="n">
        <v>16</v>
      </c>
      <c r="C66" s="42" t="n">
        <f aca="false">$C$10+16</f>
        <v>78</v>
      </c>
      <c r="D66" s="38" t="n">
        <f aca="false">IF(AND(C65&gt;=$C$18,C65&lt;$C$11),12*$C$6*(1+$C$7)^(C65-$C$18),0)</f>
        <v>14400</v>
      </c>
      <c r="E66" s="38" t="n">
        <f aca="false">D66</f>
        <v>14400</v>
      </c>
      <c r="F66" s="38" t="n">
        <f aca="false">MAX(0,F65*(1+$C$12)-D66)</f>
        <v>95907.0362223898</v>
      </c>
    </row>
    <row r="67" customFormat="false" ht="15" hidden="false" customHeight="false" outlineLevel="0" collapsed="false">
      <c r="B67" s="37" t="n">
        <v>17</v>
      </c>
      <c r="C67" s="42" t="n">
        <f aca="false">$C$10+17</f>
        <v>79</v>
      </c>
      <c r="D67" s="38" t="n">
        <f aca="false">IF(AND(C66&gt;=$C$18,C66&lt;$C$11),12*$C$6*(1+$C$7)^(C66-$C$18),0)</f>
        <v>14400</v>
      </c>
      <c r="E67" s="38" t="n">
        <f aca="false">D67</f>
        <v>14400</v>
      </c>
      <c r="F67" s="38" t="n">
        <f aca="false">MAX(0,F66*(1+$C$12)-D67)</f>
        <v>86302.3880335093</v>
      </c>
    </row>
    <row r="68" customFormat="false" ht="15" hidden="false" customHeight="false" outlineLevel="0" collapsed="false">
      <c r="B68" s="37" t="n">
        <v>18</v>
      </c>
      <c r="C68" s="42" t="n">
        <f aca="false">$C$10+18</f>
        <v>80</v>
      </c>
      <c r="D68" s="38" t="n">
        <f aca="false">IF(AND(C67&gt;=$C$18,C67&lt;$C$11),12*$C$6*(1+$C$7)^(C67-$C$18),0)</f>
        <v>14400</v>
      </c>
      <c r="E68" s="38" t="n">
        <f aca="false">D68</f>
        <v>14400</v>
      </c>
      <c r="F68" s="38" t="n">
        <f aca="false">MAX(0,F67*(1+$C$12)-D68)</f>
        <v>76217.5074351847</v>
      </c>
    </row>
    <row r="69" customFormat="false" ht="15" hidden="false" customHeight="false" outlineLevel="0" collapsed="false">
      <c r="B69" s="37" t="n">
        <v>19</v>
      </c>
      <c r="C69" s="42" t="n">
        <f aca="false">$C$10+19</f>
        <v>81</v>
      </c>
      <c r="D69" s="38" t="n">
        <f aca="false">IF(AND(C68&gt;=$C$18,C68&lt;$C$11),12*$C$6*(1+$C$7)^(C68-$C$18),0)</f>
        <v>14400</v>
      </c>
      <c r="E69" s="38" t="n">
        <f aca="false">D69</f>
        <v>14400</v>
      </c>
      <c r="F69" s="38" t="n">
        <f aca="false">MAX(0,F68*(1+$C$12)-D69)</f>
        <v>65628.382806944</v>
      </c>
    </row>
    <row r="70" customFormat="false" ht="15" hidden="false" customHeight="false" outlineLevel="0" collapsed="false">
      <c r="B70" s="37" t="n">
        <v>20</v>
      </c>
      <c r="C70" s="42" t="n">
        <f aca="false">$C$10+20</f>
        <v>82</v>
      </c>
      <c r="D70" s="38" t="n">
        <f aca="false">IF(AND(C69&gt;=$C$18,C69&lt;$C$11),12*$C$6*(1+$C$7)^(C69-$C$18),0)</f>
        <v>14400</v>
      </c>
      <c r="E70" s="38" t="n">
        <f aca="false">D70</f>
        <v>14400</v>
      </c>
      <c r="F70" s="38" t="n">
        <f aca="false">MAX(0,F69*(1+$C$12)-D70)</f>
        <v>54509.8019472912</v>
      </c>
    </row>
    <row r="71" customFormat="false" ht="15" hidden="false" customHeight="false" outlineLevel="0" collapsed="false">
      <c r="B71" s="37" t="n">
        <v>21</v>
      </c>
      <c r="C71" s="42" t="n">
        <f aca="false">$C$10+21</f>
        <v>83</v>
      </c>
      <c r="D71" s="38" t="n">
        <f aca="false">IF(AND(C70&gt;=$C$18,C70&lt;$C$11),12*$C$6*(1+$C$7)^(C70-$C$18),0)</f>
        <v>14400</v>
      </c>
      <c r="E71" s="38" t="n">
        <f aca="false">D71</f>
        <v>14400</v>
      </c>
      <c r="F71" s="38" t="n">
        <f aca="false">MAX(0,F70*(1+$C$12)-D71)</f>
        <v>42835.2920446557</v>
      </c>
    </row>
    <row r="72" customFormat="false" ht="15" hidden="false" customHeight="false" outlineLevel="0" collapsed="false">
      <c r="B72" s="37" t="n">
        <v>22</v>
      </c>
      <c r="C72" s="42" t="n">
        <f aca="false">$C$10+22</f>
        <v>84</v>
      </c>
      <c r="D72" s="38" t="n">
        <f aca="false">IF(AND(C71&gt;=$C$18,C71&lt;$C$11),12*$C$6*(1+$C$7)^(C71-$C$18),0)</f>
        <v>14400</v>
      </c>
      <c r="E72" s="38" t="n">
        <f aca="false">D72</f>
        <v>14400</v>
      </c>
      <c r="F72" s="38" t="n">
        <f aca="false">MAX(0,F71*(1+$C$12)-D72)</f>
        <v>30577.0566468885</v>
      </c>
    </row>
    <row r="73" customFormat="false" ht="15" hidden="false" customHeight="false" outlineLevel="0" collapsed="false">
      <c r="B73" s="37" t="n">
        <v>23</v>
      </c>
      <c r="C73" s="42" t="n">
        <f aca="false">$C$10+23</f>
        <v>85</v>
      </c>
      <c r="D73" s="38" t="n">
        <f aca="false">IF(AND(C72&gt;=$C$18,C72&lt;$C$11),12*$C$6*(1+$C$7)^(C72-$C$18),0)</f>
        <v>14400</v>
      </c>
      <c r="E73" s="38" t="n">
        <f aca="false">D73</f>
        <v>14400</v>
      </c>
      <c r="F73" s="38" t="n">
        <f aca="false">MAX(0,F72*(1+$C$12)-D73)</f>
        <v>17705.9094792329</v>
      </c>
    </row>
    <row r="74" customFormat="false" ht="15" hidden="false" customHeight="false" outlineLevel="0" collapsed="false">
      <c r="B74" s="37" t="n">
        <v>24</v>
      </c>
      <c r="C74" s="42" t="n">
        <f aca="false">$C$10+24</f>
        <v>86</v>
      </c>
      <c r="D74" s="38" t="n">
        <f aca="false">IF(AND(C73&gt;=$C$18,C73&lt;$C$11),12*$C$6*(1+$C$7)^(C73-$C$18),0)</f>
        <v>14400</v>
      </c>
      <c r="E74" s="38" t="n">
        <f aca="false">D74</f>
        <v>14400</v>
      </c>
      <c r="F74" s="38" t="n">
        <f aca="false">MAX(0,F73*(1+$C$12)-D74)</f>
        <v>4191.20495319458</v>
      </c>
    </row>
    <row r="75" customFormat="false" ht="15" hidden="false" customHeight="false" outlineLevel="0" collapsed="false">
      <c r="B75" s="37" t="n">
        <v>25</v>
      </c>
      <c r="C75" s="42" t="n">
        <f aca="false">$C$10+25</f>
        <v>87</v>
      </c>
      <c r="D75" s="38" t="n">
        <f aca="false">IF(AND(C74&gt;=$C$18,C74&lt;$C$11),12*$C$6*(1+$C$7)^(C74-$C$18),0)</f>
        <v>14400</v>
      </c>
      <c r="E75" s="38" t="n">
        <f aca="false">D75</f>
        <v>14400</v>
      </c>
      <c r="F75" s="38" t="n">
        <f aca="false">MAX(0,F74*(1+$C$12)-D75)</f>
        <v>0</v>
      </c>
    </row>
    <row r="76" customFormat="false" ht="15" hidden="false" customHeight="false" outlineLevel="0" collapsed="false">
      <c r="B76" s="37" t="n">
        <v>26</v>
      </c>
      <c r="C76" s="42" t="n">
        <f aca="false">$C$10+26</f>
        <v>88</v>
      </c>
      <c r="D76" s="38" t="n">
        <f aca="false">IF(AND(C75&gt;=$C$18,C75&lt;$C$11),12*$C$6*(1+$C$7)^(C75-$C$18),0)</f>
        <v>14400</v>
      </c>
      <c r="E76" s="38" t="n">
        <f aca="false">D76</f>
        <v>14400</v>
      </c>
      <c r="F76" s="38" t="n">
        <f aca="false">MAX(0,F75*(1+$C$12)-D76)</f>
        <v>0</v>
      </c>
    </row>
    <row r="77" customFormat="false" ht="15" hidden="false" customHeight="false" outlineLevel="0" collapsed="false">
      <c r="B77" s="37" t="n">
        <v>27</v>
      </c>
      <c r="C77" s="42" t="n">
        <f aca="false">$C$10+27</f>
        <v>89</v>
      </c>
      <c r="D77" s="38" t="n">
        <f aca="false">IF(AND(C76&gt;=$C$18,C76&lt;$C$11),12*$C$6*(1+$C$7)^(C76-$C$18),0)</f>
        <v>14400</v>
      </c>
      <c r="E77" s="38" t="n">
        <f aca="false">D77</f>
        <v>14400</v>
      </c>
      <c r="F77" s="38" t="n">
        <f aca="false">MAX(0,F76*(1+$C$12)-D77)</f>
        <v>0</v>
      </c>
    </row>
    <row r="78" customFormat="false" ht="15" hidden="false" customHeight="false" outlineLevel="0" collapsed="false">
      <c r="B78" s="37" t="n">
        <v>28</v>
      </c>
      <c r="C78" s="42" t="n">
        <f aca="false">$C$10+28</f>
        <v>90</v>
      </c>
      <c r="D78" s="38" t="n">
        <f aca="false">IF(AND(C77&gt;=$C$18,C77&lt;$C$11),12*$C$6*(1+$C$7)^(C77-$C$18),0)</f>
        <v>14400</v>
      </c>
      <c r="E78" s="38" t="n">
        <f aca="false">D78</f>
        <v>14400</v>
      </c>
      <c r="F78" s="38" t="n">
        <f aca="false">MAX(0,F77*(1+$C$12)-D78)</f>
        <v>0</v>
      </c>
    </row>
    <row r="79" customFormat="false" ht="15" hidden="false" customHeight="false" outlineLevel="0" collapsed="false">
      <c r="B79" s="37" t="n">
        <v>29</v>
      </c>
      <c r="C79" s="42" t="n">
        <f aca="false">$C$10+29</f>
        <v>91</v>
      </c>
      <c r="D79" s="38" t="n">
        <f aca="false">IF(AND(C78&gt;=$C$18,C78&lt;$C$11),12*$C$6*(1+$C$7)^(C78-$C$18),0)</f>
        <v>0</v>
      </c>
      <c r="E79" s="38" t="n">
        <f aca="false">D79</f>
        <v>0</v>
      </c>
      <c r="F79" s="38" t="n">
        <f aca="false">MAX(0,F78*(1+$C$12)-D79)</f>
        <v>0</v>
      </c>
    </row>
    <row r="80" customFormat="false" ht="15" hidden="false" customHeight="false" outlineLevel="0" collapsed="false">
      <c r="B80" s="37" t="n">
        <v>30</v>
      </c>
      <c r="C80" s="42" t="n">
        <f aca="false">$C$10+30</f>
        <v>92</v>
      </c>
      <c r="D80" s="38" t="n">
        <f aca="false">IF(AND(C79&gt;=$C$18,C79&lt;$C$11),12*$C$6*(1+$C$7)^(C79-$C$18),0)</f>
        <v>0</v>
      </c>
      <c r="E80" s="38" t="n">
        <f aca="false">D80</f>
        <v>0</v>
      </c>
      <c r="F80" s="38" t="n">
        <f aca="false">MAX(0,F79*(1+$C$12)-D80)</f>
        <v>0</v>
      </c>
    </row>
    <row r="81" customFormat="false" ht="15" hidden="false" customHeight="false" outlineLevel="0" collapsed="false">
      <c r="B81" s="37" t="n">
        <v>31</v>
      </c>
      <c r="C81" s="42" t="n">
        <f aca="false">$C$10+31</f>
        <v>93</v>
      </c>
      <c r="D81" s="38" t="n">
        <f aca="false">IF(AND(C80&gt;=$C$18,C80&lt;$C$11),12*$C$6*(1+$C$7)^(C80-$C$18),0)</f>
        <v>0</v>
      </c>
      <c r="E81" s="38" t="n">
        <f aca="false">D81</f>
        <v>0</v>
      </c>
      <c r="F81" s="38" t="n">
        <f aca="false">MAX(0,F80*(1+$C$12)-D81)</f>
        <v>0</v>
      </c>
    </row>
    <row r="82" customFormat="false" ht="15" hidden="false" customHeight="false" outlineLevel="0" collapsed="false">
      <c r="B82" s="37" t="n">
        <v>32</v>
      </c>
      <c r="C82" s="42" t="n">
        <f aca="false">$C$10+32</f>
        <v>94</v>
      </c>
      <c r="D82" s="38" t="n">
        <f aca="false">IF(AND(C81&gt;=$C$18,C81&lt;$C$11),12*$C$6*(1+$C$7)^(C81-$C$18),0)</f>
        <v>0</v>
      </c>
      <c r="E82" s="38" t="n">
        <f aca="false">D82</f>
        <v>0</v>
      </c>
      <c r="F82" s="38" t="n">
        <f aca="false">MAX(0,F81*(1+$C$12)-D82)</f>
        <v>0</v>
      </c>
    </row>
    <row r="83" customFormat="false" ht="15" hidden="false" customHeight="false" outlineLevel="0" collapsed="false">
      <c r="B83" s="37" t="n">
        <v>33</v>
      </c>
      <c r="C83" s="42" t="n">
        <f aca="false">$C$10+33</f>
        <v>95</v>
      </c>
      <c r="D83" s="38" t="n">
        <f aca="false">IF(AND(C82&gt;=$C$18,C82&lt;$C$11),12*$C$6*(1+$C$7)^(C82-$C$18),0)</f>
        <v>0</v>
      </c>
      <c r="E83" s="38" t="n">
        <f aca="false">D83</f>
        <v>0</v>
      </c>
      <c r="F83" s="38" t="n">
        <f aca="false">MAX(0,F82*(1+$C$12)-D83)</f>
        <v>0</v>
      </c>
    </row>
    <row r="84" customFormat="false" ht="15" hidden="false" customHeight="false" outlineLevel="0" collapsed="false">
      <c r="B84" s="37" t="n">
        <v>34</v>
      </c>
      <c r="C84" s="42" t="n">
        <f aca="false">$C$10+34</f>
        <v>96</v>
      </c>
      <c r="D84" s="38" t="n">
        <f aca="false">IF(AND(C83&gt;=$C$18,C83&lt;$C$11),12*$C$6*(1+$C$7)^(C83-$C$18),0)</f>
        <v>0</v>
      </c>
      <c r="E84" s="38" t="n">
        <f aca="false">D84</f>
        <v>0</v>
      </c>
      <c r="F84" s="38" t="n">
        <f aca="false">MAX(0,F83*(1+$C$12)-D84)</f>
        <v>0</v>
      </c>
    </row>
    <row r="85" customFormat="false" ht="15" hidden="false" customHeight="false" outlineLevel="0" collapsed="false">
      <c r="B85" s="37" t="n">
        <v>35</v>
      </c>
      <c r="C85" s="42" t="n">
        <f aca="false">$C$10+35</f>
        <v>97</v>
      </c>
      <c r="D85" s="38" t="n">
        <f aca="false">IF(AND(C84&gt;=$C$18,C84&lt;$C$11),12*$C$6*(1+$C$7)^(C84-$C$18),0)</f>
        <v>0</v>
      </c>
      <c r="E85" s="38" t="n">
        <f aca="false">D85</f>
        <v>0</v>
      </c>
      <c r="F85" s="38" t="n">
        <f aca="false">MAX(0,F84*(1+$C$12)-D85)</f>
        <v>0</v>
      </c>
    </row>
    <row r="86" customFormat="false" ht="15" hidden="false" customHeight="false" outlineLevel="0" collapsed="false">
      <c r="B86" s="37" t="n">
        <v>36</v>
      </c>
      <c r="C86" s="42" t="n">
        <f aca="false">$C$10+36</f>
        <v>98</v>
      </c>
      <c r="D86" s="38" t="n">
        <f aca="false">IF(AND(C85&gt;=$C$18,C85&lt;$C$11),12*$C$6*(1+$C$7)^(C85-$C$18),0)</f>
        <v>0</v>
      </c>
      <c r="E86" s="38" t="n">
        <f aca="false">D86</f>
        <v>0</v>
      </c>
      <c r="F86" s="38" t="n">
        <f aca="false">MAX(0,F85*(1+$C$12)-D86)</f>
        <v>0</v>
      </c>
    </row>
    <row r="87" customFormat="false" ht="15" hidden="false" customHeight="false" outlineLevel="0" collapsed="false">
      <c r="B87" s="37" t="n">
        <v>37</v>
      </c>
      <c r="C87" s="42" t="n">
        <f aca="false">$C$10+37</f>
        <v>99</v>
      </c>
      <c r="D87" s="38" t="n">
        <f aca="false">IF(AND(C86&gt;=$C$18,C86&lt;$C$11),12*$C$6*(1+$C$7)^(C86-$C$18),0)</f>
        <v>0</v>
      </c>
      <c r="E87" s="38" t="n">
        <f aca="false">D87</f>
        <v>0</v>
      </c>
      <c r="F87" s="38" t="n">
        <f aca="false">MAX(0,F86*(1+$C$12)-D87)</f>
        <v>0</v>
      </c>
    </row>
    <row r="88" customFormat="false" ht="15" hidden="false" customHeight="false" outlineLevel="0" collapsed="false">
      <c r="B88" s="37" t="n">
        <v>38</v>
      </c>
      <c r="C88" s="42" t="n">
        <f aca="false">$C$10+38</f>
        <v>100</v>
      </c>
      <c r="D88" s="38" t="n">
        <f aca="false">IF(AND(C87&gt;=$C$18,C87&lt;$C$11),12*$C$6*(1+$C$7)^(C87-$C$18),0)</f>
        <v>0</v>
      </c>
      <c r="E88" s="38" t="n">
        <f aca="false">D88</f>
        <v>0</v>
      </c>
      <c r="F88" s="38" t="n">
        <f aca="false">MAX(0,F87*(1+$C$12)-D88)</f>
        <v>0</v>
      </c>
    </row>
    <row r="89" customFormat="false" ht="15" hidden="false" customHeight="false" outlineLevel="0" collapsed="false">
      <c r="B89" s="37" t="n">
        <v>39</v>
      </c>
      <c r="C89" s="42" t="n">
        <f aca="false">$C$10+39</f>
        <v>101</v>
      </c>
      <c r="D89" s="38" t="n">
        <f aca="false">IF(AND(C88&gt;=$C$18,C88&lt;$C$11),12*$C$6*(1+$C$7)^(C88-$C$18),0)</f>
        <v>0</v>
      </c>
      <c r="E89" s="38" t="n">
        <f aca="false">D89</f>
        <v>0</v>
      </c>
      <c r="F89" s="38" t="n">
        <f aca="false">MAX(0,F88*(1+$C$12)-D89)</f>
        <v>0</v>
      </c>
    </row>
    <row r="90" customFormat="false" ht="15" hidden="false" customHeight="false" outlineLevel="0" collapsed="false">
      <c r="B90" s="37" t="n">
        <v>40</v>
      </c>
      <c r="C90" s="42" t="n">
        <f aca="false">$C$10+40</f>
        <v>102</v>
      </c>
      <c r="D90" s="38" t="n">
        <f aca="false">IF(AND(C89&gt;=$C$18,C89&lt;$C$11),12*$C$6*(1+$C$7)^(C89-$C$18),0)</f>
        <v>0</v>
      </c>
      <c r="E90" s="38" t="n">
        <f aca="false">D90</f>
        <v>0</v>
      </c>
      <c r="F90" s="38" t="n">
        <f aca="false">MAX(0,F89*(1+$C$12)-D90)</f>
        <v>0</v>
      </c>
    </row>
    <row r="91" customFormat="false" ht="15" hidden="false" customHeight="false" outlineLevel="0" collapsed="false">
      <c r="B91" s="37" t="n">
        <v>41</v>
      </c>
      <c r="C91" s="42" t="n">
        <f aca="false">$C$10+41</f>
        <v>103</v>
      </c>
      <c r="D91" s="38" t="n">
        <f aca="false">IF(AND(C90&gt;=$C$18,C90&lt;$C$11),12*$C$6*(1+$C$7)^(C90-$C$18),0)</f>
        <v>0</v>
      </c>
      <c r="E91" s="38" t="n">
        <f aca="false">D91</f>
        <v>0</v>
      </c>
      <c r="F91" s="38" t="n">
        <f aca="false">MAX(0,F90*(1+$C$12)-D91)</f>
        <v>0</v>
      </c>
    </row>
    <row r="92" customFormat="false" ht="15" hidden="false" customHeight="false" outlineLevel="0" collapsed="false">
      <c r="B92" s="37" t="n">
        <v>42</v>
      </c>
      <c r="C92" s="42" t="n">
        <f aca="false">$C$10+42</f>
        <v>104</v>
      </c>
      <c r="D92" s="38" t="n">
        <f aca="false">IF(AND(C91&gt;=$C$18,C91&lt;$C$11),12*$C$6*(1+$C$7)^(C91-$C$18),0)</f>
        <v>0</v>
      </c>
      <c r="E92" s="38" t="n">
        <f aca="false">D92</f>
        <v>0</v>
      </c>
      <c r="F92" s="38" t="n">
        <f aca="false">MAX(0,F91*(1+$C$12)-D92)</f>
        <v>0</v>
      </c>
    </row>
    <row r="93" customFormat="false" ht="15" hidden="false" customHeight="false" outlineLevel="0" collapsed="false">
      <c r="B93" s="37" t="n">
        <v>43</v>
      </c>
      <c r="C93" s="42" t="n">
        <f aca="false">$C$10+43</f>
        <v>105</v>
      </c>
      <c r="D93" s="38" t="n">
        <f aca="false">IF(AND(C92&gt;=$C$18,C92&lt;$C$11),12*$C$6*(1+$C$7)^(C92-$C$18),0)</f>
        <v>0</v>
      </c>
      <c r="E93" s="38" t="n">
        <f aca="false">D93</f>
        <v>0</v>
      </c>
      <c r="F93" s="38" t="n">
        <f aca="false">MAX(0,F92*(1+$C$12)-D93)</f>
        <v>0</v>
      </c>
    </row>
    <row r="94" customFormat="false" ht="15" hidden="false" customHeight="false" outlineLevel="0" collapsed="false">
      <c r="B94" s="37" t="n">
        <v>44</v>
      </c>
      <c r="C94" s="42" t="n">
        <f aca="false">$C$10+44</f>
        <v>106</v>
      </c>
      <c r="D94" s="38" t="n">
        <f aca="false">IF(AND(C93&gt;=$C$18,C93&lt;$C$11),12*$C$6*(1+$C$7)^(C93-$C$18),0)</f>
        <v>0</v>
      </c>
      <c r="E94" s="38" t="n">
        <f aca="false">D94</f>
        <v>0</v>
      </c>
      <c r="F94" s="38" t="n">
        <f aca="false">MAX(0,F93*(1+$C$12)-D94)</f>
        <v>0</v>
      </c>
    </row>
    <row r="95" customFormat="false" ht="15" hidden="false" customHeight="false" outlineLevel="0" collapsed="false">
      <c r="B95" s="37" t="n">
        <v>45</v>
      </c>
      <c r="C95" s="42" t="n">
        <f aca="false">$C$10+45</f>
        <v>107</v>
      </c>
      <c r="D95" s="38" t="n">
        <f aca="false">IF(AND(C94&gt;=$C$18,C94&lt;$C$11),12*$C$6*(1+$C$7)^(C94-$C$18),0)</f>
        <v>0</v>
      </c>
      <c r="E95" s="38" t="n">
        <f aca="false">D95</f>
        <v>0</v>
      </c>
      <c r="F95" s="38" t="n">
        <f aca="false">MAX(0,F94*(1+$C$12)-D95)</f>
        <v>0</v>
      </c>
    </row>
    <row r="96" customFormat="false" ht="15" hidden="false" customHeight="false" outlineLevel="0" collapsed="false">
      <c r="B96" s="37" t="n">
        <v>46</v>
      </c>
      <c r="C96" s="42" t="n">
        <f aca="false">$C$10+46</f>
        <v>108</v>
      </c>
      <c r="D96" s="38" t="n">
        <f aca="false">IF(AND(C95&gt;=$C$18,C95&lt;$C$11),12*$C$6*(1+$C$7)^(C95-$C$18),0)</f>
        <v>0</v>
      </c>
      <c r="E96" s="38" t="n">
        <f aca="false">D96</f>
        <v>0</v>
      </c>
      <c r="F96" s="38" t="n">
        <f aca="false">MAX(0,F95*(1+$C$12)-D96)</f>
        <v>0</v>
      </c>
    </row>
    <row r="97" customFormat="false" ht="15" hidden="false" customHeight="false" outlineLevel="0" collapsed="false">
      <c r="B97" s="37" t="n">
        <v>47</v>
      </c>
      <c r="C97" s="42" t="n">
        <f aca="false">$C$10+47</f>
        <v>109</v>
      </c>
      <c r="D97" s="38" t="n">
        <f aca="false">IF(AND(C96&gt;=$C$18,C96&lt;$C$11),12*$C$6*(1+$C$7)^(C96-$C$18),0)</f>
        <v>0</v>
      </c>
      <c r="E97" s="38" t="n">
        <f aca="false">D97</f>
        <v>0</v>
      </c>
      <c r="F97" s="38" t="n">
        <f aca="false">MAX(0,F96*(1+$C$12)-D97)</f>
        <v>0</v>
      </c>
    </row>
    <row r="98" customFormat="false" ht="15" hidden="false" customHeight="false" outlineLevel="0" collapsed="false">
      <c r="B98" s="37" t="n">
        <v>48</v>
      </c>
      <c r="C98" s="42" t="n">
        <f aca="false">$C$10+48</f>
        <v>110</v>
      </c>
      <c r="D98" s="38" t="n">
        <f aca="false">IF(AND(C97&gt;=$C$18,C97&lt;$C$11),12*$C$6*(1+$C$7)^(C97-$C$18),0)</f>
        <v>0</v>
      </c>
      <c r="E98" s="38" t="n">
        <f aca="false">D98</f>
        <v>0</v>
      </c>
      <c r="F98" s="38" t="n">
        <f aca="false">MAX(0,F97*(1+$C$12)-D98)</f>
        <v>0</v>
      </c>
    </row>
    <row r="99" customFormat="false" ht="15" hidden="false" customHeight="false" outlineLevel="0" collapsed="false">
      <c r="B99" s="37" t="n">
        <v>49</v>
      </c>
      <c r="C99" s="42" t="n">
        <f aca="false">$C$10+49</f>
        <v>111</v>
      </c>
      <c r="D99" s="38" t="n">
        <f aca="false">IF(AND(C98&gt;=$C$18,C98&lt;$C$11),12*$C$6*(1+$C$7)^(C98-$C$18),0)</f>
        <v>0</v>
      </c>
      <c r="E99" s="38" t="n">
        <f aca="false">D99</f>
        <v>0</v>
      </c>
      <c r="F99" s="38" t="n">
        <f aca="false">MAX(0,F98*(1+$C$12)-D99)</f>
        <v>0</v>
      </c>
    </row>
    <row r="100" customFormat="false" ht="15" hidden="false" customHeight="false" outlineLevel="0" collapsed="false">
      <c r="B100" s="37" t="n">
        <v>50</v>
      </c>
      <c r="C100" s="42" t="n">
        <f aca="false">$C$10+50</f>
        <v>112</v>
      </c>
      <c r="D100" s="38" t="n">
        <f aca="false">IF(AND(C99&gt;=$C$18,C99&lt;$C$11),12*$C$6*(1+$C$7)^(C99-$C$18),0)</f>
        <v>0</v>
      </c>
      <c r="E100" s="38" t="n">
        <f aca="false">D100</f>
        <v>0</v>
      </c>
      <c r="F100" s="38" t="n">
        <f aca="false">MAX(0,F99*(1+$C$12)-D100)</f>
        <v>0</v>
      </c>
    </row>
    <row r="101" customFormat="false" ht="15" hidden="false" customHeight="false" outlineLevel="0" collapsed="false">
      <c r="B101" s="37" t="n">
        <v>51</v>
      </c>
      <c r="C101" s="42" t="n">
        <f aca="false">$C$10+51</f>
        <v>113</v>
      </c>
      <c r="D101" s="38" t="n">
        <f aca="false">IF(AND(C100&gt;=$C$18,C100&lt;$C$11),12*$C$6*(1+$C$7)^(C100-$C$18),0)</f>
        <v>0</v>
      </c>
      <c r="E101" s="38" t="n">
        <f aca="false">D101</f>
        <v>0</v>
      </c>
      <c r="F101" s="38" t="n">
        <f aca="false">MAX(0,F100*(1+$C$12)-D101)</f>
        <v>0</v>
      </c>
    </row>
    <row r="102" customFormat="false" ht="15" hidden="false" customHeight="false" outlineLevel="0" collapsed="false">
      <c r="B102" s="37" t="n">
        <v>52</v>
      </c>
      <c r="C102" s="42" t="n">
        <f aca="false">$C$10+52</f>
        <v>114</v>
      </c>
      <c r="D102" s="38" t="n">
        <f aca="false">IF(AND(C101&gt;=$C$18,C101&lt;$C$11),12*$C$6*(1+$C$7)^(C101-$C$18),0)</f>
        <v>0</v>
      </c>
      <c r="E102" s="38" t="n">
        <f aca="false">D102</f>
        <v>0</v>
      </c>
      <c r="F102" s="38" t="n">
        <f aca="false">MAX(0,F101*(1+$C$12)-D102)</f>
        <v>0</v>
      </c>
    </row>
    <row r="103" customFormat="false" ht="15" hidden="false" customHeight="false" outlineLevel="0" collapsed="false">
      <c r="B103" s="37" t="n">
        <v>53</v>
      </c>
      <c r="C103" s="42" t="n">
        <f aca="false">$C$10+53</f>
        <v>115</v>
      </c>
      <c r="D103" s="38" t="n">
        <f aca="false">IF(AND(C102&gt;=$C$18,C102&lt;$C$11),12*$C$6*(1+$C$7)^(C102-$C$18),0)</f>
        <v>0</v>
      </c>
      <c r="E103" s="38" t="n">
        <f aca="false">D103</f>
        <v>0</v>
      </c>
      <c r="F103" s="38" t="n">
        <f aca="false">MAX(0,F102*(1+$C$12)-D103)</f>
        <v>0</v>
      </c>
    </row>
    <row r="104" customFormat="false" ht="15" hidden="false" customHeight="false" outlineLevel="0" collapsed="false">
      <c r="B104" s="37" t="n">
        <v>54</v>
      </c>
      <c r="C104" s="42" t="n">
        <f aca="false">$C$10+54</f>
        <v>116</v>
      </c>
      <c r="D104" s="38" t="n">
        <f aca="false">IF(AND(C103&gt;=$C$18,C103&lt;$C$11),12*$C$6*(1+$C$7)^(C103-$C$18),0)</f>
        <v>0</v>
      </c>
      <c r="E104" s="38" t="n">
        <f aca="false">D104</f>
        <v>0</v>
      </c>
      <c r="F104" s="38" t="n">
        <f aca="false">MAX(0,F103*(1+$C$12)-D104)</f>
        <v>0</v>
      </c>
    </row>
    <row r="105" customFormat="false" ht="15" hidden="false" customHeight="false" outlineLevel="0" collapsed="false">
      <c r="B105" s="37" t="n">
        <v>55</v>
      </c>
      <c r="C105" s="42" t="n">
        <f aca="false">$C$10+55</f>
        <v>117</v>
      </c>
      <c r="D105" s="38" t="n">
        <f aca="false">IF(AND(C104&gt;=$C$18,C104&lt;$C$11),12*$C$6*(1+$C$7)^(C104-$C$18),0)</f>
        <v>0</v>
      </c>
      <c r="E105" s="38" t="n">
        <f aca="false">D105</f>
        <v>0</v>
      </c>
      <c r="F105" s="38" t="n">
        <f aca="false">MAX(0,F104*(1+$C$12)-D105)</f>
        <v>0</v>
      </c>
    </row>
    <row r="106" customFormat="false" ht="15" hidden="false" customHeight="false" outlineLevel="0" collapsed="false">
      <c r="B106" s="37" t="n">
        <v>56</v>
      </c>
      <c r="C106" s="42" t="n">
        <f aca="false">$C$10+56</f>
        <v>118</v>
      </c>
      <c r="D106" s="38" t="n">
        <f aca="false">IF(AND(C105&gt;=$C$18,C105&lt;$C$11),12*$C$6*(1+$C$7)^(C105-$C$18),0)</f>
        <v>0</v>
      </c>
      <c r="E106" s="38" t="n">
        <f aca="false">D106</f>
        <v>0</v>
      </c>
      <c r="F106" s="38" t="n">
        <f aca="false">MAX(0,F105*(1+$C$12)-D106)</f>
        <v>0</v>
      </c>
    </row>
    <row r="107" customFormat="false" ht="15" hidden="false" customHeight="false" outlineLevel="0" collapsed="false">
      <c r="B107" s="37" t="n">
        <v>57</v>
      </c>
      <c r="C107" s="42" t="n">
        <f aca="false">$C$10+57</f>
        <v>119</v>
      </c>
      <c r="D107" s="38" t="n">
        <f aca="false">IF(AND(C106&gt;=$C$18,C106&lt;$C$11),12*$C$6*(1+$C$7)^(C106-$C$18),0)</f>
        <v>0</v>
      </c>
      <c r="E107" s="38" t="n">
        <f aca="false">D107</f>
        <v>0</v>
      </c>
      <c r="F107" s="38" t="n">
        <f aca="false">MAX(0,F106*(1+$C$12)-D107)</f>
        <v>0</v>
      </c>
    </row>
    <row r="108" customFormat="false" ht="15" hidden="false" customHeight="false" outlineLevel="0" collapsed="false">
      <c r="B108" s="37" t="n">
        <v>58</v>
      </c>
      <c r="C108" s="42" t="n">
        <f aca="false">$C$10+58</f>
        <v>120</v>
      </c>
      <c r="D108" s="38" t="n">
        <f aca="false">IF(AND(C107&gt;=$C$18,C107&lt;$C$11),12*$C$6*(1+$C$7)^(C107-$C$18),0)</f>
        <v>0</v>
      </c>
      <c r="E108" s="38" t="n">
        <f aca="false">D108</f>
        <v>0</v>
      </c>
      <c r="F108" s="38" t="n">
        <f aca="false">MAX(0,F107*(1+$C$12)-D108)</f>
        <v>0</v>
      </c>
    </row>
    <row r="109" customFormat="false" ht="15" hidden="false" customHeight="false" outlineLevel="0" collapsed="false">
      <c r="B109" s="37" t="n">
        <v>59</v>
      </c>
      <c r="C109" s="42" t="n">
        <f aca="false">$C$10+59</f>
        <v>121</v>
      </c>
      <c r="D109" s="38" t="n">
        <f aca="false">IF(AND(C108&gt;=$C$18,C108&lt;$C$11),12*$C$6*(1+$C$7)^(C108-$C$18),0)</f>
        <v>0</v>
      </c>
      <c r="E109" s="38" t="n">
        <f aca="false">D109</f>
        <v>0</v>
      </c>
      <c r="F109" s="38" t="n">
        <f aca="false">MAX(0,F108*(1+$C$12)-D109)</f>
        <v>0</v>
      </c>
    </row>
    <row r="110" customFormat="false" ht="15" hidden="false" customHeight="false" outlineLevel="0" collapsed="false">
      <c r="B110" s="37" t="n">
        <v>60</v>
      </c>
      <c r="C110" s="42" t="n">
        <f aca="false">$C$10+60</f>
        <v>122</v>
      </c>
      <c r="D110" s="38" t="n">
        <f aca="false">IF(AND(C109&gt;=$C$18,C109&lt;$C$11),12*$C$6*(1+$C$7)^(C109-$C$18),0)</f>
        <v>0</v>
      </c>
      <c r="E110" s="38" t="n">
        <f aca="false">D110</f>
        <v>0</v>
      </c>
      <c r="F110" s="38" t="n">
        <f aca="false">MAX(0,F109*(1+$C$12)-D110)</f>
        <v>0</v>
      </c>
    </row>
    <row r="111" customFormat="false" ht="15" hidden="false" customHeight="false" outlineLevel="0" collapsed="false">
      <c r="B111" s="37" t="n">
        <v>61</v>
      </c>
      <c r="C111" s="42" t="n">
        <f aca="false">$C$10+61</f>
        <v>123</v>
      </c>
      <c r="D111" s="38" t="n">
        <f aca="false">IF(AND(C110&gt;=$C$18,C110&lt;$C$11),12*$C$6*(1+$C$7)^(C110-$C$18),0)</f>
        <v>0</v>
      </c>
      <c r="E111" s="38" t="n">
        <f aca="false">D111</f>
        <v>0</v>
      </c>
      <c r="F111" s="38" t="n">
        <f aca="false">MAX(0,F110*(1+$C$12)-D111)</f>
        <v>0</v>
      </c>
    </row>
  </sheetData>
  <mergeCells count="3">
    <mergeCell ref="B2:D2"/>
    <mergeCell ref="B15:D15"/>
    <mergeCell ref="B25:D2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987E5"/>
    <pageSetUpPr fitToPage="true"/>
  </sheetPr>
  <dimension ref="B1:I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6"/>
    <col collapsed="false" customWidth="true" hidden="false" outlineLevel="0" max="5" min="4" style="0" width="14"/>
    <col collapsed="false" customWidth="true" hidden="false" outlineLevel="0" max="8" min="6" style="0" width="16"/>
    <col collapsed="false" customWidth="true" hidden="false" outlineLevel="0" max="9" min="9" style="0" width="30"/>
  </cols>
  <sheetData>
    <row r="1" customFormat="false" ht="22.05" hidden="false" customHeight="false" outlineLevel="0" collapsed="false">
      <c r="B1" s="14" t="s">
        <v>30</v>
      </c>
    </row>
    <row r="2" customFormat="false" ht="30" hidden="false" customHeight="true" outlineLevel="0" collapsed="false">
      <c r="B2" s="15" t="s">
        <v>230</v>
      </c>
      <c r="C2" s="15"/>
      <c r="D2" s="15"/>
    </row>
    <row r="4" customFormat="false" ht="18" hidden="false" customHeight="true" outlineLevel="0" collapsed="false">
      <c r="B4" s="3" t="s">
        <v>231</v>
      </c>
      <c r="C4" s="3"/>
      <c r="D4" s="3"/>
    </row>
    <row r="5" customFormat="false" ht="15" hidden="false" customHeight="false" outlineLevel="0" collapsed="false">
      <c r="B5" s="8" t="s">
        <v>232</v>
      </c>
      <c r="C5" s="21" t="n">
        <v>20000</v>
      </c>
    </row>
    <row r="6" customFormat="false" ht="15" hidden="false" customHeight="false" outlineLevel="0" collapsed="false">
      <c r="B6" s="8" t="s">
        <v>233</v>
      </c>
      <c r="C6" s="19" t="n">
        <v>0.041</v>
      </c>
    </row>
    <row r="7" customFormat="false" ht="15" hidden="false" customHeight="false" outlineLevel="0" collapsed="false">
      <c r="B7" s="8" t="s">
        <v>234</v>
      </c>
      <c r="C7" s="18" t="s">
        <v>183</v>
      </c>
      <c r="D7" s="17" t="s">
        <v>115</v>
      </c>
    </row>
    <row r="8" customFormat="false" ht="22.35" hidden="false" customHeight="false" outlineLevel="0" collapsed="false">
      <c r="B8" s="8" t="s">
        <v>235</v>
      </c>
      <c r="C8" s="19" t="n">
        <v>0.05</v>
      </c>
      <c r="D8" s="17" t="s">
        <v>236</v>
      </c>
    </row>
    <row r="9" customFormat="false" ht="15" hidden="false" customHeight="false" outlineLevel="0" collapsed="false">
      <c r="B9" s="8" t="s">
        <v>237</v>
      </c>
      <c r="C9" s="43" t="n">
        <v>46291</v>
      </c>
    </row>
    <row r="11" customFormat="false" ht="15" hidden="false" customHeight="false" outlineLevel="0" collapsed="false">
      <c r="B11" s="22" t="s">
        <v>68</v>
      </c>
    </row>
    <row r="12" customFormat="false" ht="43.5" hidden="false" customHeight="true" outlineLevel="0" collapsed="false">
      <c r="B12" s="23" t="str">
        <f aca="false">IF(ABS($C$28)&lt;1,"A wash: the ladder and the account earn within a dollar a year of each other.",IF($C$28&gt;0,"The ladder earns "&amp;TEXT($C$28,"$#,##0")&amp;" a year more than the account. Blended it pays "&amp;TEXT($C$22,"0.00%")&amp;IF($C$7="Yes",", worth "&amp;TEXT($C$23,"0.00%")&amp;" once state tax is counted","")&amp;"; the first rung unlocks "&amp;TEXT($C$25,"mmm d, yyyy")&amp;".","The account wins by "&amp;TEXT(-$C$28,"$#,##0")&amp;" a year. Leave it where it is."))</f>
        <v>The ladder earns $196 a year more than the account. Blended it pays 4.83%, worth 5.08% once state tax is counted; the first rung unlocks Dec 26, 2026.</v>
      </c>
      <c r="C12" s="23"/>
      <c r="D12" s="23"/>
    </row>
    <row r="14" customFormat="false" ht="18" hidden="false" customHeight="true" outlineLevel="0" collapsed="false">
      <c r="B14" s="3" t="s">
        <v>238</v>
      </c>
      <c r="C14" s="3"/>
      <c r="D14" s="3"/>
      <c r="E14" s="3"/>
      <c r="F14" s="3"/>
      <c r="G14" s="3"/>
      <c r="H14" s="3"/>
      <c r="I14" s="3"/>
    </row>
    <row r="15" customFormat="false" ht="15" hidden="false" customHeight="false" outlineLevel="0" collapsed="false">
      <c r="B15" s="36" t="s">
        <v>239</v>
      </c>
      <c r="C15" s="36" t="s">
        <v>240</v>
      </c>
      <c r="D15" s="36" t="s">
        <v>241</v>
      </c>
      <c r="E15" s="36" t="s">
        <v>242</v>
      </c>
      <c r="F15" s="36" t="s">
        <v>243</v>
      </c>
      <c r="G15" s="36" t="s">
        <v>244</v>
      </c>
      <c r="H15" s="36" t="s">
        <v>245</v>
      </c>
      <c r="I15" s="36" t="s">
        <v>246</v>
      </c>
    </row>
    <row r="16" customFormat="false" ht="15" hidden="false" customHeight="false" outlineLevel="0" collapsed="false">
      <c r="B16" s="8" t="s">
        <v>247</v>
      </c>
      <c r="C16" s="44" t="n">
        <v>3</v>
      </c>
      <c r="D16" s="45" t="n">
        <v>0.05</v>
      </c>
      <c r="E16" s="46"/>
      <c r="F16" s="38" t="n">
        <f aca="false">IF(C16&gt;0,$C$5*IF(SUM($E$16:$E$19)&gt;0,E16/SUM($E$16:$E$19),1/COUNTIF($C$16:$C$19,"&gt;0")),0)</f>
        <v>5000</v>
      </c>
      <c r="G16" s="47" t="n">
        <f aca="false">IF(C16&gt;0,EDATE($C$9,C16),"")</f>
        <v>46382</v>
      </c>
      <c r="H16" s="38" t="n">
        <f aca="false">F16*D16*C16/12</f>
        <v>62.5</v>
      </c>
      <c r="I16" s="48" t="n">
        <f aca="false">IF(C16&gt;0,IF($C$7="Yes",D16/(1-$C$8),D16),"")</f>
        <v>0.0526315789473684</v>
      </c>
    </row>
    <row r="17" customFormat="false" ht="15" hidden="false" customHeight="false" outlineLevel="0" collapsed="false">
      <c r="B17" s="8" t="s">
        <v>248</v>
      </c>
      <c r="C17" s="44" t="n">
        <v>6</v>
      </c>
      <c r="D17" s="45" t="n">
        <v>0.049</v>
      </c>
      <c r="E17" s="46"/>
      <c r="F17" s="38" t="n">
        <f aca="false">IF(C17&gt;0,$C$5*IF(SUM($E$16:$E$19)&gt;0,E17/SUM($E$16:$E$19),1/COUNTIF($C$16:$C$19,"&gt;0")),0)</f>
        <v>5000</v>
      </c>
      <c r="G17" s="47" t="n">
        <f aca="false">IF(C17&gt;0,EDATE($C$9,C17),"")</f>
        <v>46472</v>
      </c>
      <c r="H17" s="38" t="n">
        <f aca="false">F17*D17*C17/12</f>
        <v>122.5</v>
      </c>
      <c r="I17" s="48" t="n">
        <f aca="false">IF(C17&gt;0,IF($C$7="Yes",D17/(1-$C$8),D17),"")</f>
        <v>0.0515789473684211</v>
      </c>
    </row>
    <row r="18" customFormat="false" ht="15" hidden="false" customHeight="false" outlineLevel="0" collapsed="false">
      <c r="B18" s="8" t="s">
        <v>249</v>
      </c>
      <c r="C18" s="44" t="n">
        <v>9</v>
      </c>
      <c r="D18" s="45" t="n">
        <v>0.048</v>
      </c>
      <c r="E18" s="46"/>
      <c r="F18" s="38" t="n">
        <f aca="false">IF(C18&gt;0,$C$5*IF(SUM($E$16:$E$19)&gt;0,E18/SUM($E$16:$E$19),1/COUNTIF($C$16:$C$19,"&gt;0")),0)</f>
        <v>5000</v>
      </c>
      <c r="G18" s="47" t="n">
        <f aca="false">IF(C18&gt;0,EDATE($C$9,C18),"")</f>
        <v>46564</v>
      </c>
      <c r="H18" s="38" t="n">
        <f aca="false">F18*D18*C18/12</f>
        <v>180</v>
      </c>
      <c r="I18" s="48" t="n">
        <f aca="false">IF(C18&gt;0,IF($C$7="Yes",D18/(1-$C$8),D18),"")</f>
        <v>0.0505263157894737</v>
      </c>
    </row>
    <row r="19" customFormat="false" ht="15" hidden="false" customHeight="false" outlineLevel="0" collapsed="false">
      <c r="B19" s="8" t="s">
        <v>250</v>
      </c>
      <c r="C19" s="44" t="n">
        <v>12</v>
      </c>
      <c r="D19" s="45" t="n">
        <v>0.046</v>
      </c>
      <c r="E19" s="46"/>
      <c r="F19" s="38" t="n">
        <f aca="false">IF(C19&gt;0,$C$5*IF(SUM($E$16:$E$19)&gt;0,E19/SUM($E$16:$E$19),1/COUNTIF($C$16:$C$19,"&gt;0")),0)</f>
        <v>5000</v>
      </c>
      <c r="G19" s="47" t="n">
        <f aca="false">IF(C19&gt;0,EDATE($C$9,C19),"")</f>
        <v>46656</v>
      </c>
      <c r="H19" s="38" t="n">
        <f aca="false">F19*D19*C19/12</f>
        <v>230</v>
      </c>
      <c r="I19" s="48" t="n">
        <f aca="false">IF(C19&gt;0,IF($C$7="Yes",D19/(1-$C$8),D19),"")</f>
        <v>0.048421052631579</v>
      </c>
    </row>
    <row r="21" customFormat="false" ht="18" hidden="false" customHeight="true" outlineLevel="0" collapsed="false">
      <c r="B21" s="3" t="s">
        <v>251</v>
      </c>
      <c r="C21" s="3"/>
      <c r="D21" s="3"/>
    </row>
    <row r="22" customFormat="false" ht="15" hidden="false" customHeight="false" outlineLevel="0" collapsed="false">
      <c r="B22" s="8" t="s">
        <v>252</v>
      </c>
      <c r="C22" s="49" t="n">
        <f aca="false">SUMPRODUCT(F16:F19,D16:D19)/$C$5</f>
        <v>0.04825</v>
      </c>
    </row>
    <row r="23" customFormat="false" ht="53.7" hidden="false" customHeight="false" outlineLevel="0" collapsed="false">
      <c r="B23" s="8" t="s">
        <v>253</v>
      </c>
      <c r="C23" s="49" t="n">
        <f aca="false">IF($C$7="Yes",$C$22/(1-$C$8),$C$22)</f>
        <v>0.0507894736842105</v>
      </c>
      <c r="D23" s="17" t="s">
        <v>254</v>
      </c>
    </row>
    <row r="24" customFormat="false" ht="15" hidden="false" customHeight="false" outlineLevel="0" collapsed="false">
      <c r="B24" s="8" t="s">
        <v>255</v>
      </c>
      <c r="C24" s="33" t="n">
        <f aca="false">SUMPRODUCT(F16:F19,C16:C19)/$C$5</f>
        <v>7.5</v>
      </c>
    </row>
    <row r="25" customFormat="false" ht="15" hidden="false" customHeight="false" outlineLevel="0" collapsed="false">
      <c r="B25" s="8" t="s">
        <v>256</v>
      </c>
      <c r="C25" s="50" t="n">
        <f aca="false">MIN(G16:G19)</f>
        <v>46382</v>
      </c>
    </row>
    <row r="26" customFormat="false" ht="15" hidden="false" customHeight="false" outlineLevel="0" collapsed="false">
      <c r="B26" s="8" t="s">
        <v>257</v>
      </c>
      <c r="C26" s="25" t="n">
        <f aca="false">SUM(H16:H19)</f>
        <v>595</v>
      </c>
    </row>
    <row r="27" customFormat="false" ht="15" hidden="false" customHeight="false" outlineLevel="0" collapsed="false">
      <c r="B27" s="8" t="s">
        <v>258</v>
      </c>
      <c r="C27" s="25" t="n">
        <f aca="false">SUMPRODUCT(F16:F19,C16:C19)*$C$6/12</f>
        <v>512.5</v>
      </c>
    </row>
    <row r="28" customFormat="false" ht="22.35" hidden="false" customHeight="false" outlineLevel="0" collapsed="false">
      <c r="B28" s="27" t="s">
        <v>259</v>
      </c>
      <c r="C28" s="28" t="n">
        <f aca="false">$C$5*($C$23-$C$6)</f>
        <v>195.789473684211</v>
      </c>
      <c r="D28" s="17" t="s">
        <v>260</v>
      </c>
    </row>
    <row r="30" customFormat="false" ht="64.5" hidden="false" customHeight="true" outlineLevel="0" collapsed="false">
      <c r="B30" s="32" t="s">
        <v>261</v>
      </c>
      <c r="C30" s="32"/>
      <c r="D30" s="32"/>
    </row>
  </sheetData>
  <mergeCells count="3">
    <mergeCell ref="B2:D2"/>
    <mergeCell ref="B12:D12"/>
    <mergeCell ref="B30:D30"/>
  </mergeCells>
  <dataValidations count="1">
    <dataValidation allowBlank="false" errorStyle="stop" operator="between" showDropDown="false" showErrorMessage="false" showInputMessage="false" sqref="C7"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987E5"/>
    <pageSetUpPr fitToPage="true"/>
  </sheetPr>
  <dimension ref="B1:H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5" min="3" style="0" width="18"/>
    <col collapsed="false" customWidth="true" hidden="false" outlineLevel="0" max="6" min="6" style="0" width="14"/>
  </cols>
  <sheetData>
    <row r="1" customFormat="false" ht="22.05" hidden="false" customHeight="false" outlineLevel="0" collapsed="false">
      <c r="B1" s="14" t="s">
        <v>32</v>
      </c>
    </row>
    <row r="2" customFormat="false" ht="30" hidden="false" customHeight="true" outlineLevel="0" collapsed="false">
      <c r="B2" s="15" t="s">
        <v>262</v>
      </c>
      <c r="C2" s="15"/>
      <c r="D2" s="15"/>
    </row>
    <row r="4" customFormat="false" ht="18" hidden="false" customHeight="true" outlineLevel="0" collapsed="false">
      <c r="B4" s="3" t="s">
        <v>263</v>
      </c>
      <c r="C4" s="3"/>
      <c r="D4" s="3"/>
      <c r="H4" s="51" t="s">
        <v>264</v>
      </c>
    </row>
    <row r="5" customFormat="false" ht="15" hidden="false" customHeight="false" outlineLevel="0" collapsed="false">
      <c r="B5" s="8" t="s">
        <v>265</v>
      </c>
      <c r="C5" s="18" t="s">
        <v>48</v>
      </c>
      <c r="D5" s="17" t="s">
        <v>49</v>
      </c>
      <c r="H5" s="52" t="n">
        <f aca="false">IF($C$13&gt;0,$C$6+$C$13*(0-4),0)</f>
        <v>46241</v>
      </c>
    </row>
    <row r="6" customFormat="false" ht="15" hidden="false" customHeight="false" outlineLevel="0" collapsed="false">
      <c r="B6" s="8" t="s">
        <v>266</v>
      </c>
      <c r="C6" s="43" t="n">
        <v>46297</v>
      </c>
      <c r="H6" s="52" t="n">
        <f aca="false">IF($C$13&gt;0,$C$6+$C$13*(1-4),0)</f>
        <v>46255</v>
      </c>
    </row>
    <row r="7" customFormat="false" ht="15" hidden="false" customHeight="false" outlineLevel="0" collapsed="false">
      <c r="B7" s="8" t="s">
        <v>267</v>
      </c>
      <c r="C7" s="16" t="n">
        <v>1800</v>
      </c>
      <c r="H7" s="52" t="n">
        <f aca="false">IF($C$13&gt;0,$C$6+$C$13*(2-4),0)</f>
        <v>46269</v>
      </c>
    </row>
    <row r="8" customFormat="false" ht="15" hidden="false" customHeight="false" outlineLevel="0" collapsed="false">
      <c r="H8" s="52" t="n">
        <f aca="false">IF($C$13&gt;0,$C$6+$C$13*(3-4),0)</f>
        <v>46283</v>
      </c>
    </row>
    <row r="9" customFormat="false" ht="15" hidden="false" customHeight="false" outlineLevel="0" collapsed="false">
      <c r="B9" s="22" t="s">
        <v>68</v>
      </c>
      <c r="H9" s="52" t="n">
        <f aca="false">IF($C$13&gt;0,$C$6+$C$13*(4-4),0)</f>
        <v>46297</v>
      </c>
    </row>
    <row r="10" customFormat="false" ht="43.5" hidden="false" customHeight="true" outlineLevel="0" collapsed="false">
      <c r="B10" s="23" t="str">
        <f aca="false">IF($C$13=0,"Paid "&amp;LOWER($C$5)&amp;", every month has the same number of checks. There is no extra one.",$C$36&amp;" of the next twelve months hold an extra check: "&amp;TEXT($C$18,"$#,##0")&amp;" a year the budget does not need. Build the month on "&amp;TEXT($C$17,"$#,##0")&amp;" ("&amp;$C$15&amp;" checks).")</f>
        <v>2 of the next twelve months hold an extra check: $3,600 a year the budget does not need. Build the month on $3,600 (2 checks).</v>
      </c>
      <c r="C10" s="23"/>
      <c r="D10" s="23"/>
      <c r="H10" s="52" t="n">
        <f aca="false">IF($C$13&gt;0,$C$6+$C$13*(5-4),0)</f>
        <v>46311</v>
      </c>
    </row>
    <row r="11" customFormat="false" ht="15" hidden="false" customHeight="false" outlineLevel="0" collapsed="false">
      <c r="H11" s="52" t="n">
        <f aca="false">IF($C$13&gt;0,$C$6+$C$13*(6-4),0)</f>
        <v>46325</v>
      </c>
    </row>
    <row r="12" customFormat="false" ht="18" hidden="false" customHeight="true" outlineLevel="0" collapsed="false">
      <c r="B12" s="3" t="s">
        <v>268</v>
      </c>
      <c r="C12" s="3"/>
      <c r="D12" s="3"/>
      <c r="H12" s="52" t="n">
        <f aca="false">IF($C$13&gt;0,$C$6+$C$13*(7-4),0)</f>
        <v>46339</v>
      </c>
    </row>
    <row r="13" customFormat="false" ht="22.35" hidden="false" customHeight="false" outlineLevel="0" collapsed="false">
      <c r="B13" s="8" t="s">
        <v>269</v>
      </c>
      <c r="C13" s="24" t="n">
        <f aca="false">IF($C$5="Every week",7,IF($C$5="Every two weeks",14,0))</f>
        <v>14</v>
      </c>
      <c r="D13" s="17" t="s">
        <v>270</v>
      </c>
      <c r="H13" s="52" t="n">
        <f aca="false">IF($C$13&gt;0,$C$6+$C$13*(8-4),0)</f>
        <v>46353</v>
      </c>
    </row>
    <row r="14" customFormat="false" ht="15" hidden="false" customHeight="false" outlineLevel="0" collapsed="false">
      <c r="B14" s="8" t="s">
        <v>70</v>
      </c>
      <c r="C14" s="24" t="n">
        <f aca="false">INDEX('Tax Tables'!$C$59:$C$62,MATCH($C$5,'Tax Tables'!$B$59:$B$62,0))</f>
        <v>26</v>
      </c>
      <c r="H14" s="52" t="n">
        <f aca="false">IF($C$13&gt;0,$C$6+$C$13*(9-4),0)</f>
        <v>46367</v>
      </c>
    </row>
    <row r="15" customFormat="false" ht="15" hidden="false" customHeight="false" outlineLevel="0" collapsed="false">
      <c r="B15" s="8" t="s">
        <v>271</v>
      </c>
      <c r="C15" s="24" t="n">
        <f aca="false">INDEX('Tax Tables'!$D$59:$D$62,MATCH($C$5,'Tax Tables'!$B$59:$B$62,0))</f>
        <v>2</v>
      </c>
      <c r="H15" s="52" t="n">
        <f aca="false">IF($C$13&gt;0,$C$6+$C$13*(10-4),0)</f>
        <v>46381</v>
      </c>
    </row>
    <row r="16" customFormat="false" ht="15" hidden="false" customHeight="false" outlineLevel="0" collapsed="false">
      <c r="B16" s="8" t="s">
        <v>272</v>
      </c>
      <c r="C16" s="24" t="n">
        <f aca="false">$C$14-12*$C$15</f>
        <v>2</v>
      </c>
      <c r="H16" s="52" t="n">
        <f aca="false">IF($C$13&gt;0,$C$6+$C$13*(11-4),0)</f>
        <v>46395</v>
      </c>
    </row>
    <row r="17" customFormat="false" ht="15" hidden="false" customHeight="false" outlineLevel="0" collapsed="false">
      <c r="B17" s="27" t="s">
        <v>273</v>
      </c>
      <c r="C17" s="28" t="n">
        <f aca="false">$C$15*$C$7</f>
        <v>3600</v>
      </c>
      <c r="D17" s="17" t="s">
        <v>274</v>
      </c>
      <c r="H17" s="52" t="n">
        <f aca="false">IF($C$13&gt;0,$C$6+$C$13*(12-4),0)</f>
        <v>46409</v>
      </c>
    </row>
    <row r="18" customFormat="false" ht="22.35" hidden="false" customHeight="false" outlineLevel="0" collapsed="false">
      <c r="B18" s="27" t="s">
        <v>275</v>
      </c>
      <c r="C18" s="28" t="n">
        <f aca="false">$C$16*$C$7</f>
        <v>3600</v>
      </c>
      <c r="D18" s="17" t="s">
        <v>276</v>
      </c>
      <c r="H18" s="52" t="n">
        <f aca="false">IF($C$13&gt;0,$C$6+$C$13*(13-4),0)</f>
        <v>46423</v>
      </c>
    </row>
    <row r="19" customFormat="false" ht="15" hidden="false" customHeight="false" outlineLevel="0" collapsed="false">
      <c r="B19" s="8" t="s">
        <v>277</v>
      </c>
      <c r="C19" s="30" t="n">
        <f aca="false">$C$18/12</f>
        <v>300</v>
      </c>
      <c r="H19" s="52" t="n">
        <f aca="false">IF($C$13&gt;0,$C$6+$C$13*(14-4),0)</f>
        <v>46437</v>
      </c>
    </row>
    <row r="20" customFormat="false" ht="15" hidden="false" customHeight="false" outlineLevel="0" collapsed="false">
      <c r="B20" s="8" t="s">
        <v>278</v>
      </c>
      <c r="C20" s="25" t="n">
        <f aca="false">$C$14*$C$7</f>
        <v>46800</v>
      </c>
      <c r="H20" s="52" t="n">
        <f aca="false">IF($C$13&gt;0,$C$6+$C$13*(15-4),0)</f>
        <v>46451</v>
      </c>
    </row>
    <row r="21" customFormat="false" ht="15" hidden="false" customHeight="false" outlineLevel="0" collapsed="false">
      <c r="H21" s="52" t="n">
        <f aca="false">IF($C$13&gt;0,$C$6+$C$13*(16-4),0)</f>
        <v>46465</v>
      </c>
    </row>
    <row r="22" customFormat="false" ht="18" hidden="false" customHeight="true" outlineLevel="0" collapsed="false">
      <c r="B22" s="3" t="s">
        <v>279</v>
      </c>
      <c r="C22" s="3"/>
      <c r="D22" s="3"/>
      <c r="E22" s="3"/>
      <c r="H22" s="52" t="n">
        <f aca="false">IF($C$13&gt;0,$C$6+$C$13*(17-4),0)</f>
        <v>46479</v>
      </c>
    </row>
    <row r="23" customFormat="false" ht="15" hidden="false" customHeight="false" outlineLevel="0" collapsed="false">
      <c r="B23" s="36" t="s">
        <v>280</v>
      </c>
      <c r="C23" s="36" t="s">
        <v>281</v>
      </c>
      <c r="D23" s="36" t="s">
        <v>282</v>
      </c>
      <c r="E23" s="36" t="s">
        <v>283</v>
      </c>
      <c r="H23" s="52" t="n">
        <f aca="false">IF($C$13&gt;0,$C$6+$C$13*(18-4),0)</f>
        <v>46493</v>
      </c>
    </row>
    <row r="24" customFormat="false" ht="15" hidden="false" customHeight="false" outlineLevel="0" collapsed="false">
      <c r="B24" s="53" t="n">
        <f aca="false">DATE(YEAR($C$6),MONTH($C$6)+0,1)</f>
        <v>46296</v>
      </c>
      <c r="C24" s="42" t="n">
        <f aca="false">IF($C$13&gt;0,SUMPRODUCT(($H$5:$H$64&gt;=B24)*($H$5:$H$64&lt;=EOMONTH(B24,0))),$C$15)</f>
        <v>3</v>
      </c>
      <c r="D24" s="42" t="n">
        <f aca="false">MAX(0,C24-$C$15)</f>
        <v>1</v>
      </c>
      <c r="E24" s="38" t="n">
        <f aca="false">D24*$C$7</f>
        <v>1800</v>
      </c>
      <c r="H24" s="52" t="n">
        <f aca="false">IF($C$13&gt;0,$C$6+$C$13*(19-4),0)</f>
        <v>46507</v>
      </c>
    </row>
    <row r="25" customFormat="false" ht="15" hidden="false" customHeight="false" outlineLevel="0" collapsed="false">
      <c r="B25" s="53" t="n">
        <f aca="false">DATE(YEAR($C$6),MONTH($C$6)+1,1)</f>
        <v>46327</v>
      </c>
      <c r="C25" s="42" t="n">
        <f aca="false">IF($C$13&gt;0,SUMPRODUCT(($H$5:$H$64&gt;=B25)*($H$5:$H$64&lt;=EOMONTH(B25,0))),$C$15)</f>
        <v>2</v>
      </c>
      <c r="D25" s="42" t="n">
        <f aca="false">MAX(0,C25-$C$15)</f>
        <v>0</v>
      </c>
      <c r="E25" s="38" t="n">
        <f aca="false">D25*$C$7</f>
        <v>0</v>
      </c>
      <c r="H25" s="52" t="n">
        <f aca="false">IF($C$13&gt;0,$C$6+$C$13*(20-4),0)</f>
        <v>46521</v>
      </c>
    </row>
    <row r="26" customFormat="false" ht="15" hidden="false" customHeight="false" outlineLevel="0" collapsed="false">
      <c r="B26" s="53" t="n">
        <f aca="false">DATE(YEAR($C$6),MONTH($C$6)+2,1)</f>
        <v>46357</v>
      </c>
      <c r="C26" s="42" t="n">
        <f aca="false">IF($C$13&gt;0,SUMPRODUCT(($H$5:$H$64&gt;=B26)*($H$5:$H$64&lt;=EOMONTH(B26,0))),$C$15)</f>
        <v>2</v>
      </c>
      <c r="D26" s="42" t="n">
        <f aca="false">MAX(0,C26-$C$15)</f>
        <v>0</v>
      </c>
      <c r="E26" s="38" t="n">
        <f aca="false">D26*$C$7</f>
        <v>0</v>
      </c>
      <c r="H26" s="52" t="n">
        <f aca="false">IF($C$13&gt;0,$C$6+$C$13*(21-4),0)</f>
        <v>46535</v>
      </c>
    </row>
    <row r="27" customFormat="false" ht="15" hidden="false" customHeight="false" outlineLevel="0" collapsed="false">
      <c r="B27" s="53" t="n">
        <f aca="false">DATE(YEAR($C$6),MONTH($C$6)+3,1)</f>
        <v>46388</v>
      </c>
      <c r="C27" s="42" t="n">
        <f aca="false">IF($C$13&gt;0,SUMPRODUCT(($H$5:$H$64&gt;=B27)*($H$5:$H$64&lt;=EOMONTH(B27,0))),$C$15)</f>
        <v>2</v>
      </c>
      <c r="D27" s="42" t="n">
        <f aca="false">MAX(0,C27-$C$15)</f>
        <v>0</v>
      </c>
      <c r="E27" s="38" t="n">
        <f aca="false">D27*$C$7</f>
        <v>0</v>
      </c>
      <c r="H27" s="52" t="n">
        <f aca="false">IF($C$13&gt;0,$C$6+$C$13*(22-4),0)</f>
        <v>46549</v>
      </c>
    </row>
    <row r="28" customFormat="false" ht="15" hidden="false" customHeight="false" outlineLevel="0" collapsed="false">
      <c r="B28" s="53" t="n">
        <f aca="false">DATE(YEAR($C$6),MONTH($C$6)+4,1)</f>
        <v>46419</v>
      </c>
      <c r="C28" s="42" t="n">
        <f aca="false">IF($C$13&gt;0,SUMPRODUCT(($H$5:$H$64&gt;=B28)*($H$5:$H$64&lt;=EOMONTH(B28,0))),$C$15)</f>
        <v>2</v>
      </c>
      <c r="D28" s="42" t="n">
        <f aca="false">MAX(0,C28-$C$15)</f>
        <v>0</v>
      </c>
      <c r="E28" s="38" t="n">
        <f aca="false">D28*$C$7</f>
        <v>0</v>
      </c>
      <c r="H28" s="52" t="n">
        <f aca="false">IF($C$13&gt;0,$C$6+$C$13*(23-4),0)</f>
        <v>46563</v>
      </c>
    </row>
    <row r="29" customFormat="false" ht="15" hidden="false" customHeight="false" outlineLevel="0" collapsed="false">
      <c r="B29" s="53" t="n">
        <f aca="false">DATE(YEAR($C$6),MONTH($C$6)+5,1)</f>
        <v>46447</v>
      </c>
      <c r="C29" s="42" t="n">
        <f aca="false">IF($C$13&gt;0,SUMPRODUCT(($H$5:$H$64&gt;=B29)*($H$5:$H$64&lt;=EOMONTH(B29,0))),$C$15)</f>
        <v>2</v>
      </c>
      <c r="D29" s="42" t="n">
        <f aca="false">MAX(0,C29-$C$15)</f>
        <v>0</v>
      </c>
      <c r="E29" s="38" t="n">
        <f aca="false">D29*$C$7</f>
        <v>0</v>
      </c>
      <c r="H29" s="52" t="n">
        <f aca="false">IF($C$13&gt;0,$C$6+$C$13*(24-4),0)</f>
        <v>46577</v>
      </c>
    </row>
    <row r="30" customFormat="false" ht="15" hidden="false" customHeight="false" outlineLevel="0" collapsed="false">
      <c r="B30" s="53" t="n">
        <f aca="false">DATE(YEAR($C$6),MONTH($C$6)+6,1)</f>
        <v>46478</v>
      </c>
      <c r="C30" s="42" t="n">
        <f aca="false">IF($C$13&gt;0,SUMPRODUCT(($H$5:$H$64&gt;=B30)*($H$5:$H$64&lt;=EOMONTH(B30,0))),$C$15)</f>
        <v>3</v>
      </c>
      <c r="D30" s="42" t="n">
        <f aca="false">MAX(0,C30-$C$15)</f>
        <v>1</v>
      </c>
      <c r="E30" s="38" t="n">
        <f aca="false">D30*$C$7</f>
        <v>1800</v>
      </c>
      <c r="H30" s="52" t="n">
        <f aca="false">IF($C$13&gt;0,$C$6+$C$13*(25-4),0)</f>
        <v>46591</v>
      </c>
    </row>
    <row r="31" customFormat="false" ht="15" hidden="false" customHeight="false" outlineLevel="0" collapsed="false">
      <c r="B31" s="53" t="n">
        <f aca="false">DATE(YEAR($C$6),MONTH($C$6)+7,1)</f>
        <v>46508</v>
      </c>
      <c r="C31" s="42" t="n">
        <f aca="false">IF($C$13&gt;0,SUMPRODUCT(($H$5:$H$64&gt;=B31)*($H$5:$H$64&lt;=EOMONTH(B31,0))),$C$15)</f>
        <v>2</v>
      </c>
      <c r="D31" s="42" t="n">
        <f aca="false">MAX(0,C31-$C$15)</f>
        <v>0</v>
      </c>
      <c r="E31" s="38" t="n">
        <f aca="false">D31*$C$7</f>
        <v>0</v>
      </c>
      <c r="H31" s="52" t="n">
        <f aca="false">IF($C$13&gt;0,$C$6+$C$13*(26-4),0)</f>
        <v>46605</v>
      </c>
    </row>
    <row r="32" customFormat="false" ht="15" hidden="false" customHeight="false" outlineLevel="0" collapsed="false">
      <c r="B32" s="53" t="n">
        <f aca="false">DATE(YEAR($C$6),MONTH($C$6)+8,1)</f>
        <v>46539</v>
      </c>
      <c r="C32" s="42" t="n">
        <f aca="false">IF($C$13&gt;0,SUMPRODUCT(($H$5:$H$64&gt;=B32)*($H$5:$H$64&lt;=EOMONTH(B32,0))),$C$15)</f>
        <v>2</v>
      </c>
      <c r="D32" s="42" t="n">
        <f aca="false">MAX(0,C32-$C$15)</f>
        <v>0</v>
      </c>
      <c r="E32" s="38" t="n">
        <f aca="false">D32*$C$7</f>
        <v>0</v>
      </c>
      <c r="H32" s="52" t="n">
        <f aca="false">IF($C$13&gt;0,$C$6+$C$13*(27-4),0)</f>
        <v>46619</v>
      </c>
    </row>
    <row r="33" customFormat="false" ht="15" hidden="false" customHeight="false" outlineLevel="0" collapsed="false">
      <c r="B33" s="53" t="n">
        <f aca="false">DATE(YEAR($C$6),MONTH($C$6)+9,1)</f>
        <v>46569</v>
      </c>
      <c r="C33" s="42" t="n">
        <f aca="false">IF($C$13&gt;0,SUMPRODUCT(($H$5:$H$64&gt;=B33)*($H$5:$H$64&lt;=EOMONTH(B33,0))),$C$15)</f>
        <v>2</v>
      </c>
      <c r="D33" s="42" t="n">
        <f aca="false">MAX(0,C33-$C$15)</f>
        <v>0</v>
      </c>
      <c r="E33" s="38" t="n">
        <f aca="false">D33*$C$7</f>
        <v>0</v>
      </c>
      <c r="H33" s="52" t="n">
        <f aca="false">IF($C$13&gt;0,$C$6+$C$13*(28-4),0)</f>
        <v>46633</v>
      </c>
    </row>
    <row r="34" customFormat="false" ht="15" hidden="false" customHeight="false" outlineLevel="0" collapsed="false">
      <c r="B34" s="53" t="n">
        <f aca="false">DATE(YEAR($C$6),MONTH($C$6)+10,1)</f>
        <v>46600</v>
      </c>
      <c r="C34" s="42" t="n">
        <f aca="false">IF($C$13&gt;0,SUMPRODUCT(($H$5:$H$64&gt;=B34)*($H$5:$H$64&lt;=EOMONTH(B34,0))),$C$15)</f>
        <v>2</v>
      </c>
      <c r="D34" s="42" t="n">
        <f aca="false">MAX(0,C34-$C$15)</f>
        <v>0</v>
      </c>
      <c r="E34" s="38" t="n">
        <f aca="false">D34*$C$7</f>
        <v>0</v>
      </c>
      <c r="H34" s="52" t="n">
        <f aca="false">IF($C$13&gt;0,$C$6+$C$13*(29-4),0)</f>
        <v>46647</v>
      </c>
    </row>
    <row r="35" customFormat="false" ht="15" hidden="false" customHeight="false" outlineLevel="0" collapsed="false">
      <c r="B35" s="53" t="n">
        <f aca="false">DATE(YEAR($C$6),MONTH($C$6)+11,1)</f>
        <v>46631</v>
      </c>
      <c r="C35" s="42" t="n">
        <f aca="false">IF($C$13&gt;0,SUMPRODUCT(($H$5:$H$64&gt;=B35)*($H$5:$H$64&lt;=EOMONTH(B35,0))),$C$15)</f>
        <v>2</v>
      </c>
      <c r="D35" s="42" t="n">
        <f aca="false">MAX(0,C35-$C$15)</f>
        <v>0</v>
      </c>
      <c r="E35" s="38" t="n">
        <f aca="false">D35*$C$7</f>
        <v>0</v>
      </c>
      <c r="H35" s="52" t="n">
        <f aca="false">IF($C$13&gt;0,$C$6+$C$13*(30-4),0)</f>
        <v>46661</v>
      </c>
    </row>
    <row r="36" customFormat="false" ht="15" hidden="false" customHeight="false" outlineLevel="0" collapsed="false">
      <c r="B36" s="27" t="s">
        <v>284</v>
      </c>
      <c r="C36" s="41" t="n">
        <f aca="false">COUNTIF(D24:D35,"&gt;0")</f>
        <v>2</v>
      </c>
      <c r="H36" s="52" t="n">
        <f aca="false">IF($C$13&gt;0,$C$6+$C$13*(31-4),0)</f>
        <v>46675</v>
      </c>
    </row>
    <row r="37" customFormat="false" ht="15" hidden="false" customHeight="false" outlineLevel="0" collapsed="false">
      <c r="H37" s="52" t="n">
        <f aca="false">IF($C$13&gt;0,$C$6+$C$13*(32-4),0)</f>
        <v>46689</v>
      </c>
    </row>
    <row r="38" customFormat="false" ht="39" hidden="false" customHeight="true" outlineLevel="0" collapsed="false">
      <c r="B38" s="32" t="s">
        <v>285</v>
      </c>
      <c r="C38" s="32"/>
      <c r="D38" s="32"/>
      <c r="H38" s="52" t="n">
        <f aca="false">IF($C$13&gt;0,$C$6+$C$13*(33-4),0)</f>
        <v>46703</v>
      </c>
    </row>
    <row r="39" customFormat="false" ht="15" hidden="false" customHeight="false" outlineLevel="0" collapsed="false">
      <c r="H39" s="52" t="n">
        <f aca="false">IF($C$13&gt;0,$C$6+$C$13*(34-4),0)</f>
        <v>46717</v>
      </c>
    </row>
    <row r="40" customFormat="false" ht="15" hidden="false" customHeight="false" outlineLevel="0" collapsed="false">
      <c r="H40" s="52" t="n">
        <f aca="false">IF($C$13&gt;0,$C$6+$C$13*(35-4),0)</f>
        <v>46731</v>
      </c>
    </row>
    <row r="41" customFormat="false" ht="15" hidden="false" customHeight="false" outlineLevel="0" collapsed="false">
      <c r="H41" s="52" t="n">
        <f aca="false">IF($C$13&gt;0,$C$6+$C$13*(36-4),0)</f>
        <v>46745</v>
      </c>
    </row>
    <row r="42" customFormat="false" ht="15" hidden="false" customHeight="false" outlineLevel="0" collapsed="false">
      <c r="H42" s="52" t="n">
        <f aca="false">IF($C$13&gt;0,$C$6+$C$13*(37-4),0)</f>
        <v>46759</v>
      </c>
    </row>
    <row r="43" customFormat="false" ht="15" hidden="false" customHeight="false" outlineLevel="0" collapsed="false">
      <c r="H43" s="52" t="n">
        <f aca="false">IF($C$13&gt;0,$C$6+$C$13*(38-4),0)</f>
        <v>46773</v>
      </c>
    </row>
    <row r="44" customFormat="false" ht="15" hidden="false" customHeight="false" outlineLevel="0" collapsed="false">
      <c r="H44" s="52" t="n">
        <f aca="false">IF($C$13&gt;0,$C$6+$C$13*(39-4),0)</f>
        <v>46787</v>
      </c>
    </row>
    <row r="45" customFormat="false" ht="15" hidden="false" customHeight="false" outlineLevel="0" collapsed="false">
      <c r="H45" s="52" t="n">
        <f aca="false">IF($C$13&gt;0,$C$6+$C$13*(40-4),0)</f>
        <v>46801</v>
      </c>
    </row>
    <row r="46" customFormat="false" ht="15" hidden="false" customHeight="false" outlineLevel="0" collapsed="false">
      <c r="H46" s="52" t="n">
        <f aca="false">IF($C$13&gt;0,$C$6+$C$13*(41-4),0)</f>
        <v>46815</v>
      </c>
    </row>
    <row r="47" customFormat="false" ht="15" hidden="false" customHeight="false" outlineLevel="0" collapsed="false">
      <c r="H47" s="52" t="n">
        <f aca="false">IF($C$13&gt;0,$C$6+$C$13*(42-4),0)</f>
        <v>46829</v>
      </c>
    </row>
    <row r="48" customFormat="false" ht="15" hidden="false" customHeight="false" outlineLevel="0" collapsed="false">
      <c r="H48" s="52" t="n">
        <f aca="false">IF($C$13&gt;0,$C$6+$C$13*(43-4),0)</f>
        <v>46843</v>
      </c>
    </row>
    <row r="49" customFormat="false" ht="15" hidden="false" customHeight="false" outlineLevel="0" collapsed="false">
      <c r="H49" s="52" t="n">
        <f aca="false">IF($C$13&gt;0,$C$6+$C$13*(44-4),0)</f>
        <v>46857</v>
      </c>
    </row>
    <row r="50" customFormat="false" ht="15" hidden="false" customHeight="false" outlineLevel="0" collapsed="false">
      <c r="H50" s="52" t="n">
        <f aca="false">IF($C$13&gt;0,$C$6+$C$13*(45-4),0)</f>
        <v>46871</v>
      </c>
    </row>
    <row r="51" customFormat="false" ht="15" hidden="false" customHeight="false" outlineLevel="0" collapsed="false">
      <c r="H51" s="52" t="n">
        <f aca="false">IF($C$13&gt;0,$C$6+$C$13*(46-4),0)</f>
        <v>46885</v>
      </c>
    </row>
    <row r="52" customFormat="false" ht="15" hidden="false" customHeight="false" outlineLevel="0" collapsed="false">
      <c r="H52" s="52" t="n">
        <f aca="false">IF($C$13&gt;0,$C$6+$C$13*(47-4),0)</f>
        <v>46899</v>
      </c>
    </row>
    <row r="53" customFormat="false" ht="15" hidden="false" customHeight="false" outlineLevel="0" collapsed="false">
      <c r="H53" s="52" t="n">
        <f aca="false">IF($C$13&gt;0,$C$6+$C$13*(48-4),0)</f>
        <v>46913</v>
      </c>
    </row>
    <row r="54" customFormat="false" ht="15" hidden="false" customHeight="false" outlineLevel="0" collapsed="false">
      <c r="H54" s="52" t="n">
        <f aca="false">IF($C$13&gt;0,$C$6+$C$13*(49-4),0)</f>
        <v>46927</v>
      </c>
    </row>
    <row r="55" customFormat="false" ht="15" hidden="false" customHeight="false" outlineLevel="0" collapsed="false">
      <c r="H55" s="52" t="n">
        <f aca="false">IF($C$13&gt;0,$C$6+$C$13*(50-4),0)</f>
        <v>46941</v>
      </c>
    </row>
    <row r="56" customFormat="false" ht="15" hidden="false" customHeight="false" outlineLevel="0" collapsed="false">
      <c r="H56" s="52" t="n">
        <f aca="false">IF($C$13&gt;0,$C$6+$C$13*(51-4),0)</f>
        <v>46955</v>
      </c>
    </row>
    <row r="57" customFormat="false" ht="15" hidden="false" customHeight="false" outlineLevel="0" collapsed="false">
      <c r="H57" s="52" t="n">
        <f aca="false">IF($C$13&gt;0,$C$6+$C$13*(52-4),0)</f>
        <v>46969</v>
      </c>
    </row>
    <row r="58" customFormat="false" ht="15" hidden="false" customHeight="false" outlineLevel="0" collapsed="false">
      <c r="H58" s="52" t="n">
        <f aca="false">IF($C$13&gt;0,$C$6+$C$13*(53-4),0)</f>
        <v>46983</v>
      </c>
    </row>
    <row r="59" customFormat="false" ht="15" hidden="false" customHeight="false" outlineLevel="0" collapsed="false">
      <c r="H59" s="52" t="n">
        <f aca="false">IF($C$13&gt;0,$C$6+$C$13*(54-4),0)</f>
        <v>46997</v>
      </c>
    </row>
    <row r="60" customFormat="false" ht="15" hidden="false" customHeight="false" outlineLevel="0" collapsed="false">
      <c r="H60" s="52" t="n">
        <f aca="false">IF($C$13&gt;0,$C$6+$C$13*(55-4),0)</f>
        <v>47011</v>
      </c>
    </row>
    <row r="61" customFormat="false" ht="15" hidden="false" customHeight="false" outlineLevel="0" collapsed="false">
      <c r="H61" s="52" t="n">
        <f aca="false">IF($C$13&gt;0,$C$6+$C$13*(56-4),0)</f>
        <v>47025</v>
      </c>
    </row>
    <row r="62" customFormat="false" ht="15" hidden="false" customHeight="false" outlineLevel="0" collapsed="false">
      <c r="H62" s="52" t="n">
        <f aca="false">IF($C$13&gt;0,$C$6+$C$13*(57-4),0)</f>
        <v>47039</v>
      </c>
    </row>
    <row r="63" customFormat="false" ht="15" hidden="false" customHeight="false" outlineLevel="0" collapsed="false">
      <c r="H63" s="52" t="n">
        <f aca="false">IF($C$13&gt;0,$C$6+$C$13*(58-4),0)</f>
        <v>47053</v>
      </c>
    </row>
    <row r="64" customFormat="false" ht="15" hidden="false" customHeight="false" outlineLevel="0" collapsed="false">
      <c r="H64" s="52" t="n">
        <f aca="false">IF($C$13&gt;0,$C$6+$C$13*(59-4),0)</f>
        <v>47067</v>
      </c>
    </row>
  </sheetData>
  <mergeCells count="3">
    <mergeCell ref="B2:D2"/>
    <mergeCell ref="B10:D10"/>
    <mergeCell ref="B38:D38"/>
  </mergeCells>
  <dataValidations count="1">
    <dataValidation allowBlank="false" errorStyle="stop" operator="between" showDropDown="false" showErrorMessage="false" showInputMessage="false" sqref="C5" type="list">
      <formula1>"Every two weeks,Every week,Twice a month,Once a month"</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987E5"/>
    <pageSetUpPr fitToPage="true"/>
  </sheetPr>
  <dimension ref="B1:D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3" min="3" style="0" width="18"/>
    <col collapsed="false" customWidth="true" hidden="false" outlineLevel="0" max="4" min="4" style="0" width="62"/>
  </cols>
  <sheetData>
    <row r="1" customFormat="false" ht="22.05" hidden="false" customHeight="false" outlineLevel="0" collapsed="false">
      <c r="B1" s="14" t="s">
        <v>34</v>
      </c>
    </row>
    <row r="2" customFormat="false" ht="30" hidden="false" customHeight="true" outlineLevel="0" collapsed="false">
      <c r="B2" s="15" t="s">
        <v>286</v>
      </c>
      <c r="C2" s="15"/>
      <c r="D2" s="15"/>
    </row>
    <row r="4" customFormat="false" ht="18" hidden="false" customHeight="true" outlineLevel="0" collapsed="false">
      <c r="B4" s="3" t="s">
        <v>287</v>
      </c>
      <c r="C4" s="3"/>
      <c r="D4" s="3"/>
    </row>
    <row r="5" customFormat="false" ht="15" hidden="false" customHeight="false" outlineLevel="0" collapsed="false">
      <c r="B5" s="8" t="s">
        <v>288</v>
      </c>
      <c r="C5" s="21" t="n">
        <v>20000</v>
      </c>
    </row>
    <row r="6" customFormat="false" ht="15" hidden="false" customHeight="false" outlineLevel="0" collapsed="false">
      <c r="B6" s="8" t="s">
        <v>289</v>
      </c>
      <c r="C6" s="21" t="n">
        <v>80000</v>
      </c>
    </row>
    <row r="7" customFormat="false" ht="15" hidden="false" customHeight="false" outlineLevel="0" collapsed="false">
      <c r="B7" s="8" t="s">
        <v>290</v>
      </c>
      <c r="C7" s="19" t="n">
        <v>0.085</v>
      </c>
      <c r="D7" s="17" t="s">
        <v>291</v>
      </c>
    </row>
    <row r="8" customFormat="false" ht="15" hidden="false" customHeight="false" outlineLevel="0" collapsed="false">
      <c r="B8" s="8" t="s">
        <v>292</v>
      </c>
      <c r="C8" s="20" t="n">
        <v>60</v>
      </c>
      <c r="D8" s="17" t="s">
        <v>293</v>
      </c>
    </row>
    <row r="9" customFormat="false" ht="15" hidden="false" customHeight="false" outlineLevel="0" collapsed="false">
      <c r="B9" s="8" t="s">
        <v>294</v>
      </c>
      <c r="C9" s="19" t="n">
        <v>0.07</v>
      </c>
    </row>
    <row r="10" customFormat="false" ht="15" hidden="false" customHeight="false" outlineLevel="0" collapsed="false">
      <c r="B10" s="8" t="s">
        <v>295</v>
      </c>
      <c r="C10" s="21" t="n">
        <v>500</v>
      </c>
      <c r="D10" s="17" t="s">
        <v>175</v>
      </c>
    </row>
    <row r="11" customFormat="false" ht="18" hidden="false" customHeight="true" outlineLevel="0" collapsed="false">
      <c r="B11" s="3" t="s">
        <v>296</v>
      </c>
      <c r="C11" s="3"/>
      <c r="D11" s="3"/>
    </row>
    <row r="12" customFormat="false" ht="15" hidden="false" customHeight="false" outlineLevel="0" collapsed="false">
      <c r="B12" s="8" t="s">
        <v>209</v>
      </c>
      <c r="C12" s="20" t="n">
        <v>40</v>
      </c>
    </row>
    <row r="13" customFormat="false" ht="15" hidden="false" customHeight="false" outlineLevel="0" collapsed="false">
      <c r="B13" s="8" t="s">
        <v>297</v>
      </c>
      <c r="C13" s="19" t="n">
        <v>0.22</v>
      </c>
    </row>
    <row r="14" customFormat="false" ht="15" hidden="false" customHeight="false" outlineLevel="0" collapsed="false">
      <c r="B14" s="8" t="s">
        <v>298</v>
      </c>
      <c r="C14" s="20" t="n">
        <v>24</v>
      </c>
      <c r="D14" s="17" t="s">
        <v>299</v>
      </c>
    </row>
    <row r="15" customFormat="false" ht="18" hidden="false" customHeight="true" outlineLevel="0" collapsed="false">
      <c r="B15" s="3" t="s">
        <v>300</v>
      </c>
      <c r="C15" s="3"/>
      <c r="D15" s="3"/>
    </row>
    <row r="16" customFormat="false" ht="15" hidden="false" customHeight="false" outlineLevel="0" collapsed="false">
      <c r="B16" s="8" t="s">
        <v>301</v>
      </c>
      <c r="C16" s="19" t="n">
        <v>0.12</v>
      </c>
      <c r="D16" s="17" t="s">
        <v>299</v>
      </c>
    </row>
    <row r="18" customFormat="false" ht="15" hidden="false" customHeight="false" outlineLevel="0" collapsed="false">
      <c r="B18" s="22" t="s">
        <v>68</v>
      </c>
    </row>
    <row r="19" customFormat="false" ht="43.5" hidden="false" customHeight="true" outlineLevel="0" collapsed="false">
      <c r="B19" s="23" t="str">
        <f aca="false">IF($C$30&gt;0,"Borrowing from yourself costs about "&amp;TEXT($C$30,"$#,##0")&amp;" over "&amp;$C$8&amp;" months","At a loan rate above the plan return, the loan costs nothing on the arithmetic")&amp;IF(ISNUMBER($C$36),". Leave the job after "&amp;$C$14&amp;" months and "&amp;TEXT($C$33,"$#,##0")&amp;" is still owed: a bill of about "&amp;TEXT($C$36,"$#,##0")&amp;" if it is not repaid.",".")&amp;IF(ISNUMBER($C$40)," "&amp;$C$41&amp;" is cheaper.","")</f>
        <v>Borrowing from yourself costs about $34,772 over 60 months. Leave the job after 24 months and $12,998 is still owed: a bill of about $4,160 if it is not repaid. The personal loan is cheaper.</v>
      </c>
      <c r="C19" s="23"/>
      <c r="D19" s="23"/>
    </row>
    <row r="21" customFormat="false" ht="18" hidden="false" customHeight="true" outlineLevel="0" collapsed="false">
      <c r="B21" s="3" t="s">
        <v>302</v>
      </c>
      <c r="C21" s="3"/>
      <c r="D21" s="3"/>
    </row>
    <row r="22" customFormat="false" ht="15" hidden="false" customHeight="false" outlineLevel="0" collapsed="false">
      <c r="B22" s="8" t="s">
        <v>303</v>
      </c>
      <c r="C22" s="25" t="n">
        <f aca="false">MIN('Tax Tables'!$C$50,MAX($C$6*'Tax Tables'!$C$51,MIN('Tax Tables'!$C$52,$C$6)))</f>
        <v>40000</v>
      </c>
      <c r="D22" s="17" t="s">
        <v>304</v>
      </c>
    </row>
    <row r="23" customFormat="false" ht="15" hidden="false" customHeight="false" outlineLevel="0" collapsed="false">
      <c r="B23" s="8" t="s">
        <v>305</v>
      </c>
      <c r="C23" s="31" t="str">
        <f aca="false">IF($C$5&gt;$C$22,"No: over the amount the plan can lend",IF($C$8&gt;'Tax Tables'!$C$53,"No: over "&amp;'Tax Tables'!$C$53&amp;" months","Yes"))</f>
        <v>Yes</v>
      </c>
    </row>
    <row r="24" customFormat="false" ht="15" hidden="false" customHeight="false" outlineLevel="0" collapsed="false">
      <c r="B24" s="8" t="s">
        <v>189</v>
      </c>
      <c r="C24" s="30" t="n">
        <f aca="false">PMT($C$7/12,$C$8,-$C$5)</f>
        <v>410.330626541025</v>
      </c>
    </row>
    <row r="25" customFormat="false" ht="15" hidden="false" customHeight="false" outlineLevel="0" collapsed="false">
      <c r="B25" s="8" t="s">
        <v>306</v>
      </c>
      <c r="C25" s="25" t="n">
        <f aca="false">$C$24*$C$8-$C$5</f>
        <v>4619.8375924615</v>
      </c>
    </row>
    <row r="26" customFormat="false" ht="15" hidden="false" customHeight="false" outlineLevel="0" collapsed="false">
      <c r="B26" s="8" t="s">
        <v>307</v>
      </c>
      <c r="C26" s="25" t="n">
        <f aca="false">$C$5*(1+$C$9/12)^$C$8</f>
        <v>28352.5051922798</v>
      </c>
    </row>
    <row r="27" customFormat="false" ht="15" hidden="false" customHeight="false" outlineLevel="0" collapsed="false">
      <c r="B27" s="8" t="s">
        <v>308</v>
      </c>
      <c r="C27" s="25" t="n">
        <f aca="false">FV($C$9/12,$C$8,-$C$24,0)</f>
        <v>29376.76018916</v>
      </c>
      <c r="D27" s="17" t="s">
        <v>309</v>
      </c>
    </row>
    <row r="28" customFormat="false" ht="15" hidden="false" customHeight="false" outlineLevel="0" collapsed="false">
      <c r="B28" s="8" t="s">
        <v>310</v>
      </c>
      <c r="C28" s="25" t="n">
        <f aca="false">$C$26-$C$27</f>
        <v>-1024.25499688022</v>
      </c>
      <c r="D28" s="17" t="s">
        <v>311</v>
      </c>
    </row>
    <row r="29" customFormat="false" ht="15" hidden="false" customHeight="false" outlineLevel="0" collapsed="false">
      <c r="B29" s="8" t="s">
        <v>312</v>
      </c>
      <c r="C29" s="25" t="n">
        <f aca="false">FV($C$9/12,$C$8,-$C$10,0)</f>
        <v>35796.4508240563</v>
      </c>
    </row>
    <row r="30" customFormat="false" ht="15" hidden="false" customHeight="false" outlineLevel="0" collapsed="false">
      <c r="B30" s="27" t="s">
        <v>313</v>
      </c>
      <c r="C30" s="28" t="n">
        <f aca="false">MAX(0,$C$28+$C$29)</f>
        <v>34772.1958271761</v>
      </c>
    </row>
    <row r="32" customFormat="false" ht="18" hidden="false" customHeight="true" outlineLevel="0" collapsed="false">
      <c r="B32" s="3" t="s">
        <v>314</v>
      </c>
      <c r="C32" s="3"/>
      <c r="D32" s="3"/>
    </row>
    <row r="33" customFormat="false" ht="15" hidden="false" customHeight="false" outlineLevel="0" collapsed="false">
      <c r="B33" s="8" t="s">
        <v>315</v>
      </c>
      <c r="C33" s="25" t="n">
        <f aca="false">IF($C$14&gt;0,MAX(0,-FV($C$7/12,$C$14,-$C$24,$C$5)),"n/a")</f>
        <v>12998.4997256965</v>
      </c>
    </row>
    <row r="34" customFormat="false" ht="15" hidden="false" customHeight="false" outlineLevel="0" collapsed="false">
      <c r="B34" s="8" t="s">
        <v>316</v>
      </c>
      <c r="C34" s="25" t="n">
        <f aca="false">IFERROR($C$33*$C$13,"n/a")</f>
        <v>2859.66993965323</v>
      </c>
      <c r="D34" s="17" t="s">
        <v>317</v>
      </c>
    </row>
    <row r="35" customFormat="false" ht="15" hidden="false" customHeight="false" outlineLevel="0" collapsed="false">
      <c r="B35" s="8" t="s">
        <v>318</v>
      </c>
      <c r="C35" s="25" t="n">
        <f aca="false">IFERROR(IF($C$12+$C$14/12&lt;'Tax Tables'!$C$55,$C$33*'Tax Tables'!$C$54,0),"n/a")</f>
        <v>1299.84997256965</v>
      </c>
      <c r="D35" s="17" t="s">
        <v>319</v>
      </c>
    </row>
    <row r="36" customFormat="false" ht="15" hidden="false" customHeight="false" outlineLevel="0" collapsed="false">
      <c r="B36" s="27" t="s">
        <v>320</v>
      </c>
      <c r="C36" s="28" t="n">
        <f aca="false">IFERROR($C$34+$C$35,"n/a")</f>
        <v>4159.51991222288</v>
      </c>
      <c r="D36" s="17" t="s">
        <v>321</v>
      </c>
    </row>
    <row r="38" customFormat="false" ht="18" hidden="false" customHeight="true" outlineLevel="0" collapsed="false">
      <c r="B38" s="3" t="s">
        <v>300</v>
      </c>
      <c r="C38" s="3"/>
      <c r="D38" s="3"/>
    </row>
    <row r="39" customFormat="false" ht="15" hidden="false" customHeight="false" outlineLevel="0" collapsed="false">
      <c r="B39" s="8" t="s">
        <v>322</v>
      </c>
      <c r="C39" s="30" t="n">
        <f aca="false">IF($C$16&gt;0,PMT($C$16/12,$C$8,-$C$5),"n/a")</f>
        <v>444.888953698036</v>
      </c>
    </row>
    <row r="40" customFormat="false" ht="15" hidden="false" customHeight="false" outlineLevel="0" collapsed="false">
      <c r="B40" s="27" t="s">
        <v>323</v>
      </c>
      <c r="C40" s="28" t="n">
        <f aca="false">IFERROR($C$39*$C$8-$C$5,"n/a")</f>
        <v>6693.33722188213</v>
      </c>
    </row>
    <row r="41" customFormat="false" ht="15" hidden="false" customHeight="false" outlineLevel="0" collapsed="false">
      <c r="B41" s="27" t="s">
        <v>324</v>
      </c>
      <c r="C41" s="35" t="str">
        <f aca="false">IFERROR(IF($C$40&lt;$C$30,"The personal loan","The plan loan"),"n/a")</f>
        <v>The personal loan</v>
      </c>
    </row>
    <row r="43" customFormat="false" ht="39" hidden="false" customHeight="true" outlineLevel="0" collapsed="false">
      <c r="B43" s="32" t="s">
        <v>325</v>
      </c>
      <c r="C43" s="32"/>
      <c r="D43" s="32"/>
    </row>
  </sheetData>
  <mergeCells count="3">
    <mergeCell ref="B2:D2"/>
    <mergeCell ref="B19:D19"/>
    <mergeCell ref="B43:D4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987E5"/>
    <pageSetUpPr fitToPage="true"/>
  </sheetPr>
  <dimension ref="B1:I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8" min="3" style="0" width="14"/>
    <col collapsed="false" customWidth="true" hidden="false" outlineLevel="0" max="9" min="9" style="0" width="16"/>
  </cols>
  <sheetData>
    <row r="1" customFormat="false" ht="22.05" hidden="false" customHeight="false" outlineLevel="0" collapsed="false">
      <c r="B1" s="14" t="s">
        <v>36</v>
      </c>
    </row>
    <row r="2" customFormat="false" ht="30" hidden="false" customHeight="true" outlineLevel="0" collapsed="false">
      <c r="B2" s="15" t="s">
        <v>326</v>
      </c>
      <c r="C2" s="15"/>
      <c r="D2" s="15"/>
    </row>
    <row r="4" customFormat="false" ht="18" hidden="false" customHeight="true" outlineLevel="0" collapsed="false">
      <c r="B4" s="3" t="s">
        <v>327</v>
      </c>
      <c r="C4" s="3"/>
      <c r="D4" s="3"/>
    </row>
    <row r="5" customFormat="false" ht="32.8" hidden="false" customHeight="false" outlineLevel="0" collapsed="false">
      <c r="B5" s="8" t="s">
        <v>328</v>
      </c>
      <c r="C5" s="43" t="n">
        <f aca="true">TODAY()</f>
        <v>46291</v>
      </c>
      <c r="D5" s="17" t="s">
        <v>329</v>
      </c>
    </row>
    <row r="7" customFormat="false" ht="15" hidden="false" customHeight="false" outlineLevel="0" collapsed="false">
      <c r="B7" s="22" t="s">
        <v>68</v>
      </c>
    </row>
    <row r="8" customFormat="false" ht="43.5" hidden="false" customHeight="true" outlineLevel="0" collapsed="false">
      <c r="B8" s="23" t="str">
        <f aca="false">IF($F$27=0,"Add a bill to see the set-aside.","Set aside "&amp;TEXT($F$27,"$#,##0")&amp;" a month. The fund should hold "&amp;TEXT($G$27,"$#,##0")&amp;" today."&amp;IF($C$44&lt;0," Starting there it runs "&amp;TEXT(-$C$44,"$#,##0")&amp;" short in the year ahead: start with "&amp;TEXT($C$45,"$#,##0")&amp;" instead.",""))</f>
        <v>Set aside $568 a month. The fund should hold $3,755 today.</v>
      </c>
      <c r="C8" s="23"/>
      <c r="D8" s="23"/>
    </row>
    <row r="10" customFormat="false" ht="18" hidden="false" customHeight="true" outlineLevel="0" collapsed="false">
      <c r="B10" s="3" t="s">
        <v>330</v>
      </c>
      <c r="C10" s="3"/>
      <c r="D10" s="3"/>
      <c r="E10" s="3"/>
      <c r="F10" s="3"/>
      <c r="G10" s="3"/>
      <c r="H10" s="3"/>
      <c r="I10" s="3"/>
    </row>
    <row r="11" customFormat="false" ht="15" hidden="false" customHeight="false" outlineLevel="0" collapsed="false">
      <c r="B11" s="36" t="s">
        <v>331</v>
      </c>
      <c r="C11" s="36" t="s">
        <v>243</v>
      </c>
      <c r="D11" s="36" t="s">
        <v>332</v>
      </c>
      <c r="E11" s="36" t="s">
        <v>333</v>
      </c>
      <c r="F11" s="36" t="s">
        <v>334</v>
      </c>
      <c r="G11" s="36" t="s">
        <v>335</v>
      </c>
      <c r="H11" s="36" t="s">
        <v>336</v>
      </c>
      <c r="I11" s="36" t="s">
        <v>337</v>
      </c>
    </row>
    <row r="12" customFormat="false" ht="15" hidden="false" customHeight="false" outlineLevel="0" collapsed="false">
      <c r="B12" s="54" t="s">
        <v>338</v>
      </c>
      <c r="C12" s="7" t="n">
        <v>900</v>
      </c>
      <c r="D12" s="44" t="n">
        <v>6</v>
      </c>
      <c r="E12" s="55" t="n">
        <v>46371</v>
      </c>
      <c r="F12" s="56" t="n">
        <f aca="false">IF(AND(C12&gt;0,D12&gt;0),C12/D12,0)</f>
        <v>150</v>
      </c>
      <c r="G12" s="38" t="n">
        <f aca="false">IF(AND(C12&gt;0,D12&gt;0,E12&gt;0),C12*MAX(0,MIN(1,1-MAX(0,(E12-$C$5)/30.4375)/D12)),0)</f>
        <v>505.749486652977</v>
      </c>
      <c r="H12" s="38" t="n">
        <f aca="false">IF(AND(C12&gt;0,D12&gt;0),C12*12/D12,0)</f>
        <v>1800</v>
      </c>
      <c r="I12" s="57" t="n">
        <f aca="false">IF(D12&gt;0,D12,1)</f>
        <v>6</v>
      </c>
    </row>
    <row r="13" customFormat="false" ht="15" hidden="false" customHeight="false" outlineLevel="0" collapsed="false">
      <c r="B13" s="54" t="s">
        <v>339</v>
      </c>
      <c r="C13" s="7" t="n">
        <v>1200</v>
      </c>
      <c r="D13" s="44" t="n">
        <v>12</v>
      </c>
      <c r="E13" s="55" t="n">
        <v>46357</v>
      </c>
      <c r="F13" s="56" t="n">
        <f aca="false">IF(AND(C13&gt;0,D13&gt;0),C13/D13,0)</f>
        <v>100</v>
      </c>
      <c r="G13" s="38" t="n">
        <f aca="false">IF(AND(C13&gt;0,D13&gt;0,E13&gt;0),C13*MAX(0,MIN(1,1-MAX(0,(E13-$C$5)/30.4375)/D13)),0)</f>
        <v>983.162217659138</v>
      </c>
      <c r="H13" s="38" t="n">
        <f aca="false">IF(AND(C13&gt;0,D13&gt;0),C13*12/D13,0)</f>
        <v>1200</v>
      </c>
      <c r="I13" s="57" t="n">
        <f aca="false">IF(D13&gt;0,D13,1)</f>
        <v>12</v>
      </c>
    </row>
    <row r="14" customFormat="false" ht="15" hidden="false" customHeight="false" outlineLevel="0" collapsed="false">
      <c r="B14" s="54" t="s">
        <v>340</v>
      </c>
      <c r="C14" s="7" t="n">
        <v>3200</v>
      </c>
      <c r="D14" s="44" t="n">
        <v>12</v>
      </c>
      <c r="E14" s="55" t="n">
        <v>46487</v>
      </c>
      <c r="F14" s="56" t="n">
        <f aca="false">IF(AND(C14&gt;0,D14&gt;0),C14/D14,0)</f>
        <v>266.666666666667</v>
      </c>
      <c r="G14" s="38" t="n">
        <f aca="false">IF(AND(C14&gt;0,D14&gt;0,E14&gt;0),C14*MAX(0,MIN(1,1-MAX(0,(E14-$C$5)/30.4375)/D14)),0)</f>
        <v>1482.81998631075</v>
      </c>
      <c r="H14" s="38" t="n">
        <f aca="false">IF(AND(C14&gt;0,D14&gt;0),C14*12/D14,0)</f>
        <v>3200</v>
      </c>
      <c r="I14" s="57" t="n">
        <f aca="false">IF(D14&gt;0,D14,1)</f>
        <v>12</v>
      </c>
    </row>
    <row r="15" customFormat="false" ht="15" hidden="false" customHeight="false" outlineLevel="0" collapsed="false">
      <c r="B15" s="54" t="s">
        <v>341</v>
      </c>
      <c r="C15" s="7" t="n">
        <v>800</v>
      </c>
      <c r="D15" s="44" t="n">
        <v>36</v>
      </c>
      <c r="E15" s="55" t="n">
        <v>46600</v>
      </c>
      <c r="F15" s="56" t="n">
        <f aca="false">IF(AND(C15&gt;0,D15&gt;0),C15/D15,0)</f>
        <v>22.2222222222222</v>
      </c>
      <c r="G15" s="38" t="n">
        <f aca="false">IF(AND(C15&gt;0,D15&gt;0,E15&gt;0),C15*MAX(0,MIN(1,1-MAX(0,(E15-$C$5)/30.4375)/D15)),0)</f>
        <v>574.401095140315</v>
      </c>
      <c r="H15" s="38" t="n">
        <f aca="false">IF(AND(C15&gt;0,D15&gt;0),C15*12/D15,0)</f>
        <v>266.666666666667</v>
      </c>
      <c r="I15" s="57" t="n">
        <f aca="false">IF(D15&gt;0,D15,1)</f>
        <v>36</v>
      </c>
    </row>
    <row r="16" customFormat="false" ht="15" hidden="false" customHeight="false" outlineLevel="0" collapsed="false">
      <c r="B16" s="54" t="s">
        <v>342</v>
      </c>
      <c r="C16" s="7" t="n">
        <v>350</v>
      </c>
      <c r="D16" s="44" t="n">
        <v>12</v>
      </c>
      <c r="E16" s="55" t="n">
        <v>46438</v>
      </c>
      <c r="F16" s="56" t="n">
        <f aca="false">IF(AND(C16&gt;0,D16&gt;0),C16/D16,0)</f>
        <v>29.1666666666667</v>
      </c>
      <c r="G16" s="38" t="n">
        <f aca="false">IF(AND(C16&gt;0,D16&gt;0,E16&gt;0),C16*MAX(0,MIN(1,1-MAX(0,(E16-$C$5)/30.4375)/D16)),0)</f>
        <v>209.137577002053</v>
      </c>
      <c r="H16" s="38" t="n">
        <f aca="false">IF(AND(C16&gt;0,D16&gt;0),C16*12/D16,0)</f>
        <v>350</v>
      </c>
      <c r="I16" s="57" t="n">
        <f aca="false">IF(D16&gt;0,D16,1)</f>
        <v>12</v>
      </c>
    </row>
    <row r="17" customFormat="false" ht="15" hidden="false" customHeight="false" outlineLevel="0" collapsed="false">
      <c r="B17" s="54"/>
      <c r="C17" s="7"/>
      <c r="D17" s="44"/>
      <c r="E17" s="55"/>
      <c r="F17" s="56" t="n">
        <f aca="false">IF(AND(C17&gt;0,D17&gt;0),C17/D17,0)</f>
        <v>0</v>
      </c>
      <c r="G17" s="38" t="n">
        <f aca="false">IF(AND(C17&gt;0,D17&gt;0,E17&gt;0),C17*MAX(0,MIN(1,1-MAX(0,(E17-$C$5)/30.4375)/D17)),0)</f>
        <v>0</v>
      </c>
      <c r="H17" s="38" t="n">
        <f aca="false">IF(AND(C17&gt;0,D17&gt;0),C17*12/D17,0)</f>
        <v>0</v>
      </c>
      <c r="I17" s="57" t="n">
        <f aca="false">IF(D17&gt;0,D17,1)</f>
        <v>1</v>
      </c>
    </row>
    <row r="18" customFormat="false" ht="15" hidden="false" customHeight="false" outlineLevel="0" collapsed="false">
      <c r="B18" s="54"/>
      <c r="C18" s="7"/>
      <c r="D18" s="44"/>
      <c r="E18" s="55"/>
      <c r="F18" s="56" t="n">
        <f aca="false">IF(AND(C18&gt;0,D18&gt;0),C18/D18,0)</f>
        <v>0</v>
      </c>
      <c r="G18" s="38" t="n">
        <f aca="false">IF(AND(C18&gt;0,D18&gt;0,E18&gt;0),C18*MAX(0,MIN(1,1-MAX(0,(E18-$C$5)/30.4375)/D18)),0)</f>
        <v>0</v>
      </c>
      <c r="H18" s="38" t="n">
        <f aca="false">IF(AND(C18&gt;0,D18&gt;0),C18*12/D18,0)</f>
        <v>0</v>
      </c>
      <c r="I18" s="57" t="n">
        <f aca="false">IF(D18&gt;0,D18,1)</f>
        <v>1</v>
      </c>
    </row>
    <row r="19" customFormat="false" ht="15" hidden="false" customHeight="false" outlineLevel="0" collapsed="false">
      <c r="B19" s="54"/>
      <c r="C19" s="7"/>
      <c r="D19" s="44"/>
      <c r="E19" s="55"/>
      <c r="F19" s="56" t="n">
        <f aca="false">IF(AND(C19&gt;0,D19&gt;0),C19/D19,0)</f>
        <v>0</v>
      </c>
      <c r="G19" s="38" t="n">
        <f aca="false">IF(AND(C19&gt;0,D19&gt;0,E19&gt;0),C19*MAX(0,MIN(1,1-MAX(0,(E19-$C$5)/30.4375)/D19)),0)</f>
        <v>0</v>
      </c>
      <c r="H19" s="38" t="n">
        <f aca="false">IF(AND(C19&gt;0,D19&gt;0),C19*12/D19,0)</f>
        <v>0</v>
      </c>
      <c r="I19" s="57" t="n">
        <f aca="false">IF(D19&gt;0,D19,1)</f>
        <v>1</v>
      </c>
    </row>
    <row r="20" customFormat="false" ht="15" hidden="false" customHeight="false" outlineLevel="0" collapsed="false">
      <c r="B20" s="54"/>
      <c r="C20" s="7"/>
      <c r="D20" s="44"/>
      <c r="E20" s="55"/>
      <c r="F20" s="56" t="n">
        <f aca="false">IF(AND(C20&gt;0,D20&gt;0),C20/D20,0)</f>
        <v>0</v>
      </c>
      <c r="G20" s="38" t="n">
        <f aca="false">IF(AND(C20&gt;0,D20&gt;0,E20&gt;0),C20*MAX(0,MIN(1,1-MAX(0,(E20-$C$5)/30.4375)/D20)),0)</f>
        <v>0</v>
      </c>
      <c r="H20" s="38" t="n">
        <f aca="false">IF(AND(C20&gt;0,D20&gt;0),C20*12/D20,0)</f>
        <v>0</v>
      </c>
      <c r="I20" s="57" t="n">
        <f aca="false">IF(D20&gt;0,D20,1)</f>
        <v>1</v>
      </c>
    </row>
    <row r="21" customFormat="false" ht="15" hidden="false" customHeight="false" outlineLevel="0" collapsed="false">
      <c r="B21" s="54"/>
      <c r="C21" s="7"/>
      <c r="D21" s="44"/>
      <c r="E21" s="55"/>
      <c r="F21" s="56" t="n">
        <f aca="false">IF(AND(C21&gt;0,D21&gt;0),C21/D21,0)</f>
        <v>0</v>
      </c>
      <c r="G21" s="38" t="n">
        <f aca="false">IF(AND(C21&gt;0,D21&gt;0,E21&gt;0),C21*MAX(0,MIN(1,1-MAX(0,(E21-$C$5)/30.4375)/D21)),0)</f>
        <v>0</v>
      </c>
      <c r="H21" s="38" t="n">
        <f aca="false">IF(AND(C21&gt;0,D21&gt;0),C21*12/D21,0)</f>
        <v>0</v>
      </c>
      <c r="I21" s="57" t="n">
        <f aca="false">IF(D21&gt;0,D21,1)</f>
        <v>1</v>
      </c>
    </row>
    <row r="22" customFormat="false" ht="15" hidden="false" customHeight="false" outlineLevel="0" collapsed="false">
      <c r="B22" s="54"/>
      <c r="C22" s="7"/>
      <c r="D22" s="44"/>
      <c r="E22" s="55"/>
      <c r="F22" s="56" t="n">
        <f aca="false">IF(AND(C22&gt;0,D22&gt;0),C22/D22,0)</f>
        <v>0</v>
      </c>
      <c r="G22" s="38" t="n">
        <f aca="false">IF(AND(C22&gt;0,D22&gt;0,E22&gt;0),C22*MAX(0,MIN(1,1-MAX(0,(E22-$C$5)/30.4375)/D22)),0)</f>
        <v>0</v>
      </c>
      <c r="H22" s="38" t="n">
        <f aca="false">IF(AND(C22&gt;0,D22&gt;0),C22*12/D22,0)</f>
        <v>0</v>
      </c>
      <c r="I22" s="57" t="n">
        <f aca="false">IF(D22&gt;0,D22,1)</f>
        <v>1</v>
      </c>
    </row>
    <row r="23" customFormat="false" ht="15" hidden="false" customHeight="false" outlineLevel="0" collapsed="false">
      <c r="B23" s="54"/>
      <c r="C23" s="7"/>
      <c r="D23" s="44"/>
      <c r="E23" s="55"/>
      <c r="F23" s="56" t="n">
        <f aca="false">IF(AND(C23&gt;0,D23&gt;0),C23/D23,0)</f>
        <v>0</v>
      </c>
      <c r="G23" s="38" t="n">
        <f aca="false">IF(AND(C23&gt;0,D23&gt;0,E23&gt;0),C23*MAX(0,MIN(1,1-MAX(0,(E23-$C$5)/30.4375)/D23)),0)</f>
        <v>0</v>
      </c>
      <c r="H23" s="38" t="n">
        <f aca="false">IF(AND(C23&gt;0,D23&gt;0),C23*12/D23,0)</f>
        <v>0</v>
      </c>
      <c r="I23" s="57" t="n">
        <f aca="false">IF(D23&gt;0,D23,1)</f>
        <v>1</v>
      </c>
    </row>
    <row r="24" customFormat="false" ht="15" hidden="false" customHeight="false" outlineLevel="0" collapsed="false">
      <c r="B24" s="54"/>
      <c r="C24" s="7"/>
      <c r="D24" s="44"/>
      <c r="E24" s="55"/>
      <c r="F24" s="56" t="n">
        <f aca="false">IF(AND(C24&gt;0,D24&gt;0),C24/D24,0)</f>
        <v>0</v>
      </c>
      <c r="G24" s="38" t="n">
        <f aca="false">IF(AND(C24&gt;0,D24&gt;0,E24&gt;0),C24*MAX(0,MIN(1,1-MAX(0,(E24-$C$5)/30.4375)/D24)),0)</f>
        <v>0</v>
      </c>
      <c r="H24" s="38" t="n">
        <f aca="false">IF(AND(C24&gt;0,D24&gt;0),C24*12/D24,0)</f>
        <v>0</v>
      </c>
      <c r="I24" s="57" t="n">
        <f aca="false">IF(D24&gt;0,D24,1)</f>
        <v>1</v>
      </c>
    </row>
    <row r="25" customFormat="false" ht="15" hidden="false" customHeight="false" outlineLevel="0" collapsed="false">
      <c r="B25" s="54"/>
      <c r="C25" s="7"/>
      <c r="D25" s="44"/>
      <c r="E25" s="55"/>
      <c r="F25" s="56" t="n">
        <f aca="false">IF(AND(C25&gt;0,D25&gt;0),C25/D25,0)</f>
        <v>0</v>
      </c>
      <c r="G25" s="38" t="n">
        <f aca="false">IF(AND(C25&gt;0,D25&gt;0,E25&gt;0),C25*MAX(0,MIN(1,1-MAX(0,(E25-$C$5)/30.4375)/D25)),0)</f>
        <v>0</v>
      </c>
      <c r="H25" s="38" t="n">
        <f aca="false">IF(AND(C25&gt;0,D25&gt;0),C25*12/D25,0)</f>
        <v>0</v>
      </c>
      <c r="I25" s="57" t="n">
        <f aca="false">IF(D25&gt;0,D25,1)</f>
        <v>1</v>
      </c>
    </row>
    <row r="26" customFormat="false" ht="15" hidden="false" customHeight="false" outlineLevel="0" collapsed="false">
      <c r="B26" s="54"/>
      <c r="C26" s="7"/>
      <c r="D26" s="44"/>
      <c r="E26" s="55"/>
      <c r="F26" s="56" t="n">
        <f aca="false">IF(AND(C26&gt;0,D26&gt;0),C26/D26,0)</f>
        <v>0</v>
      </c>
      <c r="G26" s="38" t="n">
        <f aca="false">IF(AND(C26&gt;0,D26&gt;0,E26&gt;0),C26*MAX(0,MIN(1,1-MAX(0,(E26-$C$5)/30.4375)/D26)),0)</f>
        <v>0</v>
      </c>
      <c r="H26" s="38" t="n">
        <f aca="false">IF(AND(C26&gt;0,D26&gt;0),C26*12/D26,0)</f>
        <v>0</v>
      </c>
      <c r="I26" s="57" t="n">
        <f aca="false">IF(D26&gt;0,D26,1)</f>
        <v>1</v>
      </c>
    </row>
    <row r="27" customFormat="false" ht="15" hidden="false" customHeight="false" outlineLevel="0" collapsed="false">
      <c r="B27" s="58" t="s">
        <v>343</v>
      </c>
      <c r="F27" s="10" t="n">
        <f aca="false">SUM(F12:F26)</f>
        <v>568.055555555556</v>
      </c>
      <c r="G27" s="10" t="n">
        <f aca="false">SUM(G12:G26)</f>
        <v>3755.27036276523</v>
      </c>
      <c r="H27" s="10" t="n">
        <f aca="false">SUM(H12:H26)</f>
        <v>6816.66666666667</v>
      </c>
    </row>
    <row r="29" customFormat="false" ht="18" hidden="false" customHeight="true" outlineLevel="0" collapsed="false">
      <c r="B29" s="3" t="s">
        <v>279</v>
      </c>
      <c r="C29" s="3"/>
      <c r="D29" s="3"/>
      <c r="E29" s="3"/>
    </row>
    <row r="30" customFormat="false" ht="15" hidden="false" customHeight="false" outlineLevel="0" collapsed="false">
      <c r="B30" s="36" t="s">
        <v>280</v>
      </c>
      <c r="C30" s="36" t="s">
        <v>344</v>
      </c>
      <c r="D30" s="36" t="s">
        <v>345</v>
      </c>
      <c r="E30" s="36" t="s">
        <v>346</v>
      </c>
    </row>
    <row r="31" customFormat="false" ht="15" hidden="false" customHeight="false" outlineLevel="0" collapsed="false">
      <c r="B31" s="8" t="s">
        <v>328</v>
      </c>
      <c r="D31" s="38" t="n">
        <f aca="false">$G$27</f>
        <v>3755.27036276523</v>
      </c>
    </row>
    <row r="32" customFormat="false" ht="15" hidden="false" customHeight="false" outlineLevel="0" collapsed="false">
      <c r="B32" s="59" t="n">
        <f aca="false">DATE(YEAR($C$5),MONTH($C$5)+0,1)</f>
        <v>46266</v>
      </c>
      <c r="C32" s="38" t="n">
        <f aca="false">SUMPRODUCT(($C$12:$C$26&gt;0)*($D$12:$D$26&gt;0)*($E$12:$E$26&gt;0)*$C$12:$C$26*(((YEAR(B32)-YEAR($E$12:$E$26))*12+MONTH(B32)-MONTH($E$12:$E$26))&gt;=0)*(MOD(((YEAR(B32)-YEAR($E$12:$E$26))*12+MONTH(B32)-MONTH($E$12:$E$26)),$I$12:$I$26)=0))</f>
        <v>0</v>
      </c>
      <c r="D32" s="38" t="n">
        <f aca="false">D31+$F$27-C32</f>
        <v>4323.32591832079</v>
      </c>
      <c r="E32" s="38" t="n">
        <f aca="false">$F$27</f>
        <v>568.055555555556</v>
      </c>
    </row>
    <row r="33" customFormat="false" ht="15" hidden="false" customHeight="false" outlineLevel="0" collapsed="false">
      <c r="B33" s="59" t="n">
        <f aca="false">DATE(YEAR($C$5),MONTH($C$5)+1,1)</f>
        <v>46296</v>
      </c>
      <c r="C33" s="38" t="n">
        <f aca="false">SUMPRODUCT(($C$12:$C$26&gt;0)*($D$12:$D$26&gt;0)*($E$12:$E$26&gt;0)*$C$12:$C$26*(((YEAR(B33)-YEAR($E$12:$E$26))*12+MONTH(B33)-MONTH($E$12:$E$26))&gt;=0)*(MOD(((YEAR(B33)-YEAR($E$12:$E$26))*12+MONTH(B33)-MONTH($E$12:$E$26)),$I$12:$I$26)=0))</f>
        <v>0</v>
      </c>
      <c r="D33" s="38" t="n">
        <f aca="false">D32+$F$27-C33</f>
        <v>4891.38147387634</v>
      </c>
      <c r="E33" s="38" t="n">
        <f aca="false">$F$27</f>
        <v>568.055555555556</v>
      </c>
    </row>
    <row r="34" customFormat="false" ht="15" hidden="false" customHeight="false" outlineLevel="0" collapsed="false">
      <c r="B34" s="59" t="n">
        <f aca="false">DATE(YEAR($C$5),MONTH($C$5)+2,1)</f>
        <v>46327</v>
      </c>
      <c r="C34" s="38" t="n">
        <f aca="false">SUMPRODUCT(($C$12:$C$26&gt;0)*($D$12:$D$26&gt;0)*($E$12:$E$26&gt;0)*$C$12:$C$26*(((YEAR(B34)-YEAR($E$12:$E$26))*12+MONTH(B34)-MONTH($E$12:$E$26))&gt;=0)*(MOD(((YEAR(B34)-YEAR($E$12:$E$26))*12+MONTH(B34)-MONTH($E$12:$E$26)),$I$12:$I$26)=0))</f>
        <v>0</v>
      </c>
      <c r="D34" s="38" t="n">
        <f aca="false">D33+$F$27-C34</f>
        <v>5459.4370294319</v>
      </c>
      <c r="E34" s="38" t="n">
        <f aca="false">$F$27</f>
        <v>568.055555555556</v>
      </c>
    </row>
    <row r="35" customFormat="false" ht="15" hidden="false" customHeight="false" outlineLevel="0" collapsed="false">
      <c r="B35" s="59" t="n">
        <f aca="false">DATE(YEAR($C$5),MONTH($C$5)+3,1)</f>
        <v>46357</v>
      </c>
      <c r="C35" s="38" t="n">
        <f aca="false">SUMPRODUCT(($C$12:$C$26&gt;0)*($D$12:$D$26&gt;0)*($E$12:$E$26&gt;0)*$C$12:$C$26*(((YEAR(B35)-YEAR($E$12:$E$26))*12+MONTH(B35)-MONTH($E$12:$E$26))&gt;=0)*(MOD(((YEAR(B35)-YEAR($E$12:$E$26))*12+MONTH(B35)-MONTH($E$12:$E$26)),$I$12:$I$26)=0))</f>
        <v>2100</v>
      </c>
      <c r="D35" s="38" t="n">
        <f aca="false">D34+$F$27-C35</f>
        <v>3927.49258498745</v>
      </c>
      <c r="E35" s="38" t="n">
        <f aca="false">$F$27</f>
        <v>568.055555555556</v>
      </c>
    </row>
    <row r="36" customFormat="false" ht="15" hidden="false" customHeight="false" outlineLevel="0" collapsed="false">
      <c r="B36" s="59" t="n">
        <f aca="false">DATE(YEAR($C$5),MONTH($C$5)+4,1)</f>
        <v>46388</v>
      </c>
      <c r="C36" s="38" t="n">
        <f aca="false">SUMPRODUCT(($C$12:$C$26&gt;0)*($D$12:$D$26&gt;0)*($E$12:$E$26&gt;0)*$C$12:$C$26*(((YEAR(B36)-YEAR($E$12:$E$26))*12+MONTH(B36)-MONTH($E$12:$E$26))&gt;=0)*(MOD(((YEAR(B36)-YEAR($E$12:$E$26))*12+MONTH(B36)-MONTH($E$12:$E$26)),$I$12:$I$26)=0))</f>
        <v>0</v>
      </c>
      <c r="D36" s="38" t="n">
        <f aca="false">D35+$F$27-C36</f>
        <v>4495.54814054301</v>
      </c>
      <c r="E36" s="38" t="n">
        <f aca="false">$F$27</f>
        <v>568.055555555556</v>
      </c>
    </row>
    <row r="37" customFormat="false" ht="15" hidden="false" customHeight="false" outlineLevel="0" collapsed="false">
      <c r="B37" s="59" t="n">
        <f aca="false">DATE(YEAR($C$5),MONTH($C$5)+5,1)</f>
        <v>46419</v>
      </c>
      <c r="C37" s="38" t="n">
        <f aca="false">SUMPRODUCT(($C$12:$C$26&gt;0)*($D$12:$D$26&gt;0)*($E$12:$E$26&gt;0)*$C$12:$C$26*(((YEAR(B37)-YEAR($E$12:$E$26))*12+MONTH(B37)-MONTH($E$12:$E$26))&gt;=0)*(MOD(((YEAR(B37)-YEAR($E$12:$E$26))*12+MONTH(B37)-MONTH($E$12:$E$26)),$I$12:$I$26)=0))</f>
        <v>350</v>
      </c>
      <c r="D37" s="38" t="n">
        <f aca="false">D36+$F$27-C37</f>
        <v>4713.60369609856</v>
      </c>
      <c r="E37" s="38" t="n">
        <f aca="false">$F$27</f>
        <v>568.055555555556</v>
      </c>
    </row>
    <row r="38" customFormat="false" ht="15" hidden="false" customHeight="false" outlineLevel="0" collapsed="false">
      <c r="B38" s="59" t="n">
        <f aca="false">DATE(YEAR($C$5),MONTH($C$5)+6,1)</f>
        <v>46447</v>
      </c>
      <c r="C38" s="38" t="n">
        <f aca="false">SUMPRODUCT(($C$12:$C$26&gt;0)*($D$12:$D$26&gt;0)*($E$12:$E$26&gt;0)*$C$12:$C$26*(((YEAR(B38)-YEAR($E$12:$E$26))*12+MONTH(B38)-MONTH($E$12:$E$26))&gt;=0)*(MOD(((YEAR(B38)-YEAR($E$12:$E$26))*12+MONTH(B38)-MONTH($E$12:$E$26)),$I$12:$I$26)=0))</f>
        <v>0</v>
      </c>
      <c r="D38" s="38" t="n">
        <f aca="false">D37+$F$27-C38</f>
        <v>5281.65925165412</v>
      </c>
      <c r="E38" s="38" t="n">
        <f aca="false">$F$27</f>
        <v>568.055555555556</v>
      </c>
    </row>
    <row r="39" customFormat="false" ht="15" hidden="false" customHeight="false" outlineLevel="0" collapsed="false">
      <c r="B39" s="59" t="n">
        <f aca="false">DATE(YEAR($C$5),MONTH($C$5)+7,1)</f>
        <v>46478</v>
      </c>
      <c r="C39" s="38" t="n">
        <f aca="false">SUMPRODUCT(($C$12:$C$26&gt;0)*($D$12:$D$26&gt;0)*($E$12:$E$26&gt;0)*$C$12:$C$26*(((YEAR(B39)-YEAR($E$12:$E$26))*12+MONTH(B39)-MONTH($E$12:$E$26))&gt;=0)*(MOD(((YEAR(B39)-YEAR($E$12:$E$26))*12+MONTH(B39)-MONTH($E$12:$E$26)),$I$12:$I$26)=0))</f>
        <v>3200</v>
      </c>
      <c r="D39" s="38" t="n">
        <f aca="false">D38+$F$27-C39</f>
        <v>2649.71480720967</v>
      </c>
      <c r="E39" s="38" t="n">
        <f aca="false">$F$27</f>
        <v>568.055555555556</v>
      </c>
    </row>
    <row r="40" customFormat="false" ht="15" hidden="false" customHeight="false" outlineLevel="0" collapsed="false">
      <c r="B40" s="59" t="n">
        <f aca="false">DATE(YEAR($C$5),MONTH($C$5)+8,1)</f>
        <v>46508</v>
      </c>
      <c r="C40" s="38" t="n">
        <f aca="false">SUMPRODUCT(($C$12:$C$26&gt;0)*($D$12:$D$26&gt;0)*($E$12:$E$26&gt;0)*$C$12:$C$26*(((YEAR(B40)-YEAR($E$12:$E$26))*12+MONTH(B40)-MONTH($E$12:$E$26))&gt;=0)*(MOD(((YEAR(B40)-YEAR($E$12:$E$26))*12+MONTH(B40)-MONTH($E$12:$E$26)),$I$12:$I$26)=0))</f>
        <v>0</v>
      </c>
      <c r="D40" s="38" t="n">
        <f aca="false">D39+$F$27-C40</f>
        <v>3217.77036276523</v>
      </c>
      <c r="E40" s="38" t="n">
        <f aca="false">$F$27</f>
        <v>568.055555555556</v>
      </c>
    </row>
    <row r="41" customFormat="false" ht="15" hidden="false" customHeight="false" outlineLevel="0" collapsed="false">
      <c r="B41" s="59" t="n">
        <f aca="false">DATE(YEAR($C$5),MONTH($C$5)+9,1)</f>
        <v>46539</v>
      </c>
      <c r="C41" s="38" t="n">
        <f aca="false">SUMPRODUCT(($C$12:$C$26&gt;0)*($D$12:$D$26&gt;0)*($E$12:$E$26&gt;0)*$C$12:$C$26*(((YEAR(B41)-YEAR($E$12:$E$26))*12+MONTH(B41)-MONTH($E$12:$E$26))&gt;=0)*(MOD(((YEAR(B41)-YEAR($E$12:$E$26))*12+MONTH(B41)-MONTH($E$12:$E$26)),$I$12:$I$26)=0))</f>
        <v>900</v>
      </c>
      <c r="D41" s="38" t="n">
        <f aca="false">D40+$F$27-C41</f>
        <v>2885.82591832079</v>
      </c>
      <c r="E41" s="38" t="n">
        <f aca="false">$F$27</f>
        <v>568.055555555556</v>
      </c>
    </row>
    <row r="42" customFormat="false" ht="15" hidden="false" customHeight="false" outlineLevel="0" collapsed="false">
      <c r="B42" s="59" t="n">
        <f aca="false">DATE(YEAR($C$5),MONTH($C$5)+10,1)</f>
        <v>46569</v>
      </c>
      <c r="C42" s="38" t="n">
        <f aca="false">SUMPRODUCT(($C$12:$C$26&gt;0)*($D$12:$D$26&gt;0)*($E$12:$E$26&gt;0)*$C$12:$C$26*(((YEAR(B42)-YEAR($E$12:$E$26))*12+MONTH(B42)-MONTH($E$12:$E$26))&gt;=0)*(MOD(((YEAR(B42)-YEAR($E$12:$E$26))*12+MONTH(B42)-MONTH($E$12:$E$26)),$I$12:$I$26)=0))</f>
        <v>0</v>
      </c>
      <c r="D42" s="38" t="n">
        <f aca="false">D41+$F$27-C42</f>
        <v>3453.88147387634</v>
      </c>
      <c r="E42" s="38" t="n">
        <f aca="false">$F$27</f>
        <v>568.055555555556</v>
      </c>
    </row>
    <row r="43" customFormat="false" ht="15" hidden="false" customHeight="false" outlineLevel="0" collapsed="false">
      <c r="B43" s="59" t="n">
        <f aca="false">DATE(YEAR($C$5),MONTH($C$5)+11,1)</f>
        <v>46600</v>
      </c>
      <c r="C43" s="38" t="n">
        <f aca="false">SUMPRODUCT(($C$12:$C$26&gt;0)*($D$12:$D$26&gt;0)*($E$12:$E$26&gt;0)*$C$12:$C$26*(((YEAR(B43)-YEAR($E$12:$E$26))*12+MONTH(B43)-MONTH($E$12:$E$26))&gt;=0)*(MOD(((YEAR(B43)-YEAR($E$12:$E$26))*12+MONTH(B43)-MONTH($E$12:$E$26)),$I$12:$I$26)=0))</f>
        <v>800</v>
      </c>
      <c r="D43" s="38" t="n">
        <f aca="false">D42+$F$27-C43</f>
        <v>3221.9370294319</v>
      </c>
      <c r="E43" s="38" t="n">
        <f aca="false">$F$27</f>
        <v>568.055555555556</v>
      </c>
    </row>
    <row r="44" customFormat="false" ht="15" hidden="false" customHeight="false" outlineLevel="0" collapsed="false">
      <c r="B44" s="27" t="s">
        <v>347</v>
      </c>
      <c r="C44" s="28" t="n">
        <f aca="false">MIN(D31:D43)</f>
        <v>2649.71480720967</v>
      </c>
    </row>
    <row r="45" customFormat="false" ht="15" hidden="false" customHeight="false" outlineLevel="0" collapsed="false">
      <c r="B45" s="27" t="s">
        <v>348</v>
      </c>
      <c r="C45" s="28" t="n">
        <f aca="false">IF($C$44&lt;0,$G$27-$C$44,$G$27)</f>
        <v>3755.27036276523</v>
      </c>
    </row>
    <row r="47" customFormat="false" ht="39" hidden="false" customHeight="true" outlineLevel="0" collapsed="false">
      <c r="B47" s="32" t="s">
        <v>349</v>
      </c>
      <c r="C47" s="32"/>
      <c r="D47" s="32"/>
    </row>
  </sheetData>
  <mergeCells count="3">
    <mergeCell ref="B2:D2"/>
    <mergeCell ref="B8:D8"/>
    <mergeCell ref="B47:D4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987E5"/>
    <pageSetUpPr fitToPage="true"/>
  </sheetPr>
  <dimension ref="B1:D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3" min="3" style="0" width="18"/>
    <col collapsed="false" customWidth="true" hidden="false" outlineLevel="0" max="4" min="4" style="0" width="62"/>
  </cols>
  <sheetData>
    <row r="1" customFormat="false" ht="22.05" hidden="false" customHeight="false" outlineLevel="0" collapsed="false">
      <c r="B1" s="14" t="s">
        <v>38</v>
      </c>
    </row>
    <row r="2" customFormat="false" ht="30" hidden="false" customHeight="true" outlineLevel="0" collapsed="false">
      <c r="B2" s="15" t="s">
        <v>350</v>
      </c>
      <c r="C2" s="15"/>
      <c r="D2" s="15"/>
    </row>
    <row r="4" customFormat="false" ht="18" hidden="false" customHeight="true" outlineLevel="0" collapsed="false">
      <c r="B4" s="3" t="s">
        <v>351</v>
      </c>
      <c r="C4" s="3"/>
      <c r="D4" s="3"/>
    </row>
    <row r="5" customFormat="false" ht="15" hidden="false" customHeight="false" outlineLevel="0" collapsed="false">
      <c r="B5" s="8" t="s">
        <v>352</v>
      </c>
      <c r="C5" s="21" t="n">
        <v>1800</v>
      </c>
    </row>
    <row r="6" customFormat="false" ht="15" hidden="false" customHeight="false" outlineLevel="0" collapsed="false">
      <c r="B6" s="8" t="s">
        <v>353</v>
      </c>
      <c r="C6" s="21" t="n">
        <v>1950</v>
      </c>
      <c r="D6" s="17" t="s">
        <v>354</v>
      </c>
    </row>
    <row r="7" customFormat="false" ht="15" hidden="false" customHeight="false" outlineLevel="0" collapsed="false">
      <c r="B7" s="8" t="s">
        <v>355</v>
      </c>
      <c r="C7" s="21" t="n">
        <v>1700</v>
      </c>
    </row>
    <row r="8" customFormat="false" ht="18" hidden="false" customHeight="true" outlineLevel="0" collapsed="false">
      <c r="B8" s="3" t="s">
        <v>356</v>
      </c>
      <c r="C8" s="3"/>
      <c r="D8" s="3"/>
    </row>
    <row r="9" customFormat="false" ht="15" hidden="false" customHeight="false" outlineLevel="0" collapsed="false">
      <c r="B9" s="8" t="s">
        <v>357</v>
      </c>
      <c r="C9" s="21" t="n">
        <v>1200</v>
      </c>
    </row>
    <row r="10" customFormat="false" ht="15" hidden="false" customHeight="false" outlineLevel="0" collapsed="false">
      <c r="B10" s="8" t="s">
        <v>358</v>
      </c>
      <c r="C10" s="21" t="n">
        <v>500</v>
      </c>
      <c r="D10" s="17" t="s">
        <v>359</v>
      </c>
    </row>
    <row r="11" customFormat="false" ht="15" hidden="false" customHeight="false" outlineLevel="0" collapsed="false">
      <c r="B11" s="8" t="s">
        <v>360</v>
      </c>
      <c r="C11" s="21" t="n">
        <v>800</v>
      </c>
    </row>
    <row r="12" customFormat="false" ht="18" hidden="false" customHeight="true" outlineLevel="0" collapsed="false">
      <c r="B12" s="3" t="s">
        <v>361</v>
      </c>
      <c r="C12" s="3"/>
      <c r="D12" s="3"/>
    </row>
    <row r="13" customFormat="false" ht="15" hidden="false" customHeight="false" outlineLevel="0" collapsed="false">
      <c r="B13" s="8" t="s">
        <v>362</v>
      </c>
      <c r="C13" s="21" t="n">
        <v>50</v>
      </c>
    </row>
    <row r="14" customFormat="false" ht="15" hidden="false" customHeight="false" outlineLevel="0" collapsed="false">
      <c r="B14" s="8" t="s">
        <v>363</v>
      </c>
      <c r="C14" s="21" t="n">
        <v>0</v>
      </c>
    </row>
    <row r="15" customFormat="false" ht="15" hidden="false" customHeight="false" outlineLevel="0" collapsed="false">
      <c r="B15" s="8" t="s">
        <v>364</v>
      </c>
      <c r="C15" s="20" t="n">
        <v>12</v>
      </c>
    </row>
    <row r="17" customFormat="false" ht="15" hidden="false" customHeight="false" outlineLevel="0" collapsed="false">
      <c r="B17" s="22" t="s">
        <v>68</v>
      </c>
    </row>
    <row r="18" customFormat="false" ht="43.5" hidden="false" customHeight="true" outlineLevel="0" collapsed="false">
      <c r="B18" s="23" t="str">
        <f aca="false">IF(ABS($C$28)&lt;50,"A wash over "&amp;$C$15&amp;" months: the two come within "&amp;TEXT(ABS($C$28),"$#,##0")&amp;". Stay, unless you want to move.",IF($C$28&gt;0,"Move. Over "&amp;$C$15&amp;" months it is "&amp;TEXT($C$28,"$#,##0")&amp;" cheaper, moving costs included; they are paid back in "&amp;TEXT($C$25,"0")&amp;" months.","Stay. Over "&amp;$C$15&amp;" months moving would cost "&amp;TEXT(-$C$28,"$#,##0")&amp;" more."))&amp;" The counter-offer is "&amp;TEXT($C$29,"$#,##0")&amp;"."</f>
        <v>Stay. Over 12 months moving would cost $100 more. The counter-offer is $1,958.</v>
      </c>
      <c r="C18" s="23"/>
      <c r="D18" s="23"/>
    </row>
    <row r="20" customFormat="false" ht="18" hidden="false" customHeight="true" outlineLevel="0" collapsed="false">
      <c r="B20" s="3" t="s">
        <v>268</v>
      </c>
      <c r="C20" s="3"/>
      <c r="D20" s="3"/>
    </row>
    <row r="21" customFormat="false" ht="15" hidden="false" customHeight="false" outlineLevel="0" collapsed="false">
      <c r="B21" s="8" t="s">
        <v>365</v>
      </c>
      <c r="C21" s="26" t="n">
        <f aca="false">IF($C$5&gt;0,($C$6-$C$5)/$C$5,"n/a")</f>
        <v>0.0833333333333333</v>
      </c>
    </row>
    <row r="22" customFormat="false" ht="15" hidden="false" customHeight="false" outlineLevel="0" collapsed="false">
      <c r="B22" s="8" t="s">
        <v>366</v>
      </c>
      <c r="C22" s="25" t="n">
        <f aca="false">$C$9+$C$10+$C$11</f>
        <v>2500</v>
      </c>
    </row>
    <row r="23" customFormat="false" ht="15" hidden="false" customHeight="false" outlineLevel="0" collapsed="false">
      <c r="B23" s="8" t="s">
        <v>367</v>
      </c>
      <c r="C23" s="25" t="n">
        <f aca="false">$C$7+$C$13+$C$14</f>
        <v>1750</v>
      </c>
    </row>
    <row r="24" customFormat="false" ht="15" hidden="false" customHeight="false" outlineLevel="0" collapsed="false">
      <c r="B24" s="8" t="s">
        <v>368</v>
      </c>
      <c r="C24" s="25" t="n">
        <f aca="false">$C$6-$C$23</f>
        <v>200</v>
      </c>
      <c r="D24" s="17" t="s">
        <v>369</v>
      </c>
    </row>
    <row r="25" customFormat="false" ht="15" hidden="false" customHeight="false" outlineLevel="0" collapsed="false">
      <c r="B25" s="27" t="s">
        <v>129</v>
      </c>
      <c r="C25" s="34" t="n">
        <f aca="false">IF($C$24&gt;0,$C$22/$C$24,"never")</f>
        <v>12.5</v>
      </c>
      <c r="D25" s="17" t="s">
        <v>370</v>
      </c>
    </row>
    <row r="26" customFormat="false" ht="15" hidden="false" customHeight="false" outlineLevel="0" collapsed="false">
      <c r="B26" s="8" t="s">
        <v>371</v>
      </c>
      <c r="C26" s="25" t="n">
        <f aca="false">$C$6*$C$15</f>
        <v>23400</v>
      </c>
    </row>
    <row r="27" customFormat="false" ht="15" hidden="false" customHeight="false" outlineLevel="0" collapsed="false">
      <c r="B27" s="8" t="s">
        <v>372</v>
      </c>
      <c r="C27" s="25" t="n">
        <f aca="false">$C$23*$C$15+$C$22</f>
        <v>23500</v>
      </c>
    </row>
    <row r="28" customFormat="false" ht="15" hidden="false" customHeight="false" outlineLevel="0" collapsed="false">
      <c r="B28" s="27" t="s">
        <v>373</v>
      </c>
      <c r="C28" s="28" t="n">
        <f aca="false">$C$26-$C$27</f>
        <v>-100</v>
      </c>
      <c r="D28" s="17" t="s">
        <v>374</v>
      </c>
    </row>
    <row r="29" customFormat="false" ht="15" hidden="false" customHeight="false" outlineLevel="0" collapsed="false">
      <c r="B29" s="27" t="s">
        <v>375</v>
      </c>
      <c r="C29" s="28" t="n">
        <f aca="false">$C$27/$C$15</f>
        <v>1958.33333333333</v>
      </c>
      <c r="D29" s="17" t="s">
        <v>376</v>
      </c>
    </row>
    <row r="31" customFormat="false" ht="39" hidden="false" customHeight="true" outlineLevel="0" collapsed="false">
      <c r="B31" s="32" t="s">
        <v>377</v>
      </c>
      <c r="C31" s="32"/>
      <c r="D31" s="32"/>
    </row>
    <row r="33" customFormat="false" ht="18" hidden="false" customHeight="true" outlineLevel="0" collapsed="false">
      <c r="B33" s="3" t="s">
        <v>378</v>
      </c>
      <c r="C33" s="3"/>
      <c r="D33" s="3"/>
    </row>
    <row r="34" customFormat="false" ht="15" hidden="false" customHeight="false" outlineLevel="0" collapsed="false">
      <c r="B34" s="36" t="s">
        <v>280</v>
      </c>
      <c r="C34" s="36" t="s">
        <v>379</v>
      </c>
      <c r="D34" s="36" t="s">
        <v>380</v>
      </c>
    </row>
    <row r="35" customFormat="false" ht="15" hidden="false" customHeight="false" outlineLevel="0" collapsed="false">
      <c r="B35" s="37" t="n">
        <v>0</v>
      </c>
      <c r="C35" s="38" t="n">
        <f aca="false">$C$6*0</f>
        <v>0</v>
      </c>
      <c r="D35" s="39" t="n">
        <f aca="false">$C$22+$C$23*0</f>
        <v>2500</v>
      </c>
    </row>
    <row r="36" customFormat="false" ht="15" hidden="false" customHeight="false" outlineLevel="0" collapsed="false">
      <c r="B36" s="37" t="n">
        <v>1</v>
      </c>
      <c r="C36" s="38" t="n">
        <f aca="false">$C$6*1</f>
        <v>1950</v>
      </c>
      <c r="D36" s="39" t="n">
        <f aca="false">$C$22+$C$23*1</f>
        <v>4250</v>
      </c>
    </row>
    <row r="37" customFormat="false" ht="15" hidden="false" customHeight="false" outlineLevel="0" collapsed="false">
      <c r="B37" s="37" t="n">
        <v>2</v>
      </c>
      <c r="C37" s="38" t="n">
        <f aca="false">$C$6*2</f>
        <v>3900</v>
      </c>
      <c r="D37" s="39" t="n">
        <f aca="false">$C$22+$C$23*2</f>
        <v>6000</v>
      </c>
    </row>
    <row r="38" customFormat="false" ht="15" hidden="false" customHeight="false" outlineLevel="0" collapsed="false">
      <c r="B38" s="37" t="n">
        <v>3</v>
      </c>
      <c r="C38" s="38" t="n">
        <f aca="false">$C$6*3</f>
        <v>5850</v>
      </c>
      <c r="D38" s="39" t="n">
        <f aca="false">$C$22+$C$23*3</f>
        <v>7750</v>
      </c>
    </row>
    <row r="39" customFormat="false" ht="15" hidden="false" customHeight="false" outlineLevel="0" collapsed="false">
      <c r="B39" s="37" t="n">
        <v>4</v>
      </c>
      <c r="C39" s="38" t="n">
        <f aca="false">$C$6*4</f>
        <v>7800</v>
      </c>
      <c r="D39" s="39" t="n">
        <f aca="false">$C$22+$C$23*4</f>
        <v>9500</v>
      </c>
    </row>
    <row r="40" customFormat="false" ht="15" hidden="false" customHeight="false" outlineLevel="0" collapsed="false">
      <c r="B40" s="37" t="n">
        <v>5</v>
      </c>
      <c r="C40" s="38" t="n">
        <f aca="false">$C$6*5</f>
        <v>9750</v>
      </c>
      <c r="D40" s="39" t="n">
        <f aca="false">$C$22+$C$23*5</f>
        <v>11250</v>
      </c>
    </row>
    <row r="41" customFormat="false" ht="15" hidden="false" customHeight="false" outlineLevel="0" collapsed="false">
      <c r="B41" s="37" t="n">
        <v>6</v>
      </c>
      <c r="C41" s="38" t="n">
        <f aca="false">$C$6*6</f>
        <v>11700</v>
      </c>
      <c r="D41" s="39" t="n">
        <f aca="false">$C$22+$C$23*6</f>
        <v>13000</v>
      </c>
    </row>
    <row r="42" customFormat="false" ht="15" hidden="false" customHeight="false" outlineLevel="0" collapsed="false">
      <c r="B42" s="37" t="n">
        <v>7</v>
      </c>
      <c r="C42" s="38" t="n">
        <f aca="false">$C$6*7</f>
        <v>13650</v>
      </c>
      <c r="D42" s="39" t="n">
        <f aca="false">$C$22+$C$23*7</f>
        <v>14750</v>
      </c>
    </row>
    <row r="43" customFormat="false" ht="15" hidden="false" customHeight="false" outlineLevel="0" collapsed="false">
      <c r="B43" s="37" t="n">
        <v>8</v>
      </c>
      <c r="C43" s="38" t="n">
        <f aca="false">$C$6*8</f>
        <v>15600</v>
      </c>
      <c r="D43" s="39" t="n">
        <f aca="false">$C$22+$C$23*8</f>
        <v>16500</v>
      </c>
    </row>
    <row r="44" customFormat="false" ht="15" hidden="false" customHeight="false" outlineLevel="0" collapsed="false">
      <c r="B44" s="37" t="n">
        <v>9</v>
      </c>
      <c r="C44" s="38" t="n">
        <f aca="false">$C$6*9</f>
        <v>17550</v>
      </c>
      <c r="D44" s="39" t="n">
        <f aca="false">$C$22+$C$23*9</f>
        <v>18250</v>
      </c>
    </row>
    <row r="45" customFormat="false" ht="15" hidden="false" customHeight="false" outlineLevel="0" collapsed="false">
      <c r="B45" s="37" t="n">
        <v>10</v>
      </c>
      <c r="C45" s="38" t="n">
        <f aca="false">$C$6*10</f>
        <v>19500</v>
      </c>
      <c r="D45" s="39" t="n">
        <f aca="false">$C$22+$C$23*10</f>
        <v>20000</v>
      </c>
    </row>
    <row r="46" customFormat="false" ht="15" hidden="false" customHeight="false" outlineLevel="0" collapsed="false">
      <c r="B46" s="37" t="n">
        <v>11</v>
      </c>
      <c r="C46" s="38" t="n">
        <f aca="false">$C$6*11</f>
        <v>21450</v>
      </c>
      <c r="D46" s="39" t="n">
        <f aca="false">$C$22+$C$23*11</f>
        <v>21750</v>
      </c>
    </row>
    <row r="47" customFormat="false" ht="15" hidden="false" customHeight="false" outlineLevel="0" collapsed="false">
      <c r="B47" s="37" t="n">
        <v>12</v>
      </c>
      <c r="C47" s="38" t="n">
        <f aca="false">$C$6*12</f>
        <v>23400</v>
      </c>
      <c r="D47" s="39" t="n">
        <f aca="false">$C$22+$C$23*12</f>
        <v>23500</v>
      </c>
    </row>
    <row r="48" customFormat="false" ht="15" hidden="false" customHeight="false" outlineLevel="0" collapsed="false">
      <c r="B48" s="37" t="n">
        <v>13</v>
      </c>
      <c r="C48" s="38" t="n">
        <f aca="false">$C$6*13</f>
        <v>25350</v>
      </c>
      <c r="D48" s="39" t="n">
        <f aca="false">$C$22+$C$23*13</f>
        <v>25250</v>
      </c>
    </row>
    <row r="49" customFormat="false" ht="15" hidden="false" customHeight="false" outlineLevel="0" collapsed="false">
      <c r="B49" s="37" t="n">
        <v>14</v>
      </c>
      <c r="C49" s="38" t="n">
        <f aca="false">$C$6*14</f>
        <v>27300</v>
      </c>
      <c r="D49" s="39" t="n">
        <f aca="false">$C$22+$C$23*14</f>
        <v>27000</v>
      </c>
    </row>
    <row r="50" customFormat="false" ht="15" hidden="false" customHeight="false" outlineLevel="0" collapsed="false">
      <c r="B50" s="37" t="n">
        <v>15</v>
      </c>
      <c r="C50" s="38" t="n">
        <f aca="false">$C$6*15</f>
        <v>29250</v>
      </c>
      <c r="D50" s="39" t="n">
        <f aca="false">$C$22+$C$23*15</f>
        <v>28750</v>
      </c>
    </row>
    <row r="51" customFormat="false" ht="15" hidden="false" customHeight="false" outlineLevel="0" collapsed="false">
      <c r="B51" s="37" t="n">
        <v>16</v>
      </c>
      <c r="C51" s="38" t="n">
        <f aca="false">$C$6*16</f>
        <v>31200</v>
      </c>
      <c r="D51" s="39" t="n">
        <f aca="false">$C$22+$C$23*16</f>
        <v>30500</v>
      </c>
    </row>
    <row r="52" customFormat="false" ht="15" hidden="false" customHeight="false" outlineLevel="0" collapsed="false">
      <c r="B52" s="37" t="n">
        <v>17</v>
      </c>
      <c r="C52" s="38" t="n">
        <f aca="false">$C$6*17</f>
        <v>33150</v>
      </c>
      <c r="D52" s="39" t="n">
        <f aca="false">$C$22+$C$23*17</f>
        <v>32250</v>
      </c>
    </row>
    <row r="53" customFormat="false" ht="15" hidden="false" customHeight="false" outlineLevel="0" collapsed="false">
      <c r="B53" s="37" t="n">
        <v>18</v>
      </c>
      <c r="C53" s="38" t="n">
        <f aca="false">$C$6*18</f>
        <v>35100</v>
      </c>
      <c r="D53" s="39" t="n">
        <f aca="false">$C$22+$C$23*18</f>
        <v>34000</v>
      </c>
    </row>
    <row r="54" customFormat="false" ht="15" hidden="false" customHeight="false" outlineLevel="0" collapsed="false">
      <c r="B54" s="37" t="n">
        <v>19</v>
      </c>
      <c r="C54" s="38" t="n">
        <f aca="false">$C$6*19</f>
        <v>37050</v>
      </c>
      <c r="D54" s="39" t="n">
        <f aca="false">$C$22+$C$23*19</f>
        <v>35750</v>
      </c>
    </row>
    <row r="55" customFormat="false" ht="15" hidden="false" customHeight="false" outlineLevel="0" collapsed="false">
      <c r="B55" s="37" t="n">
        <v>20</v>
      </c>
      <c r="C55" s="38" t="n">
        <f aca="false">$C$6*20</f>
        <v>39000</v>
      </c>
      <c r="D55" s="39" t="n">
        <f aca="false">$C$22+$C$23*20</f>
        <v>37500</v>
      </c>
    </row>
    <row r="56" customFormat="false" ht="15" hidden="false" customHeight="false" outlineLevel="0" collapsed="false">
      <c r="B56" s="37" t="n">
        <v>21</v>
      </c>
      <c r="C56" s="38" t="n">
        <f aca="false">$C$6*21</f>
        <v>40950</v>
      </c>
      <c r="D56" s="39" t="n">
        <f aca="false">$C$22+$C$23*21</f>
        <v>39250</v>
      </c>
    </row>
    <row r="57" customFormat="false" ht="15" hidden="false" customHeight="false" outlineLevel="0" collapsed="false">
      <c r="B57" s="37" t="n">
        <v>22</v>
      </c>
      <c r="C57" s="38" t="n">
        <f aca="false">$C$6*22</f>
        <v>42900</v>
      </c>
      <c r="D57" s="39" t="n">
        <f aca="false">$C$22+$C$23*22</f>
        <v>41000</v>
      </c>
    </row>
    <row r="58" customFormat="false" ht="15" hidden="false" customHeight="false" outlineLevel="0" collapsed="false">
      <c r="B58" s="37" t="n">
        <v>23</v>
      </c>
      <c r="C58" s="38" t="n">
        <f aca="false">$C$6*23</f>
        <v>44850</v>
      </c>
      <c r="D58" s="39" t="n">
        <f aca="false">$C$22+$C$23*23</f>
        <v>42750</v>
      </c>
    </row>
    <row r="59" customFormat="false" ht="15" hidden="false" customHeight="false" outlineLevel="0" collapsed="false">
      <c r="B59" s="37" t="n">
        <v>24</v>
      </c>
      <c r="C59" s="38" t="n">
        <f aca="false">$C$6*24</f>
        <v>46800</v>
      </c>
      <c r="D59" s="39" t="n">
        <f aca="false">$C$22+$C$23*24</f>
        <v>44500</v>
      </c>
    </row>
    <row r="60" customFormat="false" ht="15" hidden="false" customHeight="false" outlineLevel="0" collapsed="false">
      <c r="B60" s="37" t="n">
        <v>25</v>
      </c>
      <c r="C60" s="38" t="n">
        <f aca="false">$C$6*25</f>
        <v>48750</v>
      </c>
      <c r="D60" s="39" t="n">
        <f aca="false">$C$22+$C$23*25</f>
        <v>46250</v>
      </c>
    </row>
    <row r="61" customFormat="false" ht="15" hidden="false" customHeight="false" outlineLevel="0" collapsed="false">
      <c r="B61" s="37" t="n">
        <v>26</v>
      </c>
      <c r="C61" s="38" t="n">
        <f aca="false">$C$6*26</f>
        <v>50700</v>
      </c>
      <c r="D61" s="39" t="n">
        <f aca="false">$C$22+$C$23*26</f>
        <v>48000</v>
      </c>
    </row>
    <row r="62" customFormat="false" ht="15" hidden="false" customHeight="false" outlineLevel="0" collapsed="false">
      <c r="B62" s="37" t="n">
        <v>27</v>
      </c>
      <c r="C62" s="38" t="n">
        <f aca="false">$C$6*27</f>
        <v>52650</v>
      </c>
      <c r="D62" s="39" t="n">
        <f aca="false">$C$22+$C$23*27</f>
        <v>49750</v>
      </c>
    </row>
    <row r="63" customFormat="false" ht="15" hidden="false" customHeight="false" outlineLevel="0" collapsed="false">
      <c r="B63" s="37" t="n">
        <v>28</v>
      </c>
      <c r="C63" s="38" t="n">
        <f aca="false">$C$6*28</f>
        <v>54600</v>
      </c>
      <c r="D63" s="39" t="n">
        <f aca="false">$C$22+$C$23*28</f>
        <v>51500</v>
      </c>
    </row>
    <row r="64" customFormat="false" ht="15" hidden="false" customHeight="false" outlineLevel="0" collapsed="false">
      <c r="B64" s="37" t="n">
        <v>29</v>
      </c>
      <c r="C64" s="38" t="n">
        <f aca="false">$C$6*29</f>
        <v>56550</v>
      </c>
      <c r="D64" s="39" t="n">
        <f aca="false">$C$22+$C$23*29</f>
        <v>53250</v>
      </c>
    </row>
    <row r="65" customFormat="false" ht="15" hidden="false" customHeight="false" outlineLevel="0" collapsed="false">
      <c r="B65" s="37" t="n">
        <v>30</v>
      </c>
      <c r="C65" s="38" t="n">
        <f aca="false">$C$6*30</f>
        <v>58500</v>
      </c>
      <c r="D65" s="39" t="n">
        <f aca="false">$C$22+$C$23*30</f>
        <v>55000</v>
      </c>
    </row>
    <row r="66" customFormat="false" ht="15" hidden="false" customHeight="false" outlineLevel="0" collapsed="false">
      <c r="B66" s="37" t="n">
        <v>31</v>
      </c>
      <c r="C66" s="38" t="n">
        <f aca="false">$C$6*31</f>
        <v>60450</v>
      </c>
      <c r="D66" s="39" t="n">
        <f aca="false">$C$22+$C$23*31</f>
        <v>56750</v>
      </c>
    </row>
    <row r="67" customFormat="false" ht="15" hidden="false" customHeight="false" outlineLevel="0" collapsed="false">
      <c r="B67" s="37" t="n">
        <v>32</v>
      </c>
      <c r="C67" s="38" t="n">
        <f aca="false">$C$6*32</f>
        <v>62400</v>
      </c>
      <c r="D67" s="39" t="n">
        <f aca="false">$C$22+$C$23*32</f>
        <v>58500</v>
      </c>
    </row>
    <row r="68" customFormat="false" ht="15" hidden="false" customHeight="false" outlineLevel="0" collapsed="false">
      <c r="B68" s="37" t="n">
        <v>33</v>
      </c>
      <c r="C68" s="38" t="n">
        <f aca="false">$C$6*33</f>
        <v>64350</v>
      </c>
      <c r="D68" s="39" t="n">
        <f aca="false">$C$22+$C$23*33</f>
        <v>60250</v>
      </c>
    </row>
    <row r="69" customFormat="false" ht="15" hidden="false" customHeight="false" outlineLevel="0" collapsed="false">
      <c r="B69" s="37" t="n">
        <v>34</v>
      </c>
      <c r="C69" s="38" t="n">
        <f aca="false">$C$6*34</f>
        <v>66300</v>
      </c>
      <c r="D69" s="39" t="n">
        <f aca="false">$C$22+$C$23*34</f>
        <v>62000</v>
      </c>
    </row>
    <row r="70" customFormat="false" ht="15" hidden="false" customHeight="false" outlineLevel="0" collapsed="false">
      <c r="B70" s="37" t="n">
        <v>35</v>
      </c>
      <c r="C70" s="38" t="n">
        <f aca="false">$C$6*35</f>
        <v>68250</v>
      </c>
      <c r="D70" s="39" t="n">
        <f aca="false">$C$22+$C$23*35</f>
        <v>63750</v>
      </c>
    </row>
    <row r="71" customFormat="false" ht="15" hidden="false" customHeight="false" outlineLevel="0" collapsed="false">
      <c r="B71" s="37" t="n">
        <v>36</v>
      </c>
      <c r="C71" s="38" t="n">
        <f aca="false">$C$6*36</f>
        <v>70200</v>
      </c>
      <c r="D71" s="39" t="n">
        <f aca="false">$C$22+$C$23*36</f>
        <v>65500</v>
      </c>
    </row>
  </sheetData>
  <mergeCells count="3">
    <mergeCell ref="B2:D2"/>
    <mergeCell ref="B18:D18"/>
    <mergeCell ref="B31:D3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true"/>
  </sheetPr>
  <dimension ref="B1:F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16"/>
    <col collapsed="false" customWidth="true" hidden="false" outlineLevel="0" max="5" min="4" style="0" width="12"/>
    <col collapsed="false" customWidth="true" hidden="false" outlineLevel="0" max="6" min="6" style="0" width="60"/>
  </cols>
  <sheetData>
    <row r="1" customFormat="false" ht="22.05" hidden="false" customHeight="false" outlineLevel="0" collapsed="false">
      <c r="B1" s="14" t="s">
        <v>381</v>
      </c>
    </row>
    <row r="2" customFormat="false" ht="30" hidden="false" customHeight="true" outlineLevel="0" collapsed="false">
      <c r="B2" s="15" t="s">
        <v>382</v>
      </c>
      <c r="C2" s="15"/>
      <c r="D2" s="15"/>
    </row>
    <row r="4" customFormat="false" ht="18" hidden="false" customHeight="true" outlineLevel="0" collapsed="false">
      <c r="B4" s="3" t="s">
        <v>383</v>
      </c>
      <c r="C4" s="3"/>
      <c r="D4" s="3"/>
      <c r="E4" s="3"/>
      <c r="F4" s="3"/>
    </row>
    <row r="5" customFormat="false" ht="15" hidden="false" customHeight="false" outlineLevel="0" collapsed="false">
      <c r="B5" s="36" t="s">
        <v>59</v>
      </c>
      <c r="C5" s="36" t="s">
        <v>384</v>
      </c>
      <c r="D5" s="36" t="s">
        <v>241</v>
      </c>
      <c r="E5" s="36" t="s">
        <v>385</v>
      </c>
      <c r="F5" s="36" t="s">
        <v>386</v>
      </c>
    </row>
    <row r="6" customFormat="false" ht="15" hidden="false" customHeight="true" outlineLevel="0" collapsed="false">
      <c r="B6" s="8" t="s">
        <v>60</v>
      </c>
      <c r="C6" s="7" t="n">
        <v>0</v>
      </c>
      <c r="D6" s="46" t="n">
        <v>0.1</v>
      </c>
      <c r="E6" s="60" t="n">
        <f aca="false">D6-0</f>
        <v>0.1</v>
      </c>
      <c r="F6" s="32" t="s">
        <v>387</v>
      </c>
    </row>
    <row r="7" customFormat="false" ht="15" hidden="false" customHeight="false" outlineLevel="0" collapsed="false">
      <c r="B7" s="8" t="s">
        <v>60</v>
      </c>
      <c r="C7" s="7" t="n">
        <v>12400</v>
      </c>
      <c r="D7" s="46" t="n">
        <v>0.12</v>
      </c>
      <c r="E7" s="60" t="n">
        <f aca="false">D7-D6</f>
        <v>0.02</v>
      </c>
      <c r="F7" s="32"/>
    </row>
    <row r="8" customFormat="false" ht="15" hidden="false" customHeight="false" outlineLevel="0" collapsed="false">
      <c r="B8" s="8" t="s">
        <v>60</v>
      </c>
      <c r="C8" s="7" t="n">
        <v>50400</v>
      </c>
      <c r="D8" s="46" t="n">
        <v>0.22</v>
      </c>
      <c r="E8" s="60" t="n">
        <f aca="false">D8-D7</f>
        <v>0.1</v>
      </c>
      <c r="F8" s="32"/>
    </row>
    <row r="9" customFormat="false" ht="15" hidden="false" customHeight="false" outlineLevel="0" collapsed="false">
      <c r="B9" s="8" t="s">
        <v>60</v>
      </c>
      <c r="C9" s="7" t="n">
        <v>105700</v>
      </c>
      <c r="D9" s="46" t="n">
        <v>0.24</v>
      </c>
      <c r="E9" s="60" t="n">
        <f aca="false">D9-D8</f>
        <v>0.02</v>
      </c>
      <c r="F9" s="32"/>
    </row>
    <row r="10" customFormat="false" ht="15" hidden="false" customHeight="false" outlineLevel="0" collapsed="false">
      <c r="B10" s="8" t="s">
        <v>60</v>
      </c>
      <c r="C10" s="7" t="n">
        <v>201775</v>
      </c>
      <c r="D10" s="46" t="n">
        <v>0.32</v>
      </c>
      <c r="E10" s="60" t="n">
        <f aca="false">D10-D9</f>
        <v>0.08</v>
      </c>
      <c r="F10" s="32"/>
    </row>
    <row r="11" customFormat="false" ht="15" hidden="false" customHeight="false" outlineLevel="0" collapsed="false">
      <c r="B11" s="8" t="s">
        <v>60</v>
      </c>
      <c r="C11" s="7" t="n">
        <v>256225</v>
      </c>
      <c r="D11" s="46" t="n">
        <v>0.35</v>
      </c>
      <c r="E11" s="60" t="n">
        <f aca="false">D11-D10</f>
        <v>0.03</v>
      </c>
      <c r="F11" s="32"/>
    </row>
    <row r="12" customFormat="false" ht="15" hidden="false" customHeight="true" outlineLevel="0" collapsed="false">
      <c r="B12" s="8" t="s">
        <v>60</v>
      </c>
      <c r="C12" s="7" t="n">
        <v>640600</v>
      </c>
      <c r="D12" s="46" t="n">
        <v>0.37</v>
      </c>
      <c r="E12" s="60" t="n">
        <f aca="false">D12-D11</f>
        <v>0.02</v>
      </c>
      <c r="F12" s="32" t="s">
        <v>388</v>
      </c>
    </row>
    <row r="13" customFormat="false" ht="15" hidden="false" customHeight="false" outlineLevel="0" collapsed="false">
      <c r="B13" s="8" t="s">
        <v>389</v>
      </c>
      <c r="C13" s="7" t="n">
        <v>0</v>
      </c>
      <c r="D13" s="46" t="n">
        <v>0.1</v>
      </c>
      <c r="E13" s="60" t="n">
        <f aca="false">D13-0</f>
        <v>0.1</v>
      </c>
      <c r="F13" s="32"/>
    </row>
    <row r="14" customFormat="false" ht="15" hidden="false" customHeight="false" outlineLevel="0" collapsed="false">
      <c r="B14" s="8" t="s">
        <v>389</v>
      </c>
      <c r="C14" s="7" t="n">
        <v>24800</v>
      </c>
      <c r="D14" s="46" t="n">
        <v>0.12</v>
      </c>
      <c r="E14" s="60" t="n">
        <f aca="false">D14-D13</f>
        <v>0.02</v>
      </c>
      <c r="F14" s="32"/>
    </row>
    <row r="15" customFormat="false" ht="15" hidden="false" customHeight="false" outlineLevel="0" collapsed="false">
      <c r="B15" s="8" t="s">
        <v>389</v>
      </c>
      <c r="C15" s="7" t="n">
        <v>100800</v>
      </c>
      <c r="D15" s="46" t="n">
        <v>0.22</v>
      </c>
      <c r="E15" s="60" t="n">
        <f aca="false">D15-D14</f>
        <v>0.1</v>
      </c>
      <c r="F15" s="32"/>
    </row>
    <row r="16" customFormat="false" ht="15" hidden="false" customHeight="false" outlineLevel="0" collapsed="false">
      <c r="B16" s="8" t="s">
        <v>389</v>
      </c>
      <c r="C16" s="7" t="n">
        <v>211400</v>
      </c>
      <c r="D16" s="46" t="n">
        <v>0.24</v>
      </c>
      <c r="E16" s="60" t="n">
        <f aca="false">D16-D15</f>
        <v>0.02</v>
      </c>
      <c r="F16" s="32"/>
    </row>
    <row r="17" customFormat="false" ht="15" hidden="false" customHeight="false" outlineLevel="0" collapsed="false">
      <c r="B17" s="8" t="s">
        <v>389</v>
      </c>
      <c r="C17" s="7" t="n">
        <v>403550</v>
      </c>
      <c r="D17" s="46" t="n">
        <v>0.32</v>
      </c>
      <c r="E17" s="60" t="n">
        <f aca="false">D17-D16</f>
        <v>0.08</v>
      </c>
      <c r="F17" s="32"/>
    </row>
    <row r="18" customFormat="false" ht="15" hidden="false" customHeight="false" outlineLevel="0" collapsed="false">
      <c r="B18" s="8" t="s">
        <v>389</v>
      </c>
      <c r="C18" s="7" t="n">
        <v>512450</v>
      </c>
      <c r="D18" s="46" t="n">
        <v>0.35</v>
      </c>
      <c r="E18" s="60" t="n">
        <f aca="false">D18-D17</f>
        <v>0.03</v>
      </c>
      <c r="F18" s="32"/>
    </row>
    <row r="19" customFormat="false" ht="15" hidden="false" customHeight="true" outlineLevel="0" collapsed="false">
      <c r="B19" s="8" t="s">
        <v>389</v>
      </c>
      <c r="C19" s="7" t="n">
        <v>768700</v>
      </c>
      <c r="D19" s="46" t="n">
        <v>0.37</v>
      </c>
      <c r="E19" s="60" t="n">
        <f aca="false">D19-D18</f>
        <v>0.02</v>
      </c>
      <c r="F19" s="32" t="s">
        <v>390</v>
      </c>
    </row>
    <row r="20" customFormat="false" ht="15" hidden="false" customHeight="false" outlineLevel="0" collapsed="false">
      <c r="B20" s="8" t="s">
        <v>391</v>
      </c>
      <c r="C20" s="7" t="n">
        <v>0</v>
      </c>
      <c r="D20" s="46" t="n">
        <v>0.1</v>
      </c>
      <c r="E20" s="60" t="n">
        <f aca="false">D20-0</f>
        <v>0.1</v>
      </c>
      <c r="F20" s="32"/>
    </row>
    <row r="21" customFormat="false" ht="15" hidden="false" customHeight="false" outlineLevel="0" collapsed="false">
      <c r="B21" s="8" t="s">
        <v>391</v>
      </c>
      <c r="C21" s="7" t="n">
        <v>12400</v>
      </c>
      <c r="D21" s="46" t="n">
        <v>0.12</v>
      </c>
      <c r="E21" s="60" t="n">
        <f aca="false">D21-D20</f>
        <v>0.02</v>
      </c>
      <c r="F21" s="32"/>
    </row>
    <row r="22" customFormat="false" ht="15" hidden="false" customHeight="false" outlineLevel="0" collapsed="false">
      <c r="B22" s="8" t="s">
        <v>391</v>
      </c>
      <c r="C22" s="7" t="n">
        <v>50400</v>
      </c>
      <c r="D22" s="46" t="n">
        <v>0.22</v>
      </c>
      <c r="E22" s="60" t="n">
        <f aca="false">D22-D21</f>
        <v>0.1</v>
      </c>
      <c r="F22" s="32"/>
    </row>
    <row r="23" customFormat="false" ht="15" hidden="false" customHeight="false" outlineLevel="0" collapsed="false">
      <c r="B23" s="8" t="s">
        <v>391</v>
      </c>
      <c r="C23" s="7" t="n">
        <v>105700</v>
      </c>
      <c r="D23" s="46" t="n">
        <v>0.24</v>
      </c>
      <c r="E23" s="60" t="n">
        <f aca="false">D23-D22</f>
        <v>0.02</v>
      </c>
      <c r="F23" s="32"/>
    </row>
    <row r="24" customFormat="false" ht="15" hidden="false" customHeight="false" outlineLevel="0" collapsed="false">
      <c r="B24" s="8" t="s">
        <v>391</v>
      </c>
      <c r="C24" s="7" t="n">
        <v>201775</v>
      </c>
      <c r="D24" s="46" t="n">
        <v>0.32</v>
      </c>
      <c r="E24" s="60" t="n">
        <f aca="false">D24-D23</f>
        <v>0.08</v>
      </c>
      <c r="F24" s="32"/>
    </row>
    <row r="25" customFormat="false" ht="15" hidden="false" customHeight="false" outlineLevel="0" collapsed="false">
      <c r="B25" s="8" t="s">
        <v>391</v>
      </c>
      <c r="C25" s="7" t="n">
        <v>256225</v>
      </c>
      <c r="D25" s="46" t="n">
        <v>0.35</v>
      </c>
      <c r="E25" s="60" t="n">
        <f aca="false">D25-D24</f>
        <v>0.03</v>
      </c>
    </row>
    <row r="26" customFormat="false" ht="15" hidden="false" customHeight="false" outlineLevel="0" collapsed="false">
      <c r="B26" s="8" t="s">
        <v>391</v>
      </c>
      <c r="C26" s="7" t="n">
        <v>384350</v>
      </c>
      <c r="D26" s="46" t="n">
        <v>0.37</v>
      </c>
      <c r="E26" s="60" t="n">
        <f aca="false">D26-D25</f>
        <v>0.02</v>
      </c>
    </row>
    <row r="27" customFormat="false" ht="15" hidden="false" customHeight="false" outlineLevel="0" collapsed="false">
      <c r="B27" s="8" t="s">
        <v>392</v>
      </c>
      <c r="C27" s="7" t="n">
        <v>0</v>
      </c>
      <c r="D27" s="46" t="n">
        <v>0.1</v>
      </c>
      <c r="E27" s="60" t="n">
        <f aca="false">D27-0</f>
        <v>0.1</v>
      </c>
    </row>
    <row r="28" customFormat="false" ht="15" hidden="false" customHeight="false" outlineLevel="0" collapsed="false">
      <c r="B28" s="8" t="s">
        <v>392</v>
      </c>
      <c r="C28" s="7" t="n">
        <v>17700</v>
      </c>
      <c r="D28" s="46" t="n">
        <v>0.12</v>
      </c>
      <c r="E28" s="60" t="n">
        <f aca="false">D28-D27</f>
        <v>0.02</v>
      </c>
    </row>
    <row r="29" customFormat="false" ht="15" hidden="false" customHeight="false" outlineLevel="0" collapsed="false">
      <c r="B29" s="8" t="s">
        <v>392</v>
      </c>
      <c r="C29" s="7" t="n">
        <v>67450</v>
      </c>
      <c r="D29" s="46" t="n">
        <v>0.22</v>
      </c>
      <c r="E29" s="60" t="n">
        <f aca="false">D29-D28</f>
        <v>0.1</v>
      </c>
    </row>
    <row r="30" customFormat="false" ht="15" hidden="false" customHeight="false" outlineLevel="0" collapsed="false">
      <c r="B30" s="8" t="s">
        <v>392</v>
      </c>
      <c r="C30" s="7" t="n">
        <v>105700</v>
      </c>
      <c r="D30" s="46" t="n">
        <v>0.24</v>
      </c>
      <c r="E30" s="60" t="n">
        <f aca="false">D30-D29</f>
        <v>0.02</v>
      </c>
    </row>
    <row r="31" customFormat="false" ht="15" hidden="false" customHeight="false" outlineLevel="0" collapsed="false">
      <c r="B31" s="8" t="s">
        <v>392</v>
      </c>
      <c r="C31" s="7" t="n">
        <v>201775</v>
      </c>
      <c r="D31" s="46" t="n">
        <v>0.32</v>
      </c>
      <c r="E31" s="60" t="n">
        <f aca="false">D31-D30</f>
        <v>0.08</v>
      </c>
    </row>
    <row r="32" customFormat="false" ht="15" hidden="false" customHeight="false" outlineLevel="0" collapsed="false">
      <c r="B32" s="8" t="s">
        <v>392</v>
      </c>
      <c r="C32" s="7" t="n">
        <v>256200</v>
      </c>
      <c r="D32" s="46" t="n">
        <v>0.35</v>
      </c>
      <c r="E32" s="60" t="n">
        <f aca="false">D32-D31</f>
        <v>0.03</v>
      </c>
    </row>
    <row r="33" customFormat="false" ht="15" hidden="false" customHeight="false" outlineLevel="0" collapsed="false">
      <c r="B33" s="8" t="s">
        <v>392</v>
      </c>
      <c r="C33" s="7" t="n">
        <v>640600</v>
      </c>
      <c r="D33" s="46" t="n">
        <v>0.37</v>
      </c>
      <c r="E33" s="60" t="n">
        <f aca="false">D33-D32</f>
        <v>0.02</v>
      </c>
    </row>
    <row r="35" customFormat="false" ht="18" hidden="false" customHeight="true" outlineLevel="0" collapsed="false">
      <c r="B35" s="3" t="s">
        <v>393</v>
      </c>
      <c r="C35" s="3"/>
      <c r="D35" s="3"/>
      <c r="E35" s="3"/>
      <c r="F35" s="3"/>
    </row>
    <row r="36" customFormat="false" ht="23.85" hidden="false" customHeight="false" outlineLevel="0" collapsed="false">
      <c r="B36" s="36" t="s">
        <v>59</v>
      </c>
      <c r="C36" s="36" t="s">
        <v>77</v>
      </c>
      <c r="D36" s="36" t="s">
        <v>394</v>
      </c>
      <c r="E36" s="36"/>
      <c r="F36" s="36"/>
    </row>
    <row r="37" customFormat="false" ht="15" hidden="false" customHeight="true" outlineLevel="0" collapsed="false">
      <c r="B37" s="8" t="s">
        <v>60</v>
      </c>
      <c r="C37" s="7" t="n">
        <v>16100</v>
      </c>
      <c r="D37" s="7" t="n">
        <v>200000</v>
      </c>
      <c r="F37" s="32" t="s">
        <v>395</v>
      </c>
    </row>
    <row r="38" customFormat="false" ht="15" hidden="false" customHeight="false" outlineLevel="0" collapsed="false">
      <c r="B38" s="8" t="s">
        <v>389</v>
      </c>
      <c r="C38" s="7" t="n">
        <v>32200</v>
      </c>
      <c r="D38" s="7" t="n">
        <v>250000</v>
      </c>
      <c r="F38" s="32"/>
    </row>
    <row r="39" customFormat="false" ht="15" hidden="false" customHeight="false" outlineLevel="0" collapsed="false">
      <c r="B39" s="8" t="s">
        <v>391</v>
      </c>
      <c r="C39" s="7" t="n">
        <v>16100</v>
      </c>
      <c r="D39" s="7" t="n">
        <v>125000</v>
      </c>
      <c r="F39" s="32"/>
    </row>
    <row r="40" customFormat="false" ht="15" hidden="false" customHeight="false" outlineLevel="0" collapsed="false">
      <c r="B40" s="8" t="s">
        <v>392</v>
      </c>
      <c r="C40" s="7" t="n">
        <v>24150</v>
      </c>
      <c r="D40" s="7" t="n">
        <v>200000</v>
      </c>
      <c r="F40" s="32"/>
    </row>
    <row r="42" customFormat="false" ht="18" hidden="false" customHeight="true" outlineLevel="0" collapsed="false">
      <c r="B42" s="3" t="s">
        <v>396</v>
      </c>
      <c r="C42" s="3"/>
      <c r="D42" s="3"/>
      <c r="E42" s="3"/>
      <c r="F42" s="3"/>
    </row>
    <row r="43" customFormat="false" ht="15" hidden="false" customHeight="false" outlineLevel="0" collapsed="false">
      <c r="B43" s="8" t="s">
        <v>397</v>
      </c>
      <c r="C43" s="46" t="n">
        <v>0.062</v>
      </c>
      <c r="F43" s="61" t="s">
        <v>398</v>
      </c>
    </row>
    <row r="44" customFormat="false" ht="22.35" hidden="false" customHeight="false" outlineLevel="0" collapsed="false">
      <c r="B44" s="8" t="s">
        <v>399</v>
      </c>
      <c r="C44" s="7" t="n">
        <v>184500</v>
      </c>
      <c r="F44" s="61" t="s">
        <v>400</v>
      </c>
    </row>
    <row r="45" customFormat="false" ht="15" hidden="false" customHeight="false" outlineLevel="0" collapsed="false">
      <c r="B45" s="8" t="s">
        <v>401</v>
      </c>
      <c r="C45" s="46" t="n">
        <v>0.0145</v>
      </c>
      <c r="F45" s="61" t="s">
        <v>402</v>
      </c>
    </row>
    <row r="46" customFormat="false" ht="15" hidden="false" customHeight="false" outlineLevel="0" collapsed="false">
      <c r="B46" s="8" t="s">
        <v>403</v>
      </c>
      <c r="C46" s="46" t="n">
        <v>0.009</v>
      </c>
      <c r="F46" s="61" t="s">
        <v>404</v>
      </c>
    </row>
    <row r="47" customFormat="false" ht="32.8" hidden="false" customHeight="false" outlineLevel="0" collapsed="false">
      <c r="F47" s="61" t="s">
        <v>405</v>
      </c>
    </row>
    <row r="49" customFormat="false" ht="18" hidden="false" customHeight="true" outlineLevel="0" collapsed="false">
      <c r="B49" s="3" t="s">
        <v>406</v>
      </c>
      <c r="C49" s="3"/>
      <c r="D49" s="3"/>
      <c r="E49" s="3"/>
      <c r="F49" s="3"/>
    </row>
    <row r="50" customFormat="false" ht="15" hidden="false" customHeight="true" outlineLevel="0" collapsed="false">
      <c r="B50" s="8" t="s">
        <v>407</v>
      </c>
      <c r="C50" s="7" t="n">
        <v>50000</v>
      </c>
      <c r="F50" s="32" t="s">
        <v>408</v>
      </c>
    </row>
    <row r="51" customFormat="false" ht="15" hidden="false" customHeight="false" outlineLevel="0" collapsed="false">
      <c r="B51" s="8" t="s">
        <v>409</v>
      </c>
      <c r="C51" s="46" t="n">
        <v>0.5</v>
      </c>
      <c r="F51" s="32"/>
    </row>
    <row r="52" customFormat="false" ht="15" hidden="false" customHeight="false" outlineLevel="0" collapsed="false">
      <c r="B52" s="8" t="s">
        <v>410</v>
      </c>
      <c r="C52" s="7" t="n">
        <v>10000</v>
      </c>
      <c r="F52" s="32"/>
    </row>
    <row r="53" customFormat="false" ht="15" hidden="false" customHeight="false" outlineLevel="0" collapsed="false">
      <c r="B53" s="8" t="s">
        <v>411</v>
      </c>
      <c r="C53" s="44" t="n">
        <v>60</v>
      </c>
      <c r="F53" s="32"/>
    </row>
    <row r="54" customFormat="false" ht="15" hidden="false" customHeight="false" outlineLevel="0" collapsed="false">
      <c r="B54" s="8" t="s">
        <v>412</v>
      </c>
      <c r="C54" s="46" t="n">
        <v>0.1</v>
      </c>
      <c r="F54" s="32"/>
    </row>
    <row r="55" customFormat="false" ht="15" hidden="false" customHeight="false" outlineLevel="0" collapsed="false">
      <c r="B55" s="8" t="s">
        <v>413</v>
      </c>
      <c r="C55" s="62" t="n">
        <v>59.5</v>
      </c>
      <c r="F55" s="32"/>
    </row>
    <row r="57" customFormat="false" ht="18" hidden="false" customHeight="true" outlineLevel="0" collapsed="false">
      <c r="B57" s="3" t="s">
        <v>414</v>
      </c>
      <c r="C57" s="3"/>
      <c r="D57" s="3"/>
      <c r="E57" s="3"/>
      <c r="F57" s="3"/>
    </row>
    <row r="58" customFormat="false" ht="23.85" hidden="false" customHeight="false" outlineLevel="0" collapsed="false">
      <c r="B58" s="36" t="s">
        <v>47</v>
      </c>
      <c r="C58" s="36" t="s">
        <v>70</v>
      </c>
      <c r="D58" s="36" t="s">
        <v>415</v>
      </c>
      <c r="E58" s="36"/>
      <c r="F58" s="36"/>
    </row>
    <row r="59" customFormat="false" ht="15" hidden="false" customHeight="false" outlineLevel="0" collapsed="false">
      <c r="B59" s="8" t="s">
        <v>416</v>
      </c>
      <c r="C59" s="44" t="n">
        <v>52</v>
      </c>
      <c r="D59" s="44" t="n">
        <v>4</v>
      </c>
    </row>
    <row r="60" customFormat="false" ht="15" hidden="false" customHeight="false" outlineLevel="0" collapsed="false">
      <c r="B60" s="8" t="s">
        <v>48</v>
      </c>
      <c r="C60" s="44" t="n">
        <v>26</v>
      </c>
      <c r="D60" s="44" t="n">
        <v>2</v>
      </c>
    </row>
    <row r="61" customFormat="false" ht="15" hidden="false" customHeight="false" outlineLevel="0" collapsed="false">
      <c r="B61" s="8" t="s">
        <v>417</v>
      </c>
      <c r="C61" s="44" t="n">
        <v>24</v>
      </c>
      <c r="D61" s="44" t="n">
        <v>2</v>
      </c>
    </row>
    <row r="62" customFormat="false" ht="15" hidden="false" customHeight="false" outlineLevel="0" collapsed="false">
      <c r="B62" s="8" t="s">
        <v>418</v>
      </c>
      <c r="C62" s="44" t="n">
        <v>12</v>
      </c>
      <c r="D62" s="44" t="n">
        <v>1</v>
      </c>
    </row>
  </sheetData>
  <mergeCells count="6">
    <mergeCell ref="B2:D2"/>
    <mergeCell ref="F6:F11"/>
    <mergeCell ref="F12:F18"/>
    <mergeCell ref="F19:F24"/>
    <mergeCell ref="F37:F40"/>
    <mergeCell ref="F50:F5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2026-09-26T18:11:08Z</dcterms:created>
  <dc:creator>openpyxl</dc:creator>
  <dc:description/>
  <dc:language>en-US</dc:language>
  <cp:lastModifiedBy/>
  <dcterms:modified xsi:type="dcterms:W3CDTF">2026-09-26T18:11:10Z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