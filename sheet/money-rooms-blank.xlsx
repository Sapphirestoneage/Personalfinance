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bookViews>
    <workbookView activeTab="0"/>
  </bookViews>
  <sheets>
    <sheet name="Start here" sheetId="1" r:id="rId1"/>
    <sheet name="1. About you" sheetId="2" r:id="rId2"/>
    <sheet name="2. Money in" sheetId="3" r:id="rId3"/>
    <sheet name="3. Money out" sheetId="4" r:id="rId4"/>
    <sheet name="4. What you own" sheetId="5" r:id="rId5"/>
    <sheet name="5. What you owe" sheetId="6" r:id="rId6"/>
    <sheet name="6. Tax" sheetId="7" r:id="rId7"/>
    <sheet name="What it says" sheetId="8" r:id="rId8"/>
  </sheets>
  <definedNames>
    <definedName name="swrRate">'What it says'!$B$4</definedName>
    <definedName name="payAYear">'What it says'!$B$7</definedName>
    <definedName name="payAMonth">'What it says'!$B$8</definedName>
    <definedName name="totalAssets">'What it says'!$B$9</definedName>
    <definedName name="trueMonthlySpend">'What it says'!$B$10</definedName>
    <definedName name="runwayMonths">'What it says'!$B$11</definedName>
    <definedName name="efTarget">'What it says'!$B$12</definedName>
    <definedName name="efCoverage">'What it says'!$B$13</definedName>
    <definedName name="savingsRateGross">'What it says'!$B$14</definedName>
    <definedName name="spendRate">'What it says'!$B$15</definedName>
    <definedName name="shelterRate">'What it says'!$B$16</definedName>
    <definedName name="minimumsRate">'What it says'!$B$17</definedName>
    <definedName name="backEndDTI">'What it says'!$B$18</definedName>
    <definedName name="interestPerMonth">'What it says'!$B$19</definedName>
    <definedName name="weightedDebtRate">'What it says'!$B$20</definedName>
    <definedName name="debtToAssets">'What it says'!$B$21</definedName>
    <definedName name="liquidityRate">'What it says'!$B$22</definedName>
    <definedName name="nwToIncome">'What it says'!$B$23</definedName>
    <definedName name="currentWR">'What it says'!$B$24</definedName>
    <definedName name="fiNumber">'What it says'!$B$25</definedName>
    <definedName name="dob">'1. About you'!$C$2</definedName>
    <definedName name="dependents">'1. About you'!$C$3</definedName>
    <definedName name="employmentStatus">'1. About you'!$C$4</definedName>
    <definedName name="age">'1. About you'!$C$5</definedName>
    <definedName name="healthCover">'1. About you'!$C$6</definedName>
    <definedName name="highestDeductible">'1. About you'!$C$7</definedName>
    <definedName name="oopMax">'1. About you'!$C$8</definedName>
    <definedName name="termLife">'1. About you'!$C$9</definedName>
    <definedName name="disabilityMonthly">'1. About you'!$C$10</definedName>
    <definedName name="umbrella">'1. About you'!$C$11</definedName>
    <definedName name="beneficiariesSet">'1. About you'!$C$12</definedName>
    <definedName name="willExists">'1. About you'!$C$13</definedName>
    <definedName name="poaExists">'1. About you'!$C$14</definedName>
    <definedName name="partnerName">'1. About you'!$C$15</definedName>
    <definedName name="partnerDob">'1. About you'!$C$16</definedName>
    <definedName name="grossAnnualIncome">'2. Money in'!$C$2:$C$6</definedName>
    <definedName name="takeHomeMonthly">'2. Money in'!$C$7</definedName>
    <definedName name="incomeType">'2. Money in'!$C$8:$C$12</definedName>
    <definedName name="capturingFullMatch">'2. Money in'!$C$13</definedName>
    <definedName name="payVaries">'2. Money in'!$C$14</definedName>
    <definedName name="paySurvives">'2. Money in'!$C$15:$C$19</definedName>
    <definedName name="payCadence">'2. Money in'!$C$20</definedName>
    <definedName name="nextPayday">'2. Money in'!$C$21</definedName>
    <definedName name="bufferMonths">'2. Money in'!$C$22</definedName>
    <definedName name="futureIncome">'2. Money in'!$C$23:$C$27</definedName>
    <definedName name="ledgerIncome">'2. Money in'!$C$28</definedName>
    <definedName name="lastPay">'2. Money in'!$C$29</definedName>
    <definedName name="employerMatch">'2. Money in'!$C$30</definedName>
    <definedName name="unemployment">'2. Money in'!$C$31</definedName>
    <definedName name="incomeLow">'2. Money in'!$C$32</definedName>
    <definedName name="incomeHigh">'2. Money in'!$C$33</definedName>
    <definedName name="variableWindow">'2. Money in'!$C$34</definedName>
    <definedName name="foodMonthly">'3. Money out'!$C$2</definedName>
    <definedName name="accommodationMonthly">'3. Money out'!$C$3</definedName>
    <definedName name="transportationMonthly">'3. Money out'!$C$4</definedName>
    <definedName name="wantsMonthly">'3. Money out'!$C$5</definedName>
    <definedName name="monthlyExpenses">'3. Money out'!$C$6</definedName>
    <definedName name="spendingIncludesDebt">'3. Money out'!$C$7</definedName>
    <definedName name="spendingIncludesSaving">'3. Money out'!$C$8</definedName>
    <definedName name="therapyMonthly">'3. Money out'!$C$9</definedName>
    <definedName name="annualLine">'3. Money out'!$C$10:$C$14</definedName>
    <definedName name="healthMonthly">'3. Money out'!$C$15</definedName>
    <definedName name="givingPct">'3. Money out'!$C$16</definedName>
    <definedName name="givingTarget">'3. Money out'!$C$17</definedName>
    <definedName name="billsMonthly">'3. Money out'!$C$18</definedName>
    <definedName name="payLaterDue">'3. Money out'!$C$19</definedName>
    <definedName name="monthsClosed">'3. Money out'!$C$20</definedName>
    <definedName name="floorMonthly">'3. Money out'!$C$21</definedName>
    <definedName name="splitMode">'3. Money out'!$C$22</definedName>
    <definedName name="sharedMonthly">'3. Money out'!$C$23</definedName>
    <definedName name="cashSavings">'4. What you own'!$C$2</definedName>
    <definedName name="investments">'4. What you own'!$C$3</definedName>
    <definedName name="assetValue">'4. What you own'!$C$4:$C$8</definedName>
    <definedName name="netWorth">'4. What you own'!$C$9</definedName>
    <definedName name="savedMonthly">'4. What you own'!$C$10</definedName>
    <definedName name="totalSaved">'4. What you own'!$C$11</definedName>
    <definedName name="assetInstitution">'4. What you own'!$C$12:$C$16</definedName>
    <definedName name="assetAccountType">'4. What you own'!$C$17:$C$21</definedName>
    <definedName name="assetCharacter">'4. What you own'!$C$22:$C$26</definedName>
    <definedName name="assetTier">'4. What you own'!$C$27:$C$31</definedName>
    <definedName name="assetConfidence">'4. What you own'!$C$32:$C$36</definedName>
    <definedName name="otherAssets">'4. What you own'!$C$37</definedName>
    <definedName name="onHdhp">'4. What you own'!$C$38</definedName>
    <definedName name="assetCostBasis">'4. What you own'!$C$39:$C$43</definedName>
    <definedName name="assetCashFlow">'4. What you own'!$C$44:$C$48</definedName>
    <definedName name="assetHassle">'4. What you own'!$C$49:$C$53</definedName>
    <definedName name="assetAccessAge">'4. What you own'!$C$54:$C$58</definedName>
    <definedName name="rothContributed">'4. What you own'!$C$59</definedName>
    <definedName name="allocationStocks">'4. What you own'!$C$60</definedName>
    <definedName name="allocationBonds">'4. What you own'!$C$61</definedName>
    <definedName name="allocationCash">'4. What you own'!$C$62</definedName>
    <definedName name="rebalanceBand">'4. What you own'!$C$63</definedName>
    <definedName name="confidenceWeightedNetWorth">'4. What you own'!$C$64</definedName>
    <definedName name="contributionPercent">'4. What you own'!$C$65</definedName>
    <definedName name="hsaFamilyPlan">'4. What you own'!$C$66</definedName>
    <definedName name="hsaContributed">'4. What you own'!$C$67</definedName>
    <definedName name="tuitionSaved">'4. What you own'!$C$68</definedName>
    <definedName name="stockShare">'4. What you own'!$C$69</definedName>
    <definedName name="hasDebt">'5. What you owe'!$C$2</definedName>
    <definedName name="totalDebt">'5. What you owe'!$C$3</definedName>
    <definedName name="monthlyDebtPayments">'5. What you owe'!$C$4</definedName>
    <definedName name="debtBalance">'5. What you owe'!$C$5:$C$9</definedName>
    <definedName name="debtRate">'5. What you owe'!$C$10:$C$14</definedName>
    <definedName name="debtMinPayment">'5. What you owe'!$C$15:$C$19</definedName>
    <definedName name="loanPlan">'5. What you owe'!$C$20</definedName>
    <definedName name="loanExtra">'5. What you owe'!$C$21</definedName>
    <definedName name="idrShare">'5. What you owe'!$C$22</definedName>
    <definedName name="forgivenessYears">'5. What you owe'!$C$23</definedName>
    <definedName name="highInterestBalance">'5. What you owe'!$C$24</definedName>
    <definedName name="state">'6. Tax'!$C$2</definedName>
    <definedName name="filingStatus">'6. Tax'!$C$3</definedName>
    <definedName name="refundLastYear">'6. Tax'!$C$4</definedName>
    <definedName name="zip">'6. Tax'!$C$5</definedName>
    <definedName name="marginalRate">'6. Tax'!$C$6</definedName>
    <definedName name="otherPreTax">'6. Tax'!$C$7</definedName>
    <definedName name="withheld">'6. Tax'!$C$8</definedName>
    <definedName name="assetKind">'4. What you own'!$P$4:$P$8</definedName>
  </definedNames>
  <calcPr calcId="191029" fullCalcOnLoad="1"/>
</workbook>
</file>

<file path=xl/styles.xml><?xml version="1.0" encoding="utf-8"?>
<styleSheet xmlns="http://schemas.openxmlformats.org/spreadsheetml/2006/main">
  <numFmts count="3">
    <numFmt numFmtId="164" formatCode="&quot;$&quot;#,##0.00"/>
    <numFmt numFmtId="165" formatCode="0.00%"/>
    <numFmt numFmtId="166" formatCode="yyyy\-mm\-dd"/>
  </numFmts>
  <fonts count="6">
    <font>
      <sz val="11"/>
      <name val="Calibri"/>
    </font>
    <font>
      <b/>
      <sz val="11"/>
      <color rgb="FFFFFFFF"/>
      <name val="Calibri"/>
    </font>
    <font>
      <sz val="10"/>
      <color rgb="FF8A8A8A"/>
      <name val="Calibri"/>
    </font>
    <font>
      <b/>
      <sz val="16"/>
      <color rgb="FF2F5D50"/>
      <name val="Calibri"/>
    </font>
    <font>
      <b/>
      <sz val="11"/>
      <color rgb="FF2F5D50"/>
      <name val="Calibri"/>
    </font>
    <font>
      <sz val="10"/>
      <color rgb="FF5A6B66"/>
      <name val="Calibri"/>
    </font>
  </fonts>
  <fills count="5">
    <fill>
      <patternFill patternType="none"/>
    </fill>
    <fill>
      <patternFill patternType="gray125"/>
    </fill>
    <fill>
      <patternFill patternType="solid">
        <fgColor rgb="FF2F5D50"/>
        <bgColor indexed="64"/>
      </patternFill>
    </fill>
    <fill>
      <patternFill patternType="solid">
        <fgColor rgb="FFFFF8E1"/>
        <bgColor indexed="64"/>
      </patternFill>
    </fill>
    <fill>
      <patternFill patternType="solid">
        <fgColor rgb="FFEDF2F0"/>
        <bgColor indexed="64"/>
      </patternFill>
    </fill>
  </fills>
  <borders count="3">
    <border>
      <left/>
      <right/>
      <top/>
      <bottom/>
      <diagonal/>
    </border>
    <border>
      <left style="thin">
        <color rgb="FFD8C89A"/>
      </left>
      <right style="thin">
        <color rgb="FFD8C89A"/>
      </right>
      <top style="thin">
        <color rgb="FFD8C89A"/>
      </top>
      <bottom style="thin">
        <color rgb="FFD8C89A"/>
      </bottom>
      <diagonal/>
    </border>
    <border>
      <left/>
      <right/>
      <top style="thin">
        <color rgb="FF2F5D50"/>
      </top>
      <bottom/>
      <diagonal/>
    </border>
  </borders>
  <cellStyleXfs count="1">
    <xf numFmtId="0" fontId="0" fillId="0" borderId="0"/>
  </cellStyleXfs>
  <cellXfs count="21">
    <xf numFmtId="0" fontId="0" fillId="0" borderId="0" xfId="0"/>
    <xf numFmtId="0" fontId="1" fillId="2" borderId="0" xfId="0" applyFont="1" applyFill="1" applyAlignment="1">
      <alignment vertical="center" wrapText="1"/>
    </xf>
    <xf numFmtId="49" fontId="0" fillId="0" borderId="0" xfId="0" applyNumberFormat="1"/>
    <xf numFmtId="164" fontId="0" fillId="0" borderId="0" xfId="0" applyNumberFormat="1"/>
    <xf numFmtId="165" fontId="0" fillId="0" borderId="0" xfId="0" applyNumberFormat="1"/>
    <xf numFmtId="166" fontId="0" fillId="0" borderId="0" xfId="0" applyNumberFormat="1"/>
    <xf numFmtId="0" fontId="0" fillId="0" borderId="0" xfId="0"/>
    <xf numFmtId="49" fontId="2" fillId="0" borderId="0" xfId="0" applyNumberFormat="1" applyFont="1"/>
    <xf numFmtId="0" fontId="3" fillId="0" borderId="0" xfId="0" applyFont="1" applyAlignment="1">
      <alignment vertical="center"/>
    </xf>
    <xf numFmtId="0" fontId="4" fillId="4" borderId="2" xfId="0" applyFont="1" applyFill="1" applyBorder="1" applyAlignment="1">
      <alignment vertical="center"/>
    </xf>
    <xf numFmtId="49" fontId="0" fillId="0" borderId="0" xfId="0" applyNumberFormat="1" applyAlignment="1">
      <alignment vertical="top" wrapText="1"/>
    </xf>
    <xf numFmtId="49" fontId="5" fillId="0" borderId="0" xfId="0" applyNumberFormat="1" applyFont="1" applyAlignment="1">
      <alignment vertical="top" wrapText="1"/>
    </xf>
    <xf numFmtId="49" fontId="0" fillId="3" borderId="1" xfId="0" applyNumberFormat="1" applyFill="1" applyBorder="1"/>
    <xf numFmtId="164" fontId="0" fillId="3" borderId="1" xfId="0" applyNumberFormat="1" applyFill="1" applyBorder="1"/>
    <xf numFmtId="165" fontId="0" fillId="3" borderId="1" xfId="0" applyNumberFormat="1" applyFill="1" applyBorder="1"/>
    <xf numFmtId="166" fontId="0" fillId="3" borderId="1" xfId="0" applyNumberFormat="1" applyFill="1" applyBorder="1"/>
    <xf numFmtId="0" fontId="0" fillId="3" borderId="1" xfId="0" applyFill="1" applyBorder="1"/>
    <xf numFmtId="49" fontId="4" fillId="0" borderId="0" xfId="0" applyNumberFormat="1" applyFont="1"/>
    <xf numFmtId="164" fontId="4" fillId="0" borderId="0" xfId="0" applyNumberFormat="1" applyFont="1"/>
    <xf numFmtId="165" fontId="4" fillId="0" borderId="0" xfId="0" applyNumberFormat="1" applyFont="1"/>
    <xf numFmtId="0" fontId="4" fillId="0" borderId="0" xfId="0" applyFont="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Pr>
    <outlinePr summaryBelow="1" summaryRight="1"/>
  </sheetPr>
  <dimension ref="A1:B23"/>
  <sheetViews>
    <sheetView tabSelected="1" showGridLines="0" workbookViewId="0">
      <selection activeCell="A1" sqref="A1"/>
    </sheetView>
  </sheetViews>
  <sheetFormatPr defaultRowHeight="15"/>
  <cols>
    <col min="1" max="1" width="86" customWidth="1"/>
    <col min="2" max="2" width="60" customWidth="1"/>
  </cols>
  <sheetData>
    <row r="1">
      <c r="A1" s="8" t="inlineStr">
        <is>
          <t xml:space="preserve">Money Rooms, on one sheet</t>
        </is>
      </c>
    </row>
    <row r="2">
      <c r="A2" s="11" t="inlineStr">
        <is>
          <t xml:space="preserve">Made 2026-09-26, app version 2.0</t>
        </is>
      </c>
    </row>
    <row r="3"/>
    <row r="4">
      <c r="A4" s="9" t="inlineStr">
        <is>
          <t xml:space="preserve">What this is</t>
        </is>
      </c>
    </row>
    <row r="5">
      <c r="A5" s="10" t="inlineStr">
        <is>
          <t xml:space="preserve">Every question the app can ask, on six tabs, in the order worth doing them. Answer what you can, leave the rest blank, and the last tab works out what your numbers say.</t>
        </is>
      </c>
    </row>
    <row r="6"/>
    <row r="7">
      <c r="A7" s="9" t="inlineStr">
        <is>
          <t xml:space="preserve">How to read it</t>
        </is>
      </c>
    </row>
    <row r="8">
      <c r="A8" s="10" t="inlineStr">
        <is>
          <t xml:space="preserve">A shaded cell is yours to type in.</t>
        </is>
      </c>
    </row>
    <row r="9">
      <c r="A9" s="10" t="inlineStr">
        <is>
          <t xml:space="preserve">A bold figure is one the sheet works out. Do not type over it: the formula is the point.</t>
        </is>
      </c>
    </row>
    <row r="10">
      <c r="A10" s="10" t="inlineStr">
        <is>
          <t xml:space="preserve">Blank means not answered. It never means zero, and nothing here will treat it as zero.</t>
        </is>
      </c>
    </row>
    <row r="11">
      <c r="A11" s="10" t="inlineStr">
        <is>
          <t xml:space="preserve">Every question carries five sentences to its right: what it means, where to find it, what is close enough, what to do if you are not sure, and what answering it unlocks.</t>
        </is>
      </c>
    </row>
    <row r="12"/>
    <row r="13">
      <c r="A13" s="9" t="inlineStr">
        <is>
          <t xml:space="preserve">The order worth doing them in</t>
        </is>
      </c>
    </row>
    <row r="14">
      <c r="A14" s="10" t="inlineStr">
        <is>
          <t xml:space="preserve">1. About you</t>
        </is>
      </c>
      <c r="B14" s="11" t="inlineStr">
        <is>
          <t xml:space="preserve">Who the household is. Everything else leans on these.</t>
        </is>
      </c>
    </row>
    <row r="15">
      <c r="A15" s="10" t="inlineStr">
        <is>
          <t xml:space="preserve">2. Money in</t>
        </is>
      </c>
      <c r="B15" s="11" t="inlineStr">
        <is>
          <t xml:space="preserve">What comes in, and whether it would keep coming.</t>
        </is>
      </c>
    </row>
    <row r="16">
      <c r="A16" s="10" t="inlineStr">
        <is>
          <t xml:space="preserve">3. Money out</t>
        </is>
      </c>
      <c r="B16" s="11" t="inlineStr">
        <is>
          <t xml:space="preserve">What a month costs. The single most useful number in the file.</t>
        </is>
      </c>
    </row>
    <row r="17">
      <c r="A17" s="10" t="inlineStr">
        <is>
          <t xml:space="preserve">4. What you own</t>
        </is>
      </c>
      <c r="B17" s="11" t="inlineStr">
        <is>
          <t xml:space="preserve">Cash, investments, and anything else worth something.</t>
        </is>
      </c>
    </row>
    <row r="18">
      <c r="A18" s="10" t="inlineStr">
        <is>
          <t xml:space="preserve">5. What you owe</t>
        </is>
      </c>
      <c r="B18" s="11" t="inlineStr">
        <is>
          <t xml:space="preserve">One line per debt: the balance, the rate, the smallest payment.</t>
        </is>
      </c>
    </row>
    <row r="19">
      <c r="A19" s="10" t="inlineStr">
        <is>
          <t xml:space="preserve">6. Tax</t>
        </is>
      </c>
      <c r="B19" s="11" t="inlineStr">
        <is>
          <t xml:space="preserve">Only what the other tabs need. This is not a tax return.</t>
        </is>
      </c>
    </row>
    <row r="20"/>
    <row r="21">
      <c r="A21" s="9" t="inlineStr">
        <is>
          <t xml:space="preserve">Two promises</t>
        </is>
      </c>
    </row>
    <row r="22">
      <c r="A22" s="10" t="inlineStr">
        <is>
          <t xml:space="preserve">Nothing in this file leaves your computer. It was made on your own machine and it is yours.</t>
        </is>
      </c>
    </row>
    <row r="23">
      <c r="A23" s="10" t="inlineStr">
        <is>
          <t xml:space="preserve">Every figure on What it says is the same arithmetic the app does. The app’s own tests work each one out both ways and fail if they ever disagree.</t>
        </is>
      </c>
    </row>
  </sheetData>
</worksheet>
</file>

<file path=xl/worksheets/sheet2.xml><?xml version="1.0" encoding="utf-8"?>
<worksheet xmlns="http://schemas.openxmlformats.org/spreadsheetml/2006/main" xmlns:r="http://schemas.openxmlformats.org/officeDocument/2006/relationships">
  <sheetPr>
    <outlinePr summaryBelow="1" summaryRight="1"/>
  </sheetPr>
  <dimension ref="A1:O16"/>
  <sheetViews>
    <sheetView workbookViewId="0">
      <pane xSplit="1" ySplit="1" topLeftCell="B2" activePane="bottomRight" state="frozen"/>
      <selection pane="bottomRight" activeCell="B2" sqref="B2"/>
    </sheetView>
  </sheetViews>
  <sheetFormatPr defaultRowHeight="15"/>
  <cols>
    <col min="1" max="1" width="54" customWidth="1"/>
    <col min="2" max="2" width="18" customWidth="1"/>
    <col min="3" max="3" width="16" customWidth="1"/>
    <col min="4" max="4" width="13" customWidth="1"/>
    <col min="5" max="5" width="46" customWidth="1"/>
    <col min="6" max="6" width="46" customWidth="1"/>
    <col min="7" max="7" width="36" customWidth="1"/>
    <col min="8" max="8" width="40" customWidth="1"/>
    <col min="9" max="9" width="34" customWidth="1"/>
    <col min="10" max="10" width="14" customWidth="1"/>
    <col min="11" max="11" width="13" customWidth="1"/>
    <col min="12" max="12" width="13" customWidth="1"/>
    <col min="13" max="13" width="34" customWidth="1"/>
    <col min="14" max="14" width="20" customWidth="1"/>
    <col min="15" max="15" width="14" customWidth="1"/>
  </cols>
  <sheetData>
    <row r="1" ht="26" customHeight="1">
      <c r="A1" s="1" t="inlineStr">
        <is>
          <t xml:space="preserve">In plain words</t>
        </is>
      </c>
      <c r="B1" s="1" t="inlineStr">
        <is>
          <t xml:space="preserve">Which one</t>
        </is>
      </c>
      <c r="C1" s="1" t="inlineStr">
        <is>
          <t xml:space="preserve">Your number</t>
        </is>
      </c>
      <c r="D1" s="1" t="inlineStr">
        <is>
          <t xml:space="preserve">In</t>
        </is>
      </c>
      <c r="E1" s="1" t="inlineStr">
        <is>
          <t xml:space="preserve">What it means</t>
        </is>
      </c>
      <c r="F1" s="1" t="inlineStr">
        <is>
          <t xml:space="preserve">Where to find it</t>
        </is>
      </c>
      <c r="G1" s="1" t="inlineStr">
        <is>
          <t xml:space="preserve">Close enough</t>
        </is>
      </c>
      <c r="H1" s="1" t="inlineStr">
        <is>
          <t xml:space="preserve">If you are not sure</t>
        </is>
      </c>
      <c r="I1" s="1" t="inlineStr">
        <is>
          <t xml:space="preserve">What it unlocks</t>
        </is>
      </c>
      <c r="J1" s="1" t="inlineStr">
        <is>
          <t xml:space="preserve">How sure</t>
        </is>
      </c>
      <c r="K1" s="1" t="inlineStr">
        <is>
          <t xml:space="preserve">Last checked</t>
        </is>
      </c>
      <c r="L1" s="1" t="inlineStr">
        <is>
          <t xml:space="preserve">Came from</t>
        </is>
      </c>
      <c r="M1" s="1" t="inlineStr">
        <is>
          <t xml:space="preserve">What it is</t>
        </is>
      </c>
      <c r="N1" s="1" t="inlineStr">
        <is>
          <t xml:space="preserve">row id</t>
        </is>
      </c>
      <c r="O1" s="1" t="inlineStr">
        <is>
          <t xml:space="preserve">item id</t>
        </is>
      </c>
    </row>
    <row r="2">
      <c r="A2" s="10" t="inlineStr">
        <is>
          <t xml:space="preserve">What month and year were you born?</t>
        </is>
      </c>
      <c r="C2" s="15"/>
      <c r="D2" s="2" t="inlineStr">
        <is>
          <t xml:space="preserve">a date</t>
        </is>
      </c>
      <c r="E2" s="11" t="inlineStr">
        <is>
          <t xml:space="preserve">Your age. It sets every date the app works out, like the year work could become optional.</t>
        </is>
      </c>
      <c r="F2" s="11" t="inlineStr">
        <is>
          <t xml:space="preserve">Your driving licence, your passport, or the birthday your phone already knows.</t>
        </is>
      </c>
      <c r="G2" s="11" t="inlineStr">
        <is>
          <t xml:space="preserve">The month and year are all the app asks for. The day is not needed.</t>
        </is>
      </c>
      <c r="H2" s="11" t="inlineStr">
        <is>
          <t xml:space="preserve">There is nothing to look up here. If you know the year, use it and pick any month.</t>
        </is>
      </c>
      <c r="I2" s="11" t="inlineStr">
        <is>
          <t xml:space="preserve">every age-based figure: the buffer target, the retirement milestones, the FI date</t>
        </is>
      </c>
      <c r="J2" s="2" t="inlineStr">
        <is>
          <t xml:space="preserve">blank</t>
        </is>
      </c>
      <c r="M2" s="2" t="inlineStr">
        <is>
          <t xml:space="preserve">Month and year you were born</t>
        </is>
      </c>
      <c r="N2" s="7" t="inlineStr">
        <is>
          <t xml:space="preserve">dob</t>
        </is>
      </c>
    </row>
    <row r="3">
      <c r="A3" s="10" t="inlineStr">
        <is>
          <t xml:space="preserve">How many people depend on your income?</t>
        </is>
      </c>
      <c r="C3" s="16"/>
      <c r="D3" s="2" t="inlineStr">
        <is>
          <t xml:space="preserve">a number</t>
        </is>
      </c>
      <c r="E3" s="11" t="inlineStr">
        <is>
          <t xml:space="preserve">Children, or anyone else whose bills you pay. Do not count yourself. Count a partner only if they do not earn.</t>
        </is>
      </c>
      <c r="F3" s="11" t="inlineStr">
        <is>
          <t xml:space="preserve">Nothing to look up. Count the people in your home who could not pay their own way without you.</t>
        </is>
      </c>
      <c r="G3" s="11" t="inlineStr">
        <is>
          <t xml:space="preserve">Most people answer 0, 1 or 2.</t>
        </is>
      </c>
      <c r="H3" s="11" t="inlineStr">
        <is>
          <t xml:space="preserve">If it is close, count the person. It makes the app a little more careful, never less.</t>
        </is>
      </c>
      <c r="I3" s="11" t="inlineStr">
        <is>
          <t xml:space="preserve">whether life cover and tuition are questions at all</t>
        </is>
      </c>
      <c r="J3" s="2" t="inlineStr">
        <is>
          <t xml:space="preserve">blank</t>
        </is>
      </c>
      <c r="M3" s="2" t="inlineStr">
        <is>
          <t xml:space="preserve">Anyone depending on your income</t>
        </is>
      </c>
      <c r="N3" s="7" t="inlineStr">
        <is>
          <t xml:space="preserve">dependents</t>
        </is>
      </c>
    </row>
    <row r="4">
      <c r="A4" s="10" t="inlineStr">
        <is>
          <t xml:space="preserve">What is your working situation right now?</t>
        </is>
      </c>
      <c r="C4" s="12"/>
      <c r="D4" s="2" t="inlineStr">
        <is>
          <t xml:space="preserve">a choice</t>
        </is>
      </c>
      <c r="E4" s="11" t="inlineStr">
        <is>
          <t xml:space="preserve">How your money comes in: a job with a payslip, working for yourself, between jobs, or retired.</t>
        </is>
      </c>
      <c r="F4" s="11" t="inlineStr">
        <is>
          <t xml:space="preserve">Nothing to look up. Pick what is true this month.</t>
        </is>
      </c>
      <c r="G4" s="11" t="inlineStr">
        <is>
          <t xml:space="preserve">If you do two of these, pick the one that brings in the most money.</t>
        </is>
      </c>
      <c r="H4" s="11" t="inlineStr">
        <is>
          <t xml:space="preserve">Pick the closest one. You can change it any time, and the app re-asks only what changes.</t>
        </is>
      </c>
      <c r="I4" s="11" t="inlineStr">
        <is>
          <t xml:space="preserve">which rows apply: match, unemployment, own-work tax</t>
        </is>
      </c>
      <c r="J4" s="2" t="inlineStr">
        <is>
          <t xml:space="preserve">blank</t>
        </is>
      </c>
      <c r="M4" s="2" t="inlineStr">
        <is>
          <t xml:space="preserve">Working situation</t>
        </is>
      </c>
      <c r="N4" s="7" t="inlineStr">
        <is>
          <t xml:space="preserve">employmentStatus</t>
        </is>
      </c>
    </row>
    <row r="5">
      <c r="A5" s="10" t="inlineStr">
        <is>
          <t xml:space="preserve">Age</t>
        </is>
      </c>
      <c r="C5" s="20">
        <f>IF(dob="","",DATEDIF(dob,TODAY(),"Y"))</f>
      </c>
      <c r="D5" s="2" t="inlineStr">
        <is>
          <t xml:space="preserve">years</t>
        </is>
      </c>
      <c r="E5" s="11" t="inlineStr">
        <is>
          <t xml:space="preserve">The sheet works this out: today’s date less the date of birth, in whole years.</t>
        </is>
      </c>
      <c r="I5" s="11" t="inlineStr">
        <is>
          <t xml:space="preserve">the buffer target and the milestones (worked out from the birth date)</t>
        </is>
      </c>
      <c r="J5" s="2" t="inlineStr">
        <is>
          <t xml:space="preserve">worked out</t>
        </is>
      </c>
      <c r="M5" s="2" t="inlineStr">
        <is>
          <t xml:space="preserve">Age</t>
        </is>
      </c>
      <c r="N5" s="7" t="inlineStr">
        <is>
          <t xml:space="preserve">age</t>
        </is>
      </c>
    </row>
    <row r="6">
      <c r="A6" s="10" t="inlineStr">
        <is>
          <t xml:space="preserve">Where does your health insurance come from?</t>
        </is>
      </c>
      <c r="C6" s="12"/>
      <c r="D6" s="2" t="inlineStr">
        <is>
          <t xml:space="preserve">a choice</t>
        </is>
      </c>
      <c r="E6" s="11" t="inlineStr">
        <is>
          <t xml:space="preserve">Through a job, bought on your own, a government plan, or none right now.</t>
        </is>
      </c>
      <c r="F6" s="11" t="inlineStr">
        <is>
          <t xml:space="preserve">Your insurance card, or the deduction on your payslip if it comes out of your pay.</t>
        </is>
      </c>
      <c r="G6" s="11" t="inlineStr">
        <is>
          <t xml:space="preserve">If it comes out of your pay, it is through a job.</t>
        </is>
      </c>
      <c r="H6" s="11" t="inlineStr">
        <is>
          <t xml:space="preserve">If you have a card and do not pay for it yourself, it is almost always through a job.</t>
        </is>
      </c>
      <c r="I6" s="11" t="inlineStr">
        <is>
          <t xml:space="preserve">the cost of cover after a job ends, and the HSA question</t>
        </is>
      </c>
      <c r="J6" s="2" t="inlineStr">
        <is>
          <t xml:space="preserve">blank</t>
        </is>
      </c>
      <c r="M6" s="2" t="inlineStr">
        <is>
          <t xml:space="preserve">Health cover</t>
        </is>
      </c>
      <c r="N6" s="7" t="inlineStr">
        <is>
          <t xml:space="preserve">healthCover</t>
        </is>
      </c>
    </row>
    <row r="7">
      <c r="A7" s="10" t="inlineStr">
        <is>
          <t xml:space="preserve">Before your insurance starts paying, how much do you pay first?</t>
        </is>
      </c>
      <c r="C7" s="13"/>
      <c r="D7" s="2" t="inlineStr">
        <is>
          <t xml:space="preserve">dollars</t>
        </is>
      </c>
      <c r="E7" s="11" t="inlineStr">
        <is>
          <t xml:space="preserve">The deductible: what you pay out of your own pocket in a year before the plan picks up the rest. Use the highest one you have, across health, car and home.</t>
        </is>
      </c>
      <c r="F7" s="11" t="inlineStr">
        <is>
          <t xml:space="preserve">The health plan's summary of benefits, first page, the line called deductible for the whole family.</t>
        </is>
      </c>
      <c r="G7" s="11" t="inlineStr">
        <is>
          <t xml:space="preserve">Type 2,000 for job coverage, 5,000 for a marketplace plan.</t>
        </is>
      </c>
      <c r="H7" s="11" t="inlineStr">
        <is>
          <t xml:space="preserve">Put in $2,000 for now and mark it as a guess. It only sets the size of the first cushion.</t>
        </is>
      </c>
      <c r="I7" s="11" t="inlineStr">
        <is>
          <t xml:space="preserve">the first thing a cash cushion has to cover</t>
        </is>
      </c>
      <c r="J7" s="2" t="inlineStr">
        <is>
          <t xml:space="preserve">blank</t>
        </is>
      </c>
      <c r="M7" s="2" t="inlineStr">
        <is>
          <t xml:space="preserve">Your highest insurance deductible</t>
        </is>
      </c>
      <c r="N7" s="7" t="inlineStr">
        <is>
          <t xml:space="preserve">highestDeductible</t>
        </is>
      </c>
    </row>
    <row r="8">
      <c r="A8" s="10" t="inlineStr">
        <is>
          <t xml:space="preserve">In the worst year, what is the most your health plan would make you pay?</t>
        </is>
      </c>
      <c r="C8" s="13"/>
      <c r="D8" s="2" t="inlineStr">
        <is>
          <t xml:space="preserve">dollars</t>
        </is>
      </c>
      <c r="E8" s="11" t="inlineStr">
        <is>
          <t xml:space="preserve">The out-of-pocket maximum: once you have paid this much in a year, the plan pays everything else it covers.</t>
        </is>
      </c>
      <c r="F8" s="11" t="inlineStr">
        <is>
          <t xml:space="preserve">The same summary of benefits, the line called out-of-pocket limit, the family figure.</t>
        </is>
      </c>
      <c r="G8" s="11" t="inlineStr">
        <is>
          <t xml:space="preserve">It is usually two to four times the deductible, so $4,000 to $12,000 for many plans.</t>
        </is>
      </c>
      <c r="H8" s="11" t="inlineStr">
        <is>
          <t xml:space="preserve">Leave it blank. The app will use the deductible and say it is being careful.</t>
        </is>
      </c>
      <c r="I8" s="11" t="inlineStr">
        <is>
          <t xml:space="preserve">the worst plausible year’s medical line</t>
        </is>
      </c>
      <c r="J8" s="2" t="inlineStr">
        <is>
          <t xml:space="preserve">blank</t>
        </is>
      </c>
      <c r="M8" s="2" t="inlineStr">
        <is>
          <t xml:space="preserve">Your out-of-pocket maximum, a year</t>
        </is>
      </c>
      <c r="N8" s="7" t="inlineStr">
        <is>
          <t xml:space="preserve">oopMax</t>
        </is>
      </c>
    </row>
    <row r="9">
      <c r="A9" s="10" t="inlineStr">
        <is>
          <t xml:space="preserve">If you died, how much would a life insurance policy pay out?</t>
        </is>
      </c>
      <c r="C9" s="13"/>
      <c r="D9" s="2" t="inlineStr">
        <is>
          <t xml:space="preserve">dollars</t>
        </is>
      </c>
      <c r="E9" s="11" t="inlineStr">
        <is>
          <t xml:space="preserve">The face amount of any term life policy, including one through your job. Add them together.</t>
        </is>
      </c>
      <c r="F9" s="11" t="inlineStr">
        <is>
          <t xml:space="preserve">The policy document or the insurer's app, the face amount (what it pays) and the premium; job coverage is on the benefits page as a multiple of salary.</t>
        </is>
      </c>
      <c r="G9" s="11" t="inlineStr">
        <is>
          <t xml:space="preserve">Type the multiple of salary your job gives, usually one or two times.</t>
        </is>
      </c>
      <c r="H9" s="11" t="inlineStr">
        <is>
          <t xml:space="preserve">If you do not know of a policy, put 0. The app will tell you what the gap looks like.</t>
        </is>
      </c>
      <c r="I9" s="11" t="inlineStr">
        <is>
          <t xml:space="preserve">the life-cover gap against ten times income</t>
        </is>
      </c>
      <c r="J9" s="2" t="inlineStr">
        <is>
          <t xml:space="preserve">blank</t>
        </is>
      </c>
      <c r="M9" s="2" t="inlineStr">
        <is>
          <t xml:space="preserve">Term life insurance in force</t>
        </is>
      </c>
      <c r="N9" s="7" t="inlineStr">
        <is>
          <t xml:space="preserve">termLife</t>
        </is>
      </c>
    </row>
    <row r="10">
      <c r="A10" s="10" t="inlineStr">
        <is>
          <t xml:space="preserve">If you could not work, how much would you be paid each month?</t>
        </is>
      </c>
      <c r="C10" s="13"/>
      <c r="D10" s="2" t="inlineStr">
        <is>
          <t xml:space="preserve">dollars</t>
        </is>
      </c>
      <c r="E10" s="11" t="inlineStr">
        <is>
          <t xml:space="preserve">Disability cover, from work or bought on your own. It is the money that arrives while you cannot earn.</t>
        </is>
      </c>
      <c r="F10" s="11" t="inlineStr">
        <is>
          <t xml:space="preserve">The benefits page at work, long-term disability, which says what share of pay it replaces and after how many weeks.</t>
        </is>
      </c>
      <c r="G10" s="11" t="inlineStr">
        <is>
          <t xml:space="preserve">Type 60% of gross pay as the monthly benefit if you have job coverage.</t>
        </is>
      </c>
      <c r="H10" s="11" t="inlineStr">
        <is>
          <t xml:space="preserve">If you do not know of any, put 0. That is the honest answer for many people.</t>
        </is>
      </c>
      <c r="I10" s="11" t="inlineStr">
        <is>
          <t xml:space="preserve">the disability-cover gap against 60% of pay</t>
        </is>
      </c>
      <c r="J10" s="2" t="inlineStr">
        <is>
          <t xml:space="preserve">blank</t>
        </is>
      </c>
      <c r="M10" s="2" t="inlineStr">
        <is>
          <t xml:space="preserve">Disability benefit if you could not work, a month</t>
        </is>
      </c>
      <c r="N10" s="7" t="inlineStr">
        <is>
          <t xml:space="preserve">disabilityMonthly</t>
        </is>
      </c>
    </row>
    <row r="11">
      <c r="A11" s="10" t="inlineStr">
        <is>
          <t xml:space="preserve">Do you have an umbrella policy, and for how much?</t>
        </is>
      </c>
      <c r="C11" s="13"/>
      <c r="D11" s="2" t="inlineStr">
        <is>
          <t xml:space="preserve">dollars</t>
        </is>
      </c>
      <c r="E11" s="11" t="inlineStr">
        <is>
          <t xml:space="preserve">Extra liability cover that sits on top of your car and home insurance, usually sold in millions.</t>
        </is>
      </c>
      <c r="F11" s="11" t="inlineStr">
        <is>
          <t xml:space="preserve">The insurer app or the declarations page; the policy is listed beside home or auto.</t>
        </is>
      </c>
      <c r="G11" s="11" t="inlineStr">
        <is>
          <t xml:space="preserve">Type 0 if you have never bought one.</t>
        </is>
      </c>
      <c r="H11" s="11" t="inlineStr">
        <is>
          <t xml:space="preserve">Most people do not have one. Put 0 if nothing says otherwise.</t>
        </is>
      </c>
      <c r="I11" s="11" t="inlineStr">
        <is>
          <t xml:space="preserve">the liability gap</t>
        </is>
      </c>
      <c r="J11" s="2" t="inlineStr">
        <is>
          <t xml:space="preserve">blank</t>
        </is>
      </c>
      <c r="M11" s="2" t="inlineStr">
        <is>
          <t xml:space="preserve">An umbrella liability policy</t>
        </is>
      </c>
      <c r="N11" s="7" t="inlineStr">
        <is>
          <t xml:space="preserve">umbrella</t>
        </is>
      </c>
    </row>
    <row r="12">
      <c r="A12" s="10" t="inlineStr">
        <is>
          <t xml:space="preserve">Have you said who gets each account if you die?</t>
        </is>
      </c>
      <c r="C12" s="12"/>
      <c r="D12" s="2" t="inlineStr">
        <is>
          <t xml:space="preserve">yes or no</t>
        </is>
      </c>
      <c r="E12" s="11" t="inlineStr">
        <is>
          <t xml:space="preserve">A named beneficiary on a retirement account or life policy. It beats a will, so it matters more than it sounds.</t>
        </is>
      </c>
      <c r="F12" s="11" t="inlineStr">
        <is>
          <t xml:space="preserve">Log in to each account and look for beneficiary. It is usually under settings or profile.</t>
        </is>
      </c>
      <c r="G12" s="11" t="inlineStr">
        <is>
          <t xml:space="preserve">Answer yes only if you have actually seen a name on the account.</t>
        </is>
      </c>
      <c r="H12" s="11" t="inlineStr">
        <is>
          <t xml:space="preserve">If you have never looked, answer no. It is the most common answer and it is a quick job to fix.</t>
        </is>
      </c>
      <c r="I12" s="11" t="inlineStr">
        <is>
          <t xml:space="preserve">the estate checklist: who gets the accounts</t>
        </is>
      </c>
      <c r="J12" s="2" t="inlineStr">
        <is>
          <t xml:space="preserve">blank</t>
        </is>
      </c>
      <c r="M12" s="2" t="inlineStr">
        <is>
          <t xml:space="preserve">Beneficiaries named on your accounts</t>
        </is>
      </c>
      <c r="N12" s="7" t="inlineStr">
        <is>
          <t xml:space="preserve">beneficiariesSet</t>
        </is>
      </c>
    </row>
    <row r="13">
      <c r="A13" s="10" t="inlineStr">
        <is>
          <t xml:space="preserve">Do you have a will?</t>
        </is>
      </c>
      <c r="C13" s="12"/>
      <c r="D13" s="2" t="inlineStr">
        <is>
          <t xml:space="preserve">yes or no</t>
        </is>
      </c>
      <c r="E13" s="11" t="inlineStr">
        <is>
          <t xml:space="preserve">A signed document saying who handles your things and who gets them.</t>
        </is>
      </c>
      <c r="F13" s="11" t="inlineStr">
        <is>
          <t xml:space="preserve">Your files at home, or the lawyer or website that wrote it.</t>
        </is>
      </c>
      <c r="G13" s="11" t="inlineStr">
        <is>
          <t xml:space="preserve">If you cannot remember signing one, you almost certainly do not have one.</t>
        </is>
      </c>
      <c r="H13" s="11" t="inlineStr">
        <is>
          <t xml:space="preserve">Answer no. The app will show you what it would take, and nothing here is urgent.</t>
        </is>
      </c>
      <c r="I13" s="11" t="inlineStr">
        <is>
          <t xml:space="preserve">the estate checklist: whether there is a will</t>
        </is>
      </c>
      <c r="J13" s="2" t="inlineStr">
        <is>
          <t xml:space="preserve">blank</t>
        </is>
      </c>
      <c r="M13" s="2" t="inlineStr">
        <is>
          <t xml:space="preserve">A will</t>
        </is>
      </c>
      <c r="N13" s="7" t="inlineStr">
        <is>
          <t xml:space="preserve">willExists</t>
        </is>
      </c>
    </row>
    <row r="14">
      <c r="A14" s="10" t="inlineStr">
        <is>
          <t xml:space="preserve">Have you named someone to act for you if you cannot?</t>
        </is>
      </c>
      <c r="C14" s="12"/>
      <c r="D14" s="2" t="inlineStr">
        <is>
          <t xml:space="preserve">yes or no</t>
        </is>
      </c>
      <c r="E14" s="11" t="inlineStr">
        <is>
          <t xml:space="preserve">A power of attorney: the person who can pay your bills or make medical calls while you cannot.</t>
        </is>
      </c>
      <c r="F14" s="11" t="inlineStr">
        <is>
          <t xml:space="preserve">The same file as a will, if you had one written.</t>
        </is>
      </c>
      <c r="G14" s="11" t="inlineStr">
        <is>
          <t xml:space="preserve">It usually comes as a pair with a will.</t>
        </is>
      </c>
      <c r="H14" s="11" t="inlineStr">
        <is>
          <t xml:space="preserve">Answer no if nothing comes to mind.</t>
        </is>
      </c>
      <c r="I14" s="11" t="inlineStr">
        <is>
          <t xml:space="preserve">the estate checklist: who acts if you cannot</t>
        </is>
      </c>
      <c r="J14" s="2" t="inlineStr">
        <is>
          <t xml:space="preserve">blank</t>
        </is>
      </c>
      <c r="M14" s="2" t="inlineStr">
        <is>
          <t xml:space="preserve">A power of attorney: who acts if you cannot</t>
        </is>
      </c>
      <c r="N14" s="7" t="inlineStr">
        <is>
          <t xml:space="preserve">poaExists</t>
        </is>
      </c>
    </row>
    <row r="15">
      <c r="A15" s="10" t="inlineStr">
        <is>
          <t xml:space="preserve">What should the app call the other person in your household?</t>
        </is>
      </c>
      <c r="C15" s="12"/>
      <c r="D15" s="2" t="inlineStr">
        <is>
          <t xml:space="preserve">text</t>
        </is>
      </c>
      <c r="E15" s="11" t="inlineStr">
        <is>
          <t xml:space="preserve">A first name or a nickname, so the screens can say who a number belongs to.</t>
        </is>
      </c>
      <c r="F15" s="11" t="inlineStr">
        <is>
          <t xml:space="preserve">Nothing to look up.</t>
        </is>
      </c>
      <c r="G15" s="11" t="inlineStr">
        <is>
          <t xml:space="preserve">A first name is plenty.</t>
        </is>
      </c>
      <c r="H15" s="11" t="inlineStr">
        <is>
          <t xml:space="preserve">Leave it blank if you would rather not. The app will say “your partner” instead.</t>
        </is>
      </c>
      <c r="I15" s="11" t="inlineStr">
        <is>
          <t xml:space="preserve">the household of two: shared costs and both incomes</t>
        </is>
      </c>
      <c r="J15" s="2" t="inlineStr">
        <is>
          <t xml:space="preserve">not yours yet</t>
        </is>
      </c>
      <c r="M15" s="2" t="inlineStr">
        <is>
          <t xml:space="preserve">The other of you</t>
        </is>
      </c>
      <c r="N15" s="7" t="inlineStr">
        <is>
          <t xml:space="preserve">partnerName</t>
        </is>
      </c>
    </row>
    <row r="16">
      <c r="A16" s="10" t="inlineStr">
        <is>
          <t xml:space="preserve">What month and year was your partner born?</t>
        </is>
      </c>
      <c r="C16" s="15"/>
      <c r="D16" s="2" t="inlineStr">
        <is>
          <t xml:space="preserve">a date</t>
        </is>
      </c>
      <c r="E16" s="11" t="inlineStr">
        <is>
          <t xml:space="preserve">Their age, for the dates that depend on it, like when each of you can reach retirement money.</t>
        </is>
      </c>
      <c r="F16" s="11" t="inlineStr">
        <is>
          <t xml:space="preserve">Ask them, or their licence or passport.</t>
        </is>
      </c>
      <c r="G16" s="11" t="inlineStr">
        <is>
          <t xml:space="preserve">The year is what matters most.</t>
        </is>
      </c>
      <c r="H16" s="11" t="inlineStr">
        <is>
          <t xml:space="preserve">Leave it blank. Your own dates still work without it.</t>
        </is>
      </c>
      <c r="I16" s="11" t="inlineStr">
        <is>
          <t xml:space="preserve">the second person’s ages in every milestone</t>
        </is>
      </c>
      <c r="J16" s="2" t="inlineStr">
        <is>
          <t xml:space="preserve">not yours yet</t>
        </is>
      </c>
      <c r="M16" s="2" t="inlineStr">
        <is>
          <t xml:space="preserve">Their birth year</t>
        </is>
      </c>
      <c r="N16" s="7" t="inlineStr">
        <is>
          <t xml:space="preserve">partnerDob</t>
        </is>
      </c>
    </row>
  </sheetData>
  <autoFilter ref="A1:O16"/>
  <dataValidations count="5">
    <dataValidation type="list" allowBlank="1" showInputMessage="1" showErrorMessage="1" sqref="C4:C4">
      <formula1>"Employed,Self-employed,Both,Unemployed,On disability,Not working,Retired,Student"</formula1>
    </dataValidation>
    <dataValidation type="list" allowBlank="1" showInputMessage="1" showErrorMessage="1" sqref="C6:C6">
      <formula1>"Through work,Marketplace,COBRA,Medicaid,A parent’s plan,None"</formula1>
    </dataValidation>
    <dataValidation type="list" allowBlank="1" showInputMessage="1" showErrorMessage="1" sqref="C12:C12">
      <formula1>"yes,no"</formula1>
    </dataValidation>
    <dataValidation type="list" allowBlank="1" showInputMessage="1" showErrorMessage="1" sqref="C13:C13">
      <formula1>"yes,no"</formula1>
    </dataValidation>
    <dataValidation type="list" allowBlank="1" showInputMessage="1" showErrorMessage="1" sqref="C14:C14">
      <formula1>"yes,no"</formula1>
    </dataValidation>
  </dataValidations>
</worksheet>
</file>

<file path=xl/worksheets/sheet3.xml><?xml version="1.0" encoding="utf-8"?>
<worksheet xmlns="http://schemas.openxmlformats.org/spreadsheetml/2006/main" xmlns:r="http://schemas.openxmlformats.org/officeDocument/2006/relationships">
  <sheetPr>
    <outlinePr summaryBelow="1" summaryRight="1"/>
  </sheetPr>
  <dimension ref="A1:O34"/>
  <sheetViews>
    <sheetView workbookViewId="0">
      <pane xSplit="1" ySplit="1" topLeftCell="B2" activePane="bottomRight" state="frozen"/>
      <selection pane="bottomRight" activeCell="B2" sqref="B2"/>
    </sheetView>
  </sheetViews>
  <sheetFormatPr defaultRowHeight="15"/>
  <cols>
    <col min="1" max="1" width="54" customWidth="1"/>
    <col min="2" max="2" width="18" customWidth="1"/>
    <col min="3" max="3" width="16" customWidth="1"/>
    <col min="4" max="4" width="13" customWidth="1"/>
    <col min="5" max="5" width="46" customWidth="1"/>
    <col min="6" max="6" width="46" customWidth="1"/>
    <col min="7" max="7" width="36" customWidth="1"/>
    <col min="8" max="8" width="40" customWidth="1"/>
    <col min="9" max="9" width="34" customWidth="1"/>
    <col min="10" max="10" width="14" customWidth="1"/>
    <col min="11" max="11" width="13" customWidth="1"/>
    <col min="12" max="12" width="13" customWidth="1"/>
    <col min="13" max="13" width="34" customWidth="1"/>
    <col min="14" max="14" width="20" customWidth="1"/>
    <col min="15" max="15" width="14" customWidth="1"/>
  </cols>
  <sheetData>
    <row r="1" ht="26" customHeight="1">
      <c r="A1" s="1" t="inlineStr">
        <is>
          <t xml:space="preserve">In plain words</t>
        </is>
      </c>
      <c r="B1" s="1" t="inlineStr">
        <is>
          <t xml:space="preserve">Which one</t>
        </is>
      </c>
      <c r="C1" s="1" t="inlineStr">
        <is>
          <t xml:space="preserve">Your number</t>
        </is>
      </c>
      <c r="D1" s="1" t="inlineStr">
        <is>
          <t xml:space="preserve">In</t>
        </is>
      </c>
      <c r="E1" s="1" t="inlineStr">
        <is>
          <t xml:space="preserve">What it means</t>
        </is>
      </c>
      <c r="F1" s="1" t="inlineStr">
        <is>
          <t xml:space="preserve">Where to find it</t>
        </is>
      </c>
      <c r="G1" s="1" t="inlineStr">
        <is>
          <t xml:space="preserve">Close enough</t>
        </is>
      </c>
      <c r="H1" s="1" t="inlineStr">
        <is>
          <t xml:space="preserve">If you are not sure</t>
        </is>
      </c>
      <c r="I1" s="1" t="inlineStr">
        <is>
          <t xml:space="preserve">What it unlocks</t>
        </is>
      </c>
      <c r="J1" s="1" t="inlineStr">
        <is>
          <t xml:space="preserve">How sure</t>
        </is>
      </c>
      <c r="K1" s="1" t="inlineStr">
        <is>
          <t xml:space="preserve">Last checked</t>
        </is>
      </c>
      <c r="L1" s="1" t="inlineStr">
        <is>
          <t xml:space="preserve">Came from</t>
        </is>
      </c>
      <c r="M1" s="1" t="inlineStr">
        <is>
          <t xml:space="preserve">What it is</t>
        </is>
      </c>
      <c r="N1" s="1" t="inlineStr">
        <is>
          <t xml:space="preserve">row id</t>
        </is>
      </c>
      <c r="O1" s="1" t="inlineStr">
        <is>
          <t xml:space="preserve">item id</t>
        </is>
      </c>
    </row>
    <row r="2">
      <c r="A2" s="10" t="inlineStr">
        <is>
          <t xml:space="preserve">How much are you paid in a year, before anything is taken out?</t>
        </is>
      </c>
      <c r="C2" s="13"/>
      <c r="D2" s="2" t="inlineStr">
        <is>
          <t xml:space="preserve">dollars</t>
        </is>
      </c>
      <c r="E2" s="11" t="inlineStr">
        <is>
          <t xml:space="preserve">The whole number your employer pays you, before tax, insurance or retirement money comes out.</t>
        </is>
      </c>
      <c r="F2" s="11" t="inlineStr">
        <is>
          <t xml:space="preserve">Your offer letter or latest pay stub, the yearly gross; for hourly pay, the rate times the hours you actually work times 52.</t>
        </is>
      </c>
      <c r="G2" s="11" t="inlineStr">
        <is>
          <t xml:space="preserve">What you think you make before tax, to the nearest thousand.</t>
        </is>
      </c>
      <c r="H2" s="11" t="inlineStr">
        <is>
          <t xml:space="preserve">Take one payslip, find the gross for that period, and multiply: weekly by 52, every two weeks by 26, twice a month by 24, monthly by 12.</t>
        </is>
      </c>
      <c r="I2" s="11" t="inlineStr">
        <is>
          <t xml:space="preserve">take-home pay, the savings rate, the true hourly wage</t>
        </is>
      </c>
      <c r="J2" s="2" t="inlineStr">
        <is>
          <t xml:space="preserve">blank</t>
        </is>
      </c>
      <c r="M2" s="2" t="inlineStr">
        <is>
          <t xml:space="preserve">Gross pay, a year</t>
        </is>
      </c>
      <c r="N2" s="7" t="inlineStr">
        <is>
          <t xml:space="preserve">grossAnnualIncome</t>
        </is>
      </c>
    </row>
    <row r="3">
      <c r="A3" s="10" t="inlineStr">
        <is>
          <t xml:space="preserve">How much are you paid in a year, before anything is taken out?</t>
        </is>
      </c>
      <c r="C3" s="13"/>
      <c r="D3" s="2" t="inlineStr">
        <is>
          <t xml:space="preserve">dollars</t>
        </is>
      </c>
      <c r="E3" s="11" t="inlineStr">
        <is>
          <t xml:space="preserve">The whole number your employer pays you, before tax, insurance or retirement money comes out.</t>
        </is>
      </c>
      <c r="F3" s="11" t="inlineStr">
        <is>
          <t xml:space="preserve">Your offer letter or latest pay stub, the yearly gross; for hourly pay, the rate times the hours you actually work times 52.</t>
        </is>
      </c>
      <c r="G3" s="11" t="inlineStr">
        <is>
          <t xml:space="preserve">What you think you make before tax, to the nearest thousand.</t>
        </is>
      </c>
      <c r="H3" s="11" t="inlineStr">
        <is>
          <t xml:space="preserve">Take one payslip, find the gross for that period, and multiply: weekly by 52, every two weeks by 26, twice a month by 24, monthly by 12.</t>
        </is>
      </c>
      <c r="I3" s="11" t="inlineStr">
        <is>
          <t xml:space="preserve">take-home pay, the savings rate, the true hourly wage</t>
        </is>
      </c>
      <c r="M3" s="2" t="inlineStr">
        <is>
          <t xml:space="preserve">Gross pay, a year</t>
        </is>
      </c>
      <c r="N3" s="7" t="inlineStr">
        <is>
          <t xml:space="preserve">grossAnnualIncome</t>
        </is>
      </c>
    </row>
    <row r="4">
      <c r="A4" s="10" t="inlineStr">
        <is>
          <t xml:space="preserve">How much are you paid in a year, before anything is taken out?</t>
        </is>
      </c>
      <c r="C4" s="13"/>
      <c r="D4" s="2" t="inlineStr">
        <is>
          <t xml:space="preserve">dollars</t>
        </is>
      </c>
      <c r="E4" s="11" t="inlineStr">
        <is>
          <t xml:space="preserve">The whole number your employer pays you, before tax, insurance or retirement money comes out.</t>
        </is>
      </c>
      <c r="F4" s="11" t="inlineStr">
        <is>
          <t xml:space="preserve">Your offer letter or latest pay stub, the yearly gross; for hourly pay, the rate times the hours you actually work times 52.</t>
        </is>
      </c>
      <c r="G4" s="11" t="inlineStr">
        <is>
          <t xml:space="preserve">What you think you make before tax, to the nearest thousand.</t>
        </is>
      </c>
      <c r="H4" s="11" t="inlineStr">
        <is>
          <t xml:space="preserve">Take one payslip, find the gross for that period, and multiply: weekly by 52, every two weeks by 26, twice a month by 24, monthly by 12.</t>
        </is>
      </c>
      <c r="I4" s="11" t="inlineStr">
        <is>
          <t xml:space="preserve">take-home pay, the savings rate, the true hourly wage</t>
        </is>
      </c>
      <c r="M4" s="2" t="inlineStr">
        <is>
          <t xml:space="preserve">Gross pay, a year</t>
        </is>
      </c>
      <c r="N4" s="7" t="inlineStr">
        <is>
          <t xml:space="preserve">grossAnnualIncome</t>
        </is>
      </c>
    </row>
    <row r="5">
      <c r="A5" s="10" t="inlineStr">
        <is>
          <t xml:space="preserve">How much are you paid in a year, before anything is taken out?</t>
        </is>
      </c>
      <c r="C5" s="13"/>
      <c r="D5" s="2" t="inlineStr">
        <is>
          <t xml:space="preserve">dollars</t>
        </is>
      </c>
      <c r="E5" s="11" t="inlineStr">
        <is>
          <t xml:space="preserve">The whole number your employer pays you, before tax, insurance or retirement money comes out.</t>
        </is>
      </c>
      <c r="F5" s="11" t="inlineStr">
        <is>
          <t xml:space="preserve">Your offer letter or latest pay stub, the yearly gross; for hourly pay, the rate times the hours you actually work times 52.</t>
        </is>
      </c>
      <c r="G5" s="11" t="inlineStr">
        <is>
          <t xml:space="preserve">What you think you make before tax, to the nearest thousand.</t>
        </is>
      </c>
      <c r="H5" s="11" t="inlineStr">
        <is>
          <t xml:space="preserve">Take one payslip, find the gross for that period, and multiply: weekly by 52, every two weeks by 26, twice a month by 24, monthly by 12.</t>
        </is>
      </c>
      <c r="I5" s="11" t="inlineStr">
        <is>
          <t xml:space="preserve">take-home pay, the savings rate, the true hourly wage</t>
        </is>
      </c>
      <c r="M5" s="2" t="inlineStr">
        <is>
          <t xml:space="preserve">Gross pay, a year</t>
        </is>
      </c>
      <c r="N5" s="7" t="inlineStr">
        <is>
          <t xml:space="preserve">grossAnnualIncome</t>
        </is>
      </c>
    </row>
    <row r="6">
      <c r="A6" s="10" t="inlineStr">
        <is>
          <t xml:space="preserve">How much are you paid in a year, before anything is taken out?</t>
        </is>
      </c>
      <c r="C6" s="13"/>
      <c r="D6" s="2" t="inlineStr">
        <is>
          <t xml:space="preserve">dollars</t>
        </is>
      </c>
      <c r="E6" s="11" t="inlineStr">
        <is>
          <t xml:space="preserve">The whole number your employer pays you, before tax, insurance or retirement money comes out.</t>
        </is>
      </c>
      <c r="F6" s="11" t="inlineStr">
        <is>
          <t xml:space="preserve">Your offer letter or latest pay stub, the yearly gross; for hourly pay, the rate times the hours you actually work times 52.</t>
        </is>
      </c>
      <c r="G6" s="11" t="inlineStr">
        <is>
          <t xml:space="preserve">What you think you make before tax, to the nearest thousand.</t>
        </is>
      </c>
      <c r="H6" s="11" t="inlineStr">
        <is>
          <t xml:space="preserve">Take one payslip, find the gross for that period, and multiply: weekly by 52, every two weeks by 26, twice a month by 24, monthly by 12.</t>
        </is>
      </c>
      <c r="I6" s="11" t="inlineStr">
        <is>
          <t xml:space="preserve">take-home pay, the savings rate, the true hourly wage</t>
        </is>
      </c>
      <c r="M6" s="2" t="inlineStr">
        <is>
          <t xml:space="preserve">Gross pay, a year</t>
        </is>
      </c>
      <c r="N6" s="7" t="inlineStr">
        <is>
          <t xml:space="preserve">grossAnnualIncome</t>
        </is>
      </c>
    </row>
    <row r="7">
      <c r="A7" s="10" t="inlineStr">
        <is>
          <t xml:space="preserve">How much money actually lands in your bank each month?</t>
        </is>
      </c>
      <c r="C7" s="13"/>
      <c r="D7" s="2" t="inlineStr">
        <is>
          <t xml:space="preserve">dollars</t>
        </is>
      </c>
      <c r="E7" s="11" t="inlineStr">
        <is>
          <t xml:space="preserve">What is left after tax and everything else that comes out of your pay. The number you can spend.</t>
        </is>
      </c>
      <c r="F7" s="11" t="inlineStr">
        <is>
          <t xml:space="preserve">The net figure on a pay stub, times the paychecks in a month; or what actually lands in your account each month.</t>
        </is>
      </c>
      <c r="G7" s="11" t="inlineStr">
        <is>
          <t xml:space="preserve">What lands in your account in a month, to the nearest hundred.</t>
        </is>
      </c>
      <c r="H7" s="11" t="inlineStr">
        <is>
          <t xml:space="preserve">Look at one month of your bank statement and add up the payments from your employer.</t>
        </is>
      </c>
      <c r="I7" s="11" t="inlineStr">
        <is>
          <t xml:space="preserve">the savings rate from take-home, the FI date range and the coast date, before any tax figure is known</t>
        </is>
      </c>
      <c r="J7" s="2" t="inlineStr">
        <is>
          <t xml:space="preserve">blank</t>
        </is>
      </c>
      <c r="M7" s="2" t="inlineStr">
        <is>
          <t xml:space="preserve">Take-home pay, a month</t>
        </is>
      </c>
      <c r="N7" s="7" t="inlineStr">
        <is>
          <t xml:space="preserve">takeHomeMonthly</t>
        </is>
      </c>
    </row>
    <row r="8">
      <c r="A8" s="10" t="inlineStr">
        <is>
          <t xml:space="preserve">What kind of pay is this?</t>
        </is>
      </c>
      <c r="C8" s="12"/>
      <c r="D8" s="2" t="inlineStr">
        <is>
          <t xml:space="preserve">a choice</t>
        </is>
      </c>
      <c r="E8" s="11" t="inlineStr">
        <is>
          <t xml:space="preserve">A salary that is the same each time, hourly pay, work for yourself, or something else.</t>
        </is>
      </c>
      <c r="F8" s="11" t="inlineStr">
        <is>
          <t xml:space="preserve">Your payslip says salary or hourly. If nobody takes tax out for you, it is work for yourself.</t>
        </is>
      </c>
      <c r="G8" s="11" t="inlineStr">
        <is>
          <t xml:space="preserve">Pick the one that brings in the most.</t>
        </is>
      </c>
      <c r="H8" s="11" t="inlineStr">
        <is>
          <t xml:space="preserve">If a company takes tax out before paying you, it is a job. If not, it is work for yourself.</t>
        </is>
      </c>
      <c r="I8" s="11" t="inlineStr">
        <is>
          <t xml:space="preserve">how each source is taxed: W-2 withholding, self-employment tax, or none</t>
        </is>
      </c>
      <c r="J8" s="2" t="inlineStr">
        <is>
          <t xml:space="preserve">blank</t>
        </is>
      </c>
      <c r="M8" s="2" t="inlineStr">
        <is>
          <t xml:space="preserve">What kind of pay this is</t>
        </is>
      </c>
      <c r="N8" s="7" t="inlineStr">
        <is>
          <t xml:space="preserve">incomeType</t>
        </is>
      </c>
    </row>
    <row r="9">
      <c r="A9" s="10" t="inlineStr">
        <is>
          <t xml:space="preserve">What kind of pay is this?</t>
        </is>
      </c>
      <c r="C9" s="12"/>
      <c r="D9" s="2" t="inlineStr">
        <is>
          <t xml:space="preserve">a choice</t>
        </is>
      </c>
      <c r="E9" s="11" t="inlineStr">
        <is>
          <t xml:space="preserve">A salary that is the same each time, hourly pay, work for yourself, or something else.</t>
        </is>
      </c>
      <c r="F9" s="11" t="inlineStr">
        <is>
          <t xml:space="preserve">Your payslip says salary or hourly. If nobody takes tax out for you, it is work for yourself.</t>
        </is>
      </c>
      <c r="G9" s="11" t="inlineStr">
        <is>
          <t xml:space="preserve">Pick the one that brings in the most.</t>
        </is>
      </c>
      <c r="H9" s="11" t="inlineStr">
        <is>
          <t xml:space="preserve">If a company takes tax out before paying you, it is a job. If not, it is work for yourself.</t>
        </is>
      </c>
      <c r="I9" s="11" t="inlineStr">
        <is>
          <t xml:space="preserve">how each source is taxed: W-2 withholding, self-employment tax, or none</t>
        </is>
      </c>
      <c r="M9" s="2" t="inlineStr">
        <is>
          <t xml:space="preserve">What kind of pay this is</t>
        </is>
      </c>
      <c r="N9" s="7" t="inlineStr">
        <is>
          <t xml:space="preserve">incomeType</t>
        </is>
      </c>
    </row>
    <row r="10">
      <c r="A10" s="10" t="inlineStr">
        <is>
          <t xml:space="preserve">What kind of pay is this?</t>
        </is>
      </c>
      <c r="C10" s="12"/>
      <c r="D10" s="2" t="inlineStr">
        <is>
          <t xml:space="preserve">a choice</t>
        </is>
      </c>
      <c r="E10" s="11" t="inlineStr">
        <is>
          <t xml:space="preserve">A salary that is the same each time, hourly pay, work for yourself, or something else.</t>
        </is>
      </c>
      <c r="F10" s="11" t="inlineStr">
        <is>
          <t xml:space="preserve">Your payslip says salary or hourly. If nobody takes tax out for you, it is work for yourself.</t>
        </is>
      </c>
      <c r="G10" s="11" t="inlineStr">
        <is>
          <t xml:space="preserve">Pick the one that brings in the most.</t>
        </is>
      </c>
      <c r="H10" s="11" t="inlineStr">
        <is>
          <t xml:space="preserve">If a company takes tax out before paying you, it is a job. If not, it is work for yourself.</t>
        </is>
      </c>
      <c r="I10" s="11" t="inlineStr">
        <is>
          <t xml:space="preserve">how each source is taxed: W-2 withholding, self-employment tax, or none</t>
        </is>
      </c>
      <c r="M10" s="2" t="inlineStr">
        <is>
          <t xml:space="preserve">What kind of pay this is</t>
        </is>
      </c>
      <c r="N10" s="7" t="inlineStr">
        <is>
          <t xml:space="preserve">incomeType</t>
        </is>
      </c>
    </row>
    <row r="11">
      <c r="A11" s="10" t="inlineStr">
        <is>
          <t xml:space="preserve">What kind of pay is this?</t>
        </is>
      </c>
      <c r="C11" s="12"/>
      <c r="D11" s="2" t="inlineStr">
        <is>
          <t xml:space="preserve">a choice</t>
        </is>
      </c>
      <c r="E11" s="11" t="inlineStr">
        <is>
          <t xml:space="preserve">A salary that is the same each time, hourly pay, work for yourself, or something else.</t>
        </is>
      </c>
      <c r="F11" s="11" t="inlineStr">
        <is>
          <t xml:space="preserve">Your payslip says salary or hourly. If nobody takes tax out for you, it is work for yourself.</t>
        </is>
      </c>
      <c r="G11" s="11" t="inlineStr">
        <is>
          <t xml:space="preserve">Pick the one that brings in the most.</t>
        </is>
      </c>
      <c r="H11" s="11" t="inlineStr">
        <is>
          <t xml:space="preserve">If a company takes tax out before paying you, it is a job. If not, it is work for yourself.</t>
        </is>
      </c>
      <c r="I11" s="11" t="inlineStr">
        <is>
          <t xml:space="preserve">how each source is taxed: W-2 withholding, self-employment tax, or none</t>
        </is>
      </c>
      <c r="M11" s="2" t="inlineStr">
        <is>
          <t xml:space="preserve">What kind of pay this is</t>
        </is>
      </c>
      <c r="N11" s="7" t="inlineStr">
        <is>
          <t xml:space="preserve">incomeType</t>
        </is>
      </c>
    </row>
    <row r="12">
      <c r="A12" s="10" t="inlineStr">
        <is>
          <t xml:space="preserve">What kind of pay is this?</t>
        </is>
      </c>
      <c r="C12" s="12"/>
      <c r="D12" s="2" t="inlineStr">
        <is>
          <t xml:space="preserve">a choice</t>
        </is>
      </c>
      <c r="E12" s="11" t="inlineStr">
        <is>
          <t xml:space="preserve">A salary that is the same each time, hourly pay, work for yourself, or something else.</t>
        </is>
      </c>
      <c r="F12" s="11" t="inlineStr">
        <is>
          <t xml:space="preserve">Your payslip says salary or hourly. If nobody takes tax out for you, it is work for yourself.</t>
        </is>
      </c>
      <c r="G12" s="11" t="inlineStr">
        <is>
          <t xml:space="preserve">Pick the one that brings in the most.</t>
        </is>
      </c>
      <c r="H12" s="11" t="inlineStr">
        <is>
          <t xml:space="preserve">If a company takes tax out before paying you, it is a job. If not, it is work for yourself.</t>
        </is>
      </c>
      <c r="I12" s="11" t="inlineStr">
        <is>
          <t xml:space="preserve">how each source is taxed: W-2 withholding, self-employment tax, or none</t>
        </is>
      </c>
      <c r="M12" s="2" t="inlineStr">
        <is>
          <t xml:space="preserve">What kind of pay this is</t>
        </is>
      </c>
      <c r="N12" s="7" t="inlineStr">
        <is>
          <t xml:space="preserve">incomeType</t>
        </is>
      </c>
    </row>
    <row r="13">
      <c r="A13" s="10" t="inlineStr">
        <is>
          <t xml:space="preserve">Capturing the full match</t>
        </is>
      </c>
      <c r="C13" s="17">
        <f>IF(OR(contributionPercent="",employerMatch=""),"",IF(contributionPercent&gt;=employerMatch,"yes","no"))</f>
      </c>
      <c r="D13" s="2" t="inlineStr">
        <is>
          <t xml:space="preserve">yes or no</t>
        </is>
      </c>
      <c r="E13" s="11" t="inlineStr">
        <is>
          <t xml:space="preserve">The sheet works this out: yes when the workplace contribution is at least the match cap.</t>
        </is>
      </c>
      <c r="I13" s="11" t="inlineStr">
        <is>
          <t xml:space="preserve">whether the match is actually being collected</t>
        </is>
      </c>
      <c r="J13" s="2" t="inlineStr">
        <is>
          <t xml:space="preserve">worked out</t>
        </is>
      </c>
      <c r="M13" s="2" t="inlineStr">
        <is>
          <t xml:space="preserve">Capturing the full match</t>
        </is>
      </c>
      <c r="N13" s="7" t="inlineStr">
        <is>
          <t xml:space="preserve">capturingFullMatch</t>
        </is>
      </c>
    </row>
    <row r="14">
      <c r="A14" s="10" t="inlineStr">
        <is>
          <t xml:space="preserve">Is your pay different from month to month?</t>
        </is>
      </c>
      <c r="C14" s="12"/>
      <c r="D14" s="2" t="inlineStr">
        <is>
          <t xml:space="preserve">yes or no</t>
        </is>
      </c>
      <c r="E14" s="11" t="inlineStr">
        <is>
          <t xml:space="preserve">Tips, commission, overtime, or work for yourself all make pay swing.</t>
        </is>
      </c>
      <c r="F14" s="11" t="inlineStr">
        <is>
          <t xml:space="preserve">Look at three months of pay landing in your bank. Are they the same number?</t>
        </is>
      </c>
      <c r="G14" s="11" t="inlineStr">
        <is>
          <t xml:space="preserve">If the difference between months is more than about a tenth, answer yes.</t>
        </is>
      </c>
      <c r="H14" s="11" t="inlineStr">
        <is>
          <t xml:space="preserve">Answer yes. The app then asks for a low month and a high month and plans for the low one.</t>
        </is>
      </c>
      <c r="I14" s="11" t="inlineStr">
        <is>
          <t xml:space="preserve">how big a cushion to aim for: steady pay needs three months, pay that swings needs six</t>
        </is>
      </c>
      <c r="J14" s="2" t="inlineStr">
        <is>
          <t xml:space="preserve">blank</t>
        </is>
      </c>
      <c r="M14" s="2" t="inlineStr">
        <is>
          <t xml:space="preserve">Pay swings month to month</t>
        </is>
      </c>
      <c r="N14" s="7" t="inlineStr">
        <is>
          <t xml:space="preserve">payVaries</t>
        </is>
      </c>
    </row>
    <row r="15">
      <c r="A15" s="10" t="inlineStr">
        <is>
          <t xml:space="preserve">If this job ended tomorrow, would this money keep coming?</t>
        </is>
      </c>
      <c r="C15" s="12"/>
      <c r="D15" s="2" t="inlineStr">
        <is>
          <t xml:space="preserve">yes or no</t>
        </is>
      </c>
      <c r="E15" s="11" t="inlineStr">
        <is>
          <t xml:space="preserve">Rent from a property, a pension already being paid, or a partner's pay would keep coming. A salary would not.</t>
        </is>
      </c>
      <c r="F15" s="11" t="inlineStr">
        <is>
          <t xml:space="preserve">Nothing to look up. Ask yourself whether the money depends on you turning up.</t>
        </is>
      </c>
      <c r="G15" s="11" t="inlineStr">
        <is>
          <t xml:space="preserve">For most pay from a job, the answer is no.</t>
        </is>
      </c>
      <c r="H15" s="11" t="inlineStr">
        <is>
          <t xml:space="preserve">Answer no. The app then plans for the harder case.</t>
        </is>
      </c>
      <c r="I15" s="11" t="inlineStr">
        <is>
          <t xml:space="preserve">the worst plausible year: what keeps paying if the job goes</t>
        </is>
      </c>
      <c r="J15" s="2" t="inlineStr">
        <is>
          <t xml:space="preserve">blank</t>
        </is>
      </c>
      <c r="M15" s="2" t="inlineStr">
        <is>
          <t xml:space="preserve">Would this pay keep coming if the job ended?</t>
        </is>
      </c>
      <c r="N15" s="7" t="inlineStr">
        <is>
          <t xml:space="preserve">paySurvives</t>
        </is>
      </c>
    </row>
    <row r="16">
      <c r="A16" s="10" t="inlineStr">
        <is>
          <t xml:space="preserve">If this job ended tomorrow, would this money keep coming?</t>
        </is>
      </c>
      <c r="C16" s="12"/>
      <c r="D16" s="2" t="inlineStr">
        <is>
          <t xml:space="preserve">yes or no</t>
        </is>
      </c>
      <c r="E16" s="11" t="inlineStr">
        <is>
          <t xml:space="preserve">Rent from a property, a pension already being paid, or a partner's pay would keep coming. A salary would not.</t>
        </is>
      </c>
      <c r="F16" s="11" t="inlineStr">
        <is>
          <t xml:space="preserve">Nothing to look up. Ask yourself whether the money depends on you turning up.</t>
        </is>
      </c>
      <c r="G16" s="11" t="inlineStr">
        <is>
          <t xml:space="preserve">For most pay from a job, the answer is no.</t>
        </is>
      </c>
      <c r="H16" s="11" t="inlineStr">
        <is>
          <t xml:space="preserve">Answer no. The app then plans for the harder case.</t>
        </is>
      </c>
      <c r="I16" s="11" t="inlineStr">
        <is>
          <t xml:space="preserve">the worst plausible year: what keeps paying if the job goes</t>
        </is>
      </c>
      <c r="M16" s="2" t="inlineStr">
        <is>
          <t xml:space="preserve">Would this pay keep coming if the job ended?</t>
        </is>
      </c>
      <c r="N16" s="7" t="inlineStr">
        <is>
          <t xml:space="preserve">paySurvives</t>
        </is>
      </c>
    </row>
    <row r="17">
      <c r="A17" s="10" t="inlineStr">
        <is>
          <t xml:space="preserve">If this job ended tomorrow, would this money keep coming?</t>
        </is>
      </c>
      <c r="C17" s="12"/>
      <c r="D17" s="2" t="inlineStr">
        <is>
          <t xml:space="preserve">yes or no</t>
        </is>
      </c>
      <c r="E17" s="11" t="inlineStr">
        <is>
          <t xml:space="preserve">Rent from a property, a pension already being paid, or a partner's pay would keep coming. A salary would not.</t>
        </is>
      </c>
      <c r="F17" s="11" t="inlineStr">
        <is>
          <t xml:space="preserve">Nothing to look up. Ask yourself whether the money depends on you turning up.</t>
        </is>
      </c>
      <c r="G17" s="11" t="inlineStr">
        <is>
          <t xml:space="preserve">For most pay from a job, the answer is no.</t>
        </is>
      </c>
      <c r="H17" s="11" t="inlineStr">
        <is>
          <t xml:space="preserve">Answer no. The app then plans for the harder case.</t>
        </is>
      </c>
      <c r="I17" s="11" t="inlineStr">
        <is>
          <t xml:space="preserve">the worst plausible year: what keeps paying if the job goes</t>
        </is>
      </c>
      <c r="M17" s="2" t="inlineStr">
        <is>
          <t xml:space="preserve">Would this pay keep coming if the job ended?</t>
        </is>
      </c>
      <c r="N17" s="7" t="inlineStr">
        <is>
          <t xml:space="preserve">paySurvives</t>
        </is>
      </c>
    </row>
    <row r="18">
      <c r="A18" s="10" t="inlineStr">
        <is>
          <t xml:space="preserve">If this job ended tomorrow, would this money keep coming?</t>
        </is>
      </c>
      <c r="C18" s="12"/>
      <c r="D18" s="2" t="inlineStr">
        <is>
          <t xml:space="preserve">yes or no</t>
        </is>
      </c>
      <c r="E18" s="11" t="inlineStr">
        <is>
          <t xml:space="preserve">Rent from a property, a pension already being paid, or a partner's pay would keep coming. A salary would not.</t>
        </is>
      </c>
      <c r="F18" s="11" t="inlineStr">
        <is>
          <t xml:space="preserve">Nothing to look up. Ask yourself whether the money depends on you turning up.</t>
        </is>
      </c>
      <c r="G18" s="11" t="inlineStr">
        <is>
          <t xml:space="preserve">For most pay from a job, the answer is no.</t>
        </is>
      </c>
      <c r="H18" s="11" t="inlineStr">
        <is>
          <t xml:space="preserve">Answer no. The app then plans for the harder case.</t>
        </is>
      </c>
      <c r="I18" s="11" t="inlineStr">
        <is>
          <t xml:space="preserve">the worst plausible year: what keeps paying if the job goes</t>
        </is>
      </c>
      <c r="M18" s="2" t="inlineStr">
        <is>
          <t xml:space="preserve">Would this pay keep coming if the job ended?</t>
        </is>
      </c>
      <c r="N18" s="7" t="inlineStr">
        <is>
          <t xml:space="preserve">paySurvives</t>
        </is>
      </c>
    </row>
    <row r="19">
      <c r="A19" s="10" t="inlineStr">
        <is>
          <t xml:space="preserve">If this job ended tomorrow, would this money keep coming?</t>
        </is>
      </c>
      <c r="C19" s="12"/>
      <c r="D19" s="2" t="inlineStr">
        <is>
          <t xml:space="preserve">yes or no</t>
        </is>
      </c>
      <c r="E19" s="11" t="inlineStr">
        <is>
          <t xml:space="preserve">Rent from a property, a pension already being paid, or a partner's pay would keep coming. A salary would not.</t>
        </is>
      </c>
      <c r="F19" s="11" t="inlineStr">
        <is>
          <t xml:space="preserve">Nothing to look up. Ask yourself whether the money depends on you turning up.</t>
        </is>
      </c>
      <c r="G19" s="11" t="inlineStr">
        <is>
          <t xml:space="preserve">For most pay from a job, the answer is no.</t>
        </is>
      </c>
      <c r="H19" s="11" t="inlineStr">
        <is>
          <t xml:space="preserve">Answer no. The app then plans for the harder case.</t>
        </is>
      </c>
      <c r="I19" s="11" t="inlineStr">
        <is>
          <t xml:space="preserve">the worst plausible year: what keeps paying if the job goes</t>
        </is>
      </c>
      <c r="M19" s="2" t="inlineStr">
        <is>
          <t xml:space="preserve">Would this pay keep coming if the job ended?</t>
        </is>
      </c>
      <c r="N19" s="7" t="inlineStr">
        <is>
          <t xml:space="preserve">paySurvives</t>
        </is>
      </c>
    </row>
    <row r="20">
      <c r="A20" s="10" t="inlineStr">
        <is>
          <t xml:space="preserve">How often are you paid?</t>
        </is>
      </c>
      <c r="C20" s="12"/>
      <c r="D20" s="2" t="inlineStr">
        <is>
          <t xml:space="preserve">a choice</t>
        </is>
      </c>
      <c r="E20" s="11" t="inlineStr">
        <is>
          <t xml:space="preserve">Weekly, every two weeks, twice a month, or monthly. It sets when the app expects money to land.</t>
        </is>
      </c>
      <c r="F20" s="11" t="inlineStr">
        <is>
          <t xml:space="preserve">Your payslips: look at the dates on the last two.</t>
        </is>
      </c>
      <c r="G20" s="11" t="inlineStr">
        <is>
          <t xml:space="preserve">Every two weeks is the most common in the United States.</t>
        </is>
      </c>
      <c r="H20" s="11" t="inlineStr">
        <is>
          <t xml:space="preserve">Look at your bank statement and see how many times your employer paid you last month.</t>
        </is>
      </c>
      <c r="I20" s="11" t="inlineStr">
        <is>
          <t xml:space="preserve">the calendar on your real pay rhythm, two- and three-paycheck months labelled</t>
        </is>
      </c>
      <c r="J20" s="2" t="inlineStr">
        <is>
          <t xml:space="preserve">blank</t>
        </is>
      </c>
      <c r="M20" s="2" t="inlineStr">
        <is>
          <t xml:space="preserve">How often you are paid</t>
        </is>
      </c>
      <c r="N20" s="7" t="inlineStr">
        <is>
          <t xml:space="preserve">payCadence</t>
        </is>
      </c>
    </row>
    <row r="21">
      <c r="A21" s="10" t="inlineStr">
        <is>
          <t xml:space="preserve">When is your next payday?</t>
        </is>
      </c>
      <c r="C21" s="15"/>
      <c r="D21" s="2" t="inlineStr">
        <is>
          <t xml:space="preserve">a date</t>
        </is>
      </c>
      <c r="E21" s="11" t="inlineStr">
        <is>
          <t xml:space="preserve">The next date money from work lands in your account. The calendar uses it to lay out the month.</t>
        </is>
      </c>
      <c r="F21" s="11" t="inlineStr">
        <is>
          <t xml:space="preserve">Your last payslip usually shows the next date, or count forward from the last one.</t>
        </is>
      </c>
      <c r="G21" s="11" t="inlineStr">
        <is>
          <t xml:space="preserve">The month is enough if you do not know the day.</t>
        </is>
      </c>
      <c r="H21" s="11" t="inlineStr">
        <is>
          <t xml:space="preserve">Leave it blank. Only the calendar uses it, and it will say so.</t>
        </is>
      </c>
      <c r="I21" s="11" t="inlineStr">
        <is>
          <t xml:space="preserve">the days until money arrives, on the calendar</t>
        </is>
      </c>
      <c r="J21" s="2" t="inlineStr">
        <is>
          <t xml:space="preserve">blank</t>
        </is>
      </c>
      <c r="M21" s="2" t="inlineStr">
        <is>
          <t xml:space="preserve">Next payday</t>
        </is>
      </c>
      <c r="N21" s="7" t="inlineStr">
        <is>
          <t xml:space="preserve">nextPayday</t>
        </is>
      </c>
    </row>
    <row r="22">
      <c r="A22" s="10" t="inlineStr">
        <is>
          <t xml:space="preserve">When pay swings, how many months of spending do you want kept aside?</t>
        </is>
      </c>
      <c r="C22" s="16"/>
      <c r="D22" s="2" t="inlineStr">
        <is>
          <t xml:space="preserve">months</t>
        </is>
      </c>
      <c r="E22" s="11" t="inlineStr">
        <is>
          <t xml:space="preserve">A cushion for the quiet months, said in months of spending rather than dollars.</t>
        </is>
      </c>
      <c r="F22" s="11" t="inlineStr">
        <is>
          <t xml:space="preserve">Nothing to look up. It is a choice about how safe you want to feel.</t>
        </is>
      </c>
      <c r="G22" s="11" t="inlineStr">
        <is>
          <t xml:space="preserve">Three months is the usual answer. Six if your pay is very uneven.</t>
        </is>
      </c>
      <c r="H22" s="11" t="inlineStr">
        <is>
          <t xml:space="preserve">Put 3. You can change it once you see what it asks of you.</t>
        </is>
      </c>
      <c r="I22" s="11" t="inlineStr">
        <is>
          <t xml:space="preserve">the buffer target, and how far the cash is from it</t>
        </is>
      </c>
      <c r="J22" s="2" t="inlineStr">
        <is>
          <t xml:space="preserve">blank</t>
        </is>
      </c>
      <c r="M22" s="2" t="inlineStr">
        <is>
          <t xml:space="preserve">Buffer to hold, in months of spending</t>
        </is>
      </c>
      <c r="N22" s="7" t="inlineStr">
        <is>
          <t xml:space="preserve">bufferMonths</t>
        </is>
      </c>
    </row>
    <row r="23">
      <c r="A23" s="10" t="inlineStr">
        <is>
          <t xml:space="preserve">Is there money coming later that has not started yet?</t>
        </is>
      </c>
      <c r="C23" s="13"/>
      <c r="D23" s="2" t="inlineStr">
        <is>
          <t xml:space="preserve">dollars</t>
        </is>
      </c>
      <c r="E23" s="11" t="inlineStr">
        <is>
          <t xml:space="preserve">A pension that begins at a certain age, Social Security, a payout, or a job that starts next month.</t>
        </is>
      </c>
      <c r="F23" s="11" t="inlineStr">
        <is>
          <t xml:space="preserve">The yearly statement the plan mails or posts online, the line called accrued monthly benefit.</t>
        </is>
      </c>
      <c r="G23" s="11" t="inlineStr">
        <is>
          <t xml:space="preserve">Leave blank and mark roughly; the room will keep asking.</t>
        </is>
      </c>
      <c r="H23" s="11" t="inlineStr">
        <is>
          <t xml:space="preserve">If nothing is coming, leave it out. Only add a line for money you are fairly sure about.</t>
        </is>
      </c>
      <c r="I23" s="11" t="inlineStr">
        <is>
          <t xml:space="preserve">the timeline: what stacks and where the gaps are</t>
        </is>
      </c>
      <c r="J23" s="2" t="inlineStr">
        <is>
          <t xml:space="preserve">blank</t>
        </is>
      </c>
      <c r="M23" s="2" t="inlineStr">
        <is>
          <t xml:space="preserve">Money that is coming later: a pension, a benefit, a job ahead</t>
        </is>
      </c>
      <c r="N23" s="7" t="inlineStr">
        <is>
          <t xml:space="preserve">futureIncome</t>
        </is>
      </c>
    </row>
    <row r="24">
      <c r="A24" s="10" t="inlineStr">
        <is>
          <t xml:space="preserve">Is there money coming later that has not started yet?</t>
        </is>
      </c>
      <c r="C24" s="13"/>
      <c r="D24" s="2" t="inlineStr">
        <is>
          <t xml:space="preserve">dollars</t>
        </is>
      </c>
      <c r="E24" s="11" t="inlineStr">
        <is>
          <t xml:space="preserve">A pension that begins at a certain age, Social Security, a payout, or a job that starts next month.</t>
        </is>
      </c>
      <c r="F24" s="11" t="inlineStr">
        <is>
          <t xml:space="preserve">The yearly statement the plan mails or posts online, the line called accrued monthly benefit.</t>
        </is>
      </c>
      <c r="G24" s="11" t="inlineStr">
        <is>
          <t xml:space="preserve">Leave blank and mark roughly; the room will keep asking.</t>
        </is>
      </c>
      <c r="H24" s="11" t="inlineStr">
        <is>
          <t xml:space="preserve">If nothing is coming, leave it out. Only add a line for money you are fairly sure about.</t>
        </is>
      </c>
      <c r="I24" s="11" t="inlineStr">
        <is>
          <t xml:space="preserve">the timeline: what stacks and where the gaps are</t>
        </is>
      </c>
      <c r="M24" s="2" t="inlineStr">
        <is>
          <t xml:space="preserve">Money that is coming later: a pension, a benefit, a job ahead</t>
        </is>
      </c>
      <c r="N24" s="7" t="inlineStr">
        <is>
          <t xml:space="preserve">futureIncome</t>
        </is>
      </c>
    </row>
    <row r="25">
      <c r="A25" s="10" t="inlineStr">
        <is>
          <t xml:space="preserve">Is there money coming later that has not started yet?</t>
        </is>
      </c>
      <c r="C25" s="13"/>
      <c r="D25" s="2" t="inlineStr">
        <is>
          <t xml:space="preserve">dollars</t>
        </is>
      </c>
      <c r="E25" s="11" t="inlineStr">
        <is>
          <t xml:space="preserve">A pension that begins at a certain age, Social Security, a payout, or a job that starts next month.</t>
        </is>
      </c>
      <c r="F25" s="11" t="inlineStr">
        <is>
          <t xml:space="preserve">The yearly statement the plan mails or posts online, the line called accrued monthly benefit.</t>
        </is>
      </c>
      <c r="G25" s="11" t="inlineStr">
        <is>
          <t xml:space="preserve">Leave blank and mark roughly; the room will keep asking.</t>
        </is>
      </c>
      <c r="H25" s="11" t="inlineStr">
        <is>
          <t xml:space="preserve">If nothing is coming, leave it out. Only add a line for money you are fairly sure about.</t>
        </is>
      </c>
      <c r="I25" s="11" t="inlineStr">
        <is>
          <t xml:space="preserve">the timeline: what stacks and where the gaps are</t>
        </is>
      </c>
      <c r="M25" s="2" t="inlineStr">
        <is>
          <t xml:space="preserve">Money that is coming later: a pension, a benefit, a job ahead</t>
        </is>
      </c>
      <c r="N25" s="7" t="inlineStr">
        <is>
          <t xml:space="preserve">futureIncome</t>
        </is>
      </c>
    </row>
    <row r="26">
      <c r="A26" s="10" t="inlineStr">
        <is>
          <t xml:space="preserve">Is there money coming later that has not started yet?</t>
        </is>
      </c>
      <c r="C26" s="13"/>
      <c r="D26" s="2" t="inlineStr">
        <is>
          <t xml:space="preserve">dollars</t>
        </is>
      </c>
      <c r="E26" s="11" t="inlineStr">
        <is>
          <t xml:space="preserve">A pension that begins at a certain age, Social Security, a payout, or a job that starts next month.</t>
        </is>
      </c>
      <c r="F26" s="11" t="inlineStr">
        <is>
          <t xml:space="preserve">The yearly statement the plan mails or posts online, the line called accrued monthly benefit.</t>
        </is>
      </c>
      <c r="G26" s="11" t="inlineStr">
        <is>
          <t xml:space="preserve">Leave blank and mark roughly; the room will keep asking.</t>
        </is>
      </c>
      <c r="H26" s="11" t="inlineStr">
        <is>
          <t xml:space="preserve">If nothing is coming, leave it out. Only add a line for money you are fairly sure about.</t>
        </is>
      </c>
      <c r="I26" s="11" t="inlineStr">
        <is>
          <t xml:space="preserve">the timeline: what stacks and where the gaps are</t>
        </is>
      </c>
      <c r="M26" s="2" t="inlineStr">
        <is>
          <t xml:space="preserve">Money that is coming later: a pension, a benefit, a job ahead</t>
        </is>
      </c>
      <c r="N26" s="7" t="inlineStr">
        <is>
          <t xml:space="preserve">futureIncome</t>
        </is>
      </c>
    </row>
    <row r="27">
      <c r="A27" s="10" t="inlineStr">
        <is>
          <t xml:space="preserve">Is there money coming later that has not started yet?</t>
        </is>
      </c>
      <c r="C27" s="13"/>
      <c r="D27" s="2" t="inlineStr">
        <is>
          <t xml:space="preserve">dollars</t>
        </is>
      </c>
      <c r="E27" s="11" t="inlineStr">
        <is>
          <t xml:space="preserve">A pension that begins at a certain age, Social Security, a payout, or a job that starts next month.</t>
        </is>
      </c>
      <c r="F27" s="11" t="inlineStr">
        <is>
          <t xml:space="preserve">The yearly statement the plan mails or posts online, the line called accrued monthly benefit.</t>
        </is>
      </c>
      <c r="G27" s="11" t="inlineStr">
        <is>
          <t xml:space="preserve">Leave blank and mark roughly; the room will keep asking.</t>
        </is>
      </c>
      <c r="H27" s="11" t="inlineStr">
        <is>
          <t xml:space="preserve">If nothing is coming, leave it out. Only add a line for money you are fairly sure about.</t>
        </is>
      </c>
      <c r="I27" s="11" t="inlineStr">
        <is>
          <t xml:space="preserve">the timeline: what stacks and where the gaps are</t>
        </is>
      </c>
      <c r="M27" s="2" t="inlineStr">
        <is>
          <t xml:space="preserve">Money that is coming later: a pension, a benefit, a job ahead</t>
        </is>
      </c>
      <c r="N27" s="7" t="inlineStr">
        <is>
          <t xml:space="preserve">futureIncome</t>
        </is>
      </c>
    </row>
    <row r="28">
      <c r="A28" s="10" t="inlineStr">
        <is>
          <t xml:space="preserve">Income logged this month</t>
        </is>
      </c>
      <c r="D28" s="2" t="inlineStr">
        <is>
          <t xml:space="preserve">dollars</t>
        </is>
      </c>
      <c r="E28" s="11" t="inlineStr">
        <is>
          <t xml:space="preserve">The sheet works this out: every recurring income line in the log, each turned into a month, added up.</t>
        </is>
      </c>
      <c r="I28" s="11" t="inlineStr">
        <is>
          <t xml:space="preserve">income actually logged against the estimate</t>
        </is>
      </c>
      <c r="J28" s="2" t="inlineStr">
        <is>
          <t xml:space="preserve">worked out</t>
        </is>
      </c>
      <c r="M28" s="2" t="inlineStr">
        <is>
          <t xml:space="preserve">Income logged this month</t>
        </is>
      </c>
      <c r="N28" s="7" t="inlineStr">
        <is>
          <t xml:space="preserve">ledgerIncome</t>
        </is>
      </c>
    </row>
    <row r="29">
      <c r="A29" s="10" t="inlineStr">
        <is>
          <t xml:space="preserve">In your last full year of work, what were you paid before tax?</t>
        </is>
      </c>
      <c r="C29" s="13"/>
      <c r="D29" s="2" t="inlineStr">
        <is>
          <t xml:space="preserve">dollars</t>
        </is>
      </c>
      <c r="E29" s="11" t="inlineStr">
        <is>
          <t xml:space="preserve">It is used to work out what unemployment pay would be.</t>
        </is>
      </c>
      <c r="F29" s="11" t="inlineStr">
        <is>
          <t xml:space="preserve">Your last W-2, box 1, or the last payslip of that job.</t>
        </is>
      </c>
      <c r="G29" s="11" t="inlineStr">
        <is>
          <t xml:space="preserve">The yearly figure from the job you just left, to the nearest thousand.</t>
        </is>
      </c>
      <c r="H29" s="11" t="inlineStr">
        <is>
          <t xml:space="preserve">Use your best memory of the yearly figure. It only sets the size of a benefit estimate.</t>
        </is>
      </c>
      <c r="I29" s="11" t="inlineStr">
        <is>
          <t xml:space="preserve">the benefit estimate, the marginal rate and the milestones while between jobs</t>
        </is>
      </c>
      <c r="J29" s="2" t="inlineStr">
        <is>
          <t xml:space="preserve">not yours yet</t>
        </is>
      </c>
      <c r="M29" s="2" t="inlineStr">
        <is>
          <t xml:space="preserve">Your last pay, a year, before tax</t>
        </is>
      </c>
      <c r="N29" s="7" t="inlineStr">
        <is>
          <t xml:space="preserve">lastPay</t>
        </is>
      </c>
    </row>
    <row r="30">
      <c r="A30" s="10" t="inlineStr">
        <is>
          <t xml:space="preserve">How much does your employer add to your retirement account?</t>
        </is>
      </c>
      <c r="C30" s="12"/>
      <c r="D30" s="2" t="inlineStr">
        <is>
          <t xml:space="preserve">words</t>
        </is>
      </c>
      <c r="E30" s="11" t="inlineStr">
        <is>
          <t xml:space="preserve">Free money your employer puts in when you put money in. Often something like half of what you pay in, up to 6% of your salary.</t>
        </is>
      </c>
      <c r="F30" s="11" t="inlineStr">
        <is>
          <t xml:space="preserve">The plan website, the contributions or plan details page, a sentence like 100% of the first 3% and 50% of the next 2%.</t>
        </is>
      </c>
      <c r="G30" s="11" t="inlineStr">
        <is>
          <t xml:space="preserve">Type 50% up to 6% of pay, the most common formula.</t>
        </is>
      </c>
      <c r="H30" s="11" t="inlineStr">
        <is>
          <t xml:space="preserve">Look on your benefits page for the word match. If you cannot find it, put 0 and the app will tell you what a typical match would be worth.</t>
        </is>
      </c>
      <c r="I30" s="11" t="inlineStr">
        <is>
          <t xml:space="preserve">the free money on the table and the first rung of the order of operations</t>
        </is>
      </c>
      <c r="J30" s="2" t="inlineStr">
        <is>
          <t xml:space="preserve">not yours yet</t>
        </is>
      </c>
      <c r="M30" s="2" t="inlineStr">
        <is>
          <t xml:space="preserve">Employer match</t>
        </is>
      </c>
      <c r="N30" s="7" t="inlineStr">
        <is>
          <t xml:space="preserve">employerMatch</t>
        </is>
      </c>
    </row>
    <row r="31">
      <c r="A31" s="10" t="inlineStr">
        <is>
          <t xml:space="preserve">If you lost your job, how much would the state pay you each week?</t>
        </is>
      </c>
      <c r="C31" s="13"/>
      <c r="D31" s="2" t="inlineStr">
        <is>
          <t xml:space="preserve">dollars</t>
        </is>
      </c>
      <c r="E31" s="11" t="inlineStr">
        <is>
          <t xml:space="preserve">What the state pays each week while you look for work. It usually runs for about six months.</t>
        </is>
      </c>
      <c r="F31" s="11" t="inlineStr">
        <is>
          <t xml:space="preserve">The determination letter from the state after you file, the line called weekly benefit amount; the state site shows it under your claim.</t>
        </is>
      </c>
      <c r="G31" s="11" t="inlineStr">
        <is>
          <t xml:space="preserve">Half your old weekly gross pay, capped at your state's maximum.</t>
        </is>
      </c>
      <c r="H31" s="11" t="inlineStr">
        <is>
          <t xml:space="preserve">Search for your state plus unemployment weekly benefit. If you would rather not, put 0 and the app plans without it.</t>
        </is>
      </c>
      <c r="I31" s="11" t="inlineStr">
        <is>
          <t xml:space="preserve">the runway between jobs</t>
        </is>
      </c>
      <c r="J31" s="2" t="inlineStr">
        <is>
          <t xml:space="preserve">not yours yet</t>
        </is>
      </c>
      <c r="M31" s="2" t="inlineStr">
        <is>
          <t xml:space="preserve">Unemployment benefit, a week</t>
        </is>
      </c>
      <c r="N31" s="7" t="inlineStr">
        <is>
          <t xml:space="preserve">unemployment</t>
        </is>
      </c>
    </row>
    <row r="32">
      <c r="A32" s="10" t="inlineStr">
        <is>
          <t xml:space="preserve">In a bad month, how little do you bring in?</t>
        </is>
      </c>
      <c r="C32" s="13"/>
      <c r="D32" s="2" t="inlineStr">
        <is>
          <t xml:space="preserve">dollars</t>
        </is>
      </c>
      <c r="E32" s="11" t="inlineStr">
        <is>
          <t xml:space="preserve">For pay that swings, the low end. Not the worst month ever, just a normal bad one.</t>
        </is>
      </c>
      <c r="F32" s="11" t="inlineStr">
        <is>
          <t xml:space="preserve">Three to six months of bank statements. Find the smallest month.</t>
        </is>
      </c>
      <c r="G32" s="11" t="inlineStr">
        <is>
          <t xml:space="preserve">The quietest month you can remember in the last year.</t>
        </is>
      </c>
      <c r="H32" s="11" t="inlineStr">
        <is>
          <t xml:space="preserve">Use the smallest month you can remember. The app plans around the low number, so a careful guess is safe.</t>
        </is>
      </c>
      <c r="I32" s="11" t="inlineStr">
        <is>
          <t xml:space="preserve">the planning base for variable income: the low month</t>
        </is>
      </c>
      <c r="J32" s="2" t="inlineStr">
        <is>
          <t xml:space="preserve">not yours yet</t>
        </is>
      </c>
      <c r="M32" s="2" t="inlineStr">
        <is>
          <t xml:space="preserve">A low month</t>
        </is>
      </c>
      <c r="N32" s="7" t="inlineStr">
        <is>
          <t xml:space="preserve">incomeLow</t>
        </is>
      </c>
    </row>
    <row r="33">
      <c r="A33" s="10" t="inlineStr">
        <is>
          <t xml:space="preserve">In a good month, how much do you bring in?</t>
        </is>
      </c>
      <c r="C33" s="13"/>
      <c r="D33" s="2" t="inlineStr">
        <is>
          <t xml:space="preserve">dollars</t>
        </is>
      </c>
      <c r="E33" s="11" t="inlineStr">
        <is>
          <t xml:space="preserve">The high end of pay that swings.</t>
        </is>
      </c>
      <c r="F33" s="11" t="inlineStr">
        <is>
          <t xml:space="preserve">The same statements as the low month. Find the biggest one.</t>
        </is>
      </c>
      <c r="G33" s="11" t="inlineStr">
        <is>
          <t xml:space="preserve">The busiest month you can remember in the last year.</t>
        </is>
      </c>
      <c r="H33" s="11" t="inlineStr">
        <is>
          <t xml:space="preserve">Use your best month from last year.</t>
        </is>
      </c>
      <c r="I33" s="11" t="inlineStr">
        <is>
          <t xml:space="preserve">how much a high month can send to the next step</t>
        </is>
      </c>
      <c r="J33" s="2" t="inlineStr">
        <is>
          <t xml:space="preserve">not yours yet</t>
        </is>
      </c>
      <c r="M33" s="2" t="inlineStr">
        <is>
          <t xml:space="preserve">A high month</t>
        </is>
      </c>
      <c r="N33" s="7" t="inlineStr">
        <is>
          <t xml:space="preserve">incomeHigh</t>
        </is>
      </c>
    </row>
    <row r="34">
      <c r="A34" s="10" t="inlineStr">
        <is>
          <t xml:space="preserve">How many months should the app average your pay over?</t>
        </is>
      </c>
      <c r="C34" s="16"/>
      <c r="D34" s="2" t="inlineStr">
        <is>
          <t xml:space="preserve">months</t>
        </is>
      </c>
      <c r="E34" s="11" t="inlineStr">
        <is>
          <t xml:space="preserve">How far back to look when pay is different every month.</t>
        </is>
      </c>
      <c r="F34" s="11" t="inlineStr">
        <is>
          <t xml:space="preserve">Nothing to look up.</t>
        </is>
      </c>
      <c r="G34" s="11" t="inlineStr">
        <is>
          <t xml:space="preserve">Six months smooths out most jobs. Twelve if the work is seasonal.</t>
        </is>
      </c>
      <c r="H34" s="11" t="inlineStr">
        <is>
          <t xml:space="preserve">Put 6. Six months is the usual answer and you can change it later.</t>
        </is>
      </c>
      <c r="I34" s="11" t="inlineStr">
        <is>
          <t xml:space="preserve">the rolling average the variable-income view reads</t>
        </is>
      </c>
      <c r="J34" s="2" t="inlineStr">
        <is>
          <t xml:space="preserve">not yours yet</t>
        </is>
      </c>
      <c r="M34" s="2" t="inlineStr">
        <is>
          <t xml:space="preserve">Months to average over</t>
        </is>
      </c>
      <c r="N34" s="7" t="inlineStr">
        <is>
          <t xml:space="preserve">variableWindow</t>
        </is>
      </c>
    </row>
  </sheetData>
  <autoFilter ref="A1:O34"/>
  <dataValidations count="5">
    <dataValidation type="list" allowBlank="1" showInputMessage="1" showErrorMessage="1" sqref="C8:C12">
      <formula1>"w2,1099,passive,benefit,pension,socialSecurity,equity"</formula1>
    </dataValidation>
    <dataValidation type="list" allowBlank="1" showInputMessage="1" showErrorMessage="1" sqref="C13:C13">
      <formula1>"yes,no"</formula1>
    </dataValidation>
    <dataValidation type="list" allowBlank="1" showInputMessage="1" showErrorMessage="1" sqref="C14:C14">
      <formula1>"yes,no"</formula1>
    </dataValidation>
    <dataValidation type="list" allowBlank="1" showInputMessage="1" showErrorMessage="1" sqref="C15:C19">
      <formula1>"yes,no"</formula1>
    </dataValidation>
    <dataValidation type="list" allowBlank="1" showInputMessage="1" showErrorMessage="1" sqref="C20:C20">
      <formula1>"every week,every two weeks,twice a month,monthly"</formula1>
    </dataValidation>
  </dataValidations>
</worksheet>
</file>

<file path=xl/worksheets/sheet4.xml><?xml version="1.0" encoding="utf-8"?>
<worksheet xmlns="http://schemas.openxmlformats.org/spreadsheetml/2006/main" xmlns:r="http://schemas.openxmlformats.org/officeDocument/2006/relationships">
  <sheetPr>
    <outlinePr summaryBelow="1" summaryRight="1"/>
  </sheetPr>
  <dimension ref="A1:O23"/>
  <sheetViews>
    <sheetView workbookViewId="0">
      <pane xSplit="1" ySplit="1" topLeftCell="B2" activePane="bottomRight" state="frozen"/>
      <selection pane="bottomRight" activeCell="B2" sqref="B2"/>
    </sheetView>
  </sheetViews>
  <sheetFormatPr defaultRowHeight="15"/>
  <cols>
    <col min="1" max="1" width="54" customWidth="1"/>
    <col min="2" max="2" width="18" customWidth="1"/>
    <col min="3" max="3" width="16" customWidth="1"/>
    <col min="4" max="4" width="13" customWidth="1"/>
    <col min="5" max="5" width="46" customWidth="1"/>
    <col min="6" max="6" width="46" customWidth="1"/>
    <col min="7" max="7" width="36" customWidth="1"/>
    <col min="8" max="8" width="40" customWidth="1"/>
    <col min="9" max="9" width="34" customWidth="1"/>
    <col min="10" max="10" width="14" customWidth="1"/>
    <col min="11" max="11" width="13" customWidth="1"/>
    <col min="12" max="12" width="13" customWidth="1"/>
    <col min="13" max="13" width="34" customWidth="1"/>
    <col min="14" max="14" width="20" customWidth="1"/>
    <col min="15" max="15" width="14" customWidth="1"/>
  </cols>
  <sheetData>
    <row r="1" ht="26" customHeight="1">
      <c r="A1" s="1" t="inlineStr">
        <is>
          <t xml:space="preserve">In plain words</t>
        </is>
      </c>
      <c r="B1" s="1" t="inlineStr">
        <is>
          <t xml:space="preserve">Which one</t>
        </is>
      </c>
      <c r="C1" s="1" t="inlineStr">
        <is>
          <t xml:space="preserve">Your number</t>
        </is>
      </c>
      <c r="D1" s="1" t="inlineStr">
        <is>
          <t xml:space="preserve">In</t>
        </is>
      </c>
      <c r="E1" s="1" t="inlineStr">
        <is>
          <t xml:space="preserve">What it means</t>
        </is>
      </c>
      <c r="F1" s="1" t="inlineStr">
        <is>
          <t xml:space="preserve">Where to find it</t>
        </is>
      </c>
      <c r="G1" s="1" t="inlineStr">
        <is>
          <t xml:space="preserve">Close enough</t>
        </is>
      </c>
      <c r="H1" s="1" t="inlineStr">
        <is>
          <t xml:space="preserve">If you are not sure</t>
        </is>
      </c>
      <c r="I1" s="1" t="inlineStr">
        <is>
          <t xml:space="preserve">What it unlocks</t>
        </is>
      </c>
      <c r="J1" s="1" t="inlineStr">
        <is>
          <t xml:space="preserve">How sure</t>
        </is>
      </c>
      <c r="K1" s="1" t="inlineStr">
        <is>
          <t xml:space="preserve">Last checked</t>
        </is>
      </c>
      <c r="L1" s="1" t="inlineStr">
        <is>
          <t xml:space="preserve">Came from</t>
        </is>
      </c>
      <c r="M1" s="1" t="inlineStr">
        <is>
          <t xml:space="preserve">What it is</t>
        </is>
      </c>
      <c r="N1" s="1" t="inlineStr">
        <is>
          <t xml:space="preserve">row id</t>
        </is>
      </c>
      <c r="O1" s="1" t="inlineStr">
        <is>
          <t xml:space="preserve">item id</t>
        </is>
      </c>
    </row>
    <row r="2">
      <c r="A2" s="10" t="inlineStr">
        <is>
          <t xml:space="preserve">How much do you spend on food in a month?</t>
        </is>
      </c>
      <c r="C2" s="13"/>
      <c r="D2" s="2" t="inlineStr">
        <is>
          <t xml:space="preserve">dollars</t>
        </is>
      </c>
      <c r="E2" s="11" t="inlineStr">
        <is>
          <t xml:space="preserve">Groceries and eating out together, for everyone you feed.</t>
        </is>
      </c>
      <c r="F2" s="11" t="inlineStr">
        <is>
          <t xml:space="preserve">Your bank and card statements: add up the grocery shops and the restaurants for one month.</t>
        </is>
      </c>
      <c r="G2" s="11" t="inlineStr">
        <is>
          <t xml:space="preserve">In the United States, about $400 to $700 a month for one person, $800 to $1,200 for a family of four.</t>
        </is>
      </c>
      <c r="H2" s="11" t="inlineStr">
        <is>
          <t xml:space="preserve">Take one week you remember clearly and multiply by 4.3.</t>
        </is>
      </c>
      <c r="I2" s="11" t="inlineStr">
        <is>
          <t xml:space="preserve">the FAT floor: the minimum viable month</t>
        </is>
      </c>
      <c r="J2" s="2" t="inlineStr">
        <is>
          <t xml:space="preserve">blank</t>
        </is>
      </c>
      <c r="M2" s="2" t="inlineStr">
        <is>
          <t xml:space="preserve">Food, a month</t>
        </is>
      </c>
      <c r="N2" s="7" t="inlineStr">
        <is>
          <t xml:space="preserve">foodMonthly</t>
        </is>
      </c>
    </row>
    <row r="3">
      <c r="A3" s="10" t="inlineStr">
        <is>
          <t xml:space="preserve">What do you pay each month for the roof over your head?</t>
        </is>
      </c>
      <c r="C3" s="13"/>
      <c r="D3" s="2" t="inlineStr">
        <is>
          <t xml:space="preserve">dollars</t>
        </is>
      </c>
      <c r="E3" s="11" t="inlineStr">
        <is>
          <t xml:space="preserve">Rent, or your mortgage payment with the tax and insurance that ride along with it.</t>
        </is>
      </c>
      <c r="F3" s="11" t="inlineStr">
        <is>
          <t xml:space="preserve">Your lease, or the payment leaving your bank each month.</t>
        </is>
      </c>
      <c r="G3" s="11" t="inlineStr">
        <is>
          <t xml:space="preserve">The one payment you make to the landlord or the lender.</t>
        </is>
      </c>
      <c r="H3" s="11" t="inlineStr">
        <is>
          <t xml:space="preserve">Use the payment that leaves your account. Do not try to split it up.</t>
        </is>
      </c>
      <c r="I3" s="11" t="inlineStr">
        <is>
          <t xml:space="preserve">the FAT floor, and the housing share of spending</t>
        </is>
      </c>
      <c r="J3" s="2" t="inlineStr">
        <is>
          <t xml:space="preserve">blank</t>
        </is>
      </c>
      <c r="M3" s="2" t="inlineStr">
        <is>
          <t xml:space="preserve">Rent or mortgage, a month</t>
        </is>
      </c>
      <c r="N3" s="7" t="inlineStr">
        <is>
          <t xml:space="preserve">accommodationMonthly</t>
        </is>
      </c>
    </row>
    <row r="4">
      <c r="A4" s="10" t="inlineStr">
        <is>
          <t xml:space="preserve">What does getting around cost you each month?</t>
        </is>
      </c>
      <c r="C4" s="13"/>
      <c r="D4" s="2" t="inlineStr">
        <is>
          <t xml:space="preserve">dollars</t>
        </is>
      </c>
      <c r="E4" s="11" t="inlineStr">
        <is>
          <t xml:space="preserve">Car payment, fuel, insurance, repairs, bus or train fares, parking.</t>
        </is>
      </c>
      <c r="F4" s="11" t="inlineStr">
        <is>
          <t xml:space="preserve">Your statements: the fuel stops, the insurance payment, the car payment, the fares.</t>
        </is>
      </c>
      <c r="G4" s="11" t="inlineStr">
        <is>
          <t xml:space="preserve">A car costs most people $500 to $900 a month once everything is counted.</t>
        </is>
      </c>
      <c r="H4" s="11" t="inlineStr">
        <is>
          <t xml:space="preserve">Add the car payment and insurance, then add $150 for fuel and repairs.</t>
        </is>
      </c>
      <c r="I4" s="11" t="inlineStr">
        <is>
          <t xml:space="preserve">the FAT floor, and the car rules</t>
        </is>
      </c>
      <c r="J4" s="2" t="inlineStr">
        <is>
          <t xml:space="preserve">blank</t>
        </is>
      </c>
      <c r="M4" s="2" t="inlineStr">
        <is>
          <t xml:space="preserve">Getting around, a month</t>
        </is>
      </c>
      <c r="N4" s="7" t="inlineStr">
        <is>
          <t xml:space="preserve">transportationMonthly</t>
        </is>
      </c>
    </row>
    <row r="5">
      <c r="A5" s="10" t="inlineStr">
        <is>
          <t xml:space="preserve">Everything else you spend on in a month: how much?</t>
        </is>
      </c>
      <c r="C5" s="13"/>
      <c r="D5" s="2" t="inlineStr">
        <is>
          <t xml:space="preserve">dollars</t>
        </is>
      </c>
      <c r="E5" s="11" t="inlineStr">
        <is>
          <t xml:space="preserve">Clothes, hobbies, streaming, gifts, holidays spread across the year. The spending that is not food, home, getting around, health or debt.</t>
        </is>
      </c>
      <c r="F5" s="11" t="inlineStr">
        <is>
          <t xml:space="preserve">Take a month of statements, cross off the lines you have already counted, and add what is left.</t>
        </is>
      </c>
      <c r="G5" s="11" t="inlineStr">
        <is>
          <t xml:space="preserve">For many people it is a quarter to a third of take-home pay.</t>
        </is>
      </c>
      <c r="H5" s="11" t="inlineStr">
        <is>
          <t xml:space="preserve">Take your take-home pay, subtract everything you have already entered, and see what is missing. That gap is usually this.</t>
        </is>
      </c>
      <c r="I5" s="11" t="inlineStr">
        <is>
          <t xml:space="preserve">spending a month, so the savings rate and the FI number</t>
        </is>
      </c>
      <c r="J5" s="2" t="inlineStr">
        <is>
          <t xml:space="preserve">blank</t>
        </is>
      </c>
      <c r="M5" s="2" t="inlineStr">
        <is>
          <t xml:space="preserve">Everything else, a month</t>
        </is>
      </c>
      <c r="N5" s="7" t="inlineStr">
        <is>
          <t xml:space="preserve">wantsMonthly</t>
        </is>
      </c>
    </row>
    <row r="6">
      <c r="A6" s="10" t="inlineStr">
        <is>
          <t xml:space="preserve">Spending, a month</t>
        </is>
      </c>
      <c r="C6" s="18">
        <f>foodMonthly+accommodationMonthly+transportationMonthly+wantsMonthly+therapyMonthly</f>
      </c>
      <c r="D6" s="2" t="inlineStr">
        <is>
          <t xml:space="preserve">dollars</t>
        </is>
      </c>
      <c r="E6" s="11" t="inlineStr">
        <is>
          <t xml:space="preserve">The sheet works this out: food plus rent or mortgage plus getting around plus everything else (plus therapy where entered), a month.</t>
        </is>
      </c>
      <c r="I6" s="11" t="inlineStr">
        <is>
          <t xml:space="preserve">the Expenses door’s headline and the FI number</t>
        </is>
      </c>
      <c r="J6" s="2" t="inlineStr">
        <is>
          <t xml:space="preserve">worked out</t>
        </is>
      </c>
      <c r="M6" s="2" t="inlineStr">
        <is>
          <t xml:space="preserve">Spending, a month</t>
        </is>
      </c>
      <c r="N6" s="7" t="inlineStr">
        <is>
          <t xml:space="preserve">monthlyExpenses</t>
        </is>
      </c>
    </row>
    <row r="7">
      <c r="A7" s="10" t="inlineStr">
        <is>
          <t xml:space="preserve">Does the spending number you gave already include debt payments?</t>
        </is>
      </c>
      <c r="C7" s="12"/>
      <c r="D7" s="2" t="inlineStr">
        <is>
          <t xml:space="preserve">yes or no</t>
        </is>
      </c>
      <c r="E7" s="11" t="inlineStr">
        <is>
          <t xml:space="preserve">It stops the app counting your card payment twice.</t>
        </is>
      </c>
      <c r="F7" s="11" t="inlineStr">
        <is>
          <t xml:space="preserve">Think back to the number you typed for spending. Did the card payment sit inside it?</t>
        </is>
      </c>
      <c r="G7" s="11" t="inlineStr">
        <is>
          <t xml:space="preserve">If you took the number off a bank statement, it almost certainly includes them.</t>
        </is>
      </c>
      <c r="H7" s="11" t="inlineStr">
        <is>
          <t xml:space="preserve">Answer yes if the number came from your bank. That is the common case.</t>
        </is>
      </c>
      <c r="I7" s="11" t="inlineStr">
        <is>
          <t xml:space="preserve">a clean gap: spending, debt and saving each counted once</t>
        </is>
      </c>
      <c r="J7" s="2" t="inlineStr">
        <is>
          <t xml:space="preserve">blank</t>
        </is>
      </c>
      <c r="M7" s="2" t="inlineStr">
        <is>
          <t xml:space="preserve">The spending total includes debt payments</t>
        </is>
      </c>
      <c r="N7" s="7" t="inlineStr">
        <is>
          <t xml:space="preserve">spendingIncludesDebt</t>
        </is>
      </c>
    </row>
    <row r="8">
      <c r="A8" s="10" t="inlineStr">
        <is>
          <t xml:space="preserve">Does that spending number include the money you save?</t>
        </is>
      </c>
      <c r="C8" s="12"/>
      <c r="D8" s="2" t="inlineStr">
        <is>
          <t xml:space="preserve">yes or no</t>
        </is>
      </c>
      <c r="E8" s="11" t="inlineStr">
        <is>
          <t xml:space="preserve">Saving is not spending, so the app takes it back out if it is in there.</t>
        </is>
      </c>
      <c r="F8" s="11" t="inlineStr">
        <is>
          <t xml:space="preserve">Think back to the number. Did the transfer to savings sit inside it?</t>
        </is>
      </c>
      <c r="G8" s="11" t="inlineStr">
        <is>
          <t xml:space="preserve">Most people do not count saving as spending.</t>
        </is>
      </c>
      <c r="H8" s="11" t="inlineStr">
        <is>
          <t xml:space="preserve">Answer no. That is right for most people.</t>
        </is>
      </c>
      <c r="I8" s="11" t="inlineStr">
        <is>
          <t xml:space="preserve">a clean gap: spending, debt and saving each counted once</t>
        </is>
      </c>
      <c r="J8" s="2" t="inlineStr">
        <is>
          <t xml:space="preserve">blank</t>
        </is>
      </c>
      <c r="M8" s="2" t="inlineStr">
        <is>
          <t xml:space="preserve">The spending total includes saving</t>
        </is>
      </c>
      <c r="N8" s="7" t="inlineStr">
        <is>
          <t xml:space="preserve">spendingIncludesSaving</t>
        </is>
      </c>
    </row>
    <row r="9">
      <c r="A9" s="10" t="inlineStr">
        <is>
          <t xml:space="preserve">What do you pay for therapy or counselling each month?</t>
        </is>
      </c>
      <c r="C9" s="13"/>
      <c r="D9" s="2" t="inlineStr">
        <is>
          <t xml:space="preserve">dollars</t>
        </is>
      </c>
      <c r="E9" s="11" t="inlineStr">
        <is>
          <t xml:space="preserve">What leaves your pocket after any insurance, for everyone in the household.</t>
        </is>
      </c>
      <c r="F9" s="11" t="inlineStr">
        <is>
          <t xml:space="preserve">Your card statement, or the invoice from the practice.</t>
        </is>
      </c>
      <c r="G9" s="11" t="inlineStr">
        <is>
          <t xml:space="preserve">The session price times how many you have in a month.</t>
        </is>
      </c>
      <c r="H9" s="11" t="inlineStr">
        <is>
          <t xml:space="preserve">Put 0 if you do not have any. This row only shows when you ask for it.</t>
        </is>
      </c>
      <c r="I9" s="11" t="inlineStr">
        <is>
          <t xml:space="preserve">a health line kept apart from wants</t>
        </is>
      </c>
      <c r="J9" s="2" t="inlineStr">
        <is>
          <t xml:space="preserve">blank</t>
        </is>
      </c>
      <c r="M9" s="2" t="inlineStr">
        <is>
          <t xml:space="preserve">Therapy, a month</t>
        </is>
      </c>
      <c r="N9" s="7" t="inlineStr">
        <is>
          <t xml:space="preserve">therapyMonthly</t>
        </is>
      </c>
    </row>
    <row r="10">
      <c r="A10" s="10" t="inlineStr">
        <is>
          <t xml:space="preserve">What do you pay once a year that would hurt if you forgot it?</t>
        </is>
      </c>
      <c r="C10" s="13"/>
      <c r="D10" s="2" t="inlineStr">
        <is>
          <t xml:space="preserve">dollars</t>
        </is>
      </c>
      <c r="E10" s="11" t="inlineStr">
        <is>
          <t xml:space="preserve">Insurance premiums, tax bills, holidays, school fees, a big subscription. Each one gets its own line.</t>
        </is>
      </c>
      <c r="F10" s="11" t="inlineStr">
        <is>
          <t xml:space="preserve">Last year's bank statements: look for the big payments that happened once.</t>
        </is>
      </c>
      <c r="G10" s="11" t="inlineStr">
        <is>
          <t xml:space="preserve">Most households have three to six of these.</t>
        </is>
      </c>
      <c r="H10" s="11" t="inlineStr">
        <is>
          <t xml:space="preserve">Start with the ones you can name. You can add more any time.</t>
        </is>
      </c>
      <c r="I10" s="11" t="inlineStr">
        <is>
          <t xml:space="preserve">the once-a-year costs a monthly budget forgets</t>
        </is>
      </c>
      <c r="J10" s="2" t="inlineStr">
        <is>
          <t xml:space="preserve">blank</t>
        </is>
      </c>
      <c r="M10" s="2" t="inlineStr">
        <is>
          <t xml:space="preserve">Once-a-year costs</t>
        </is>
      </c>
      <c r="N10" s="7" t="inlineStr">
        <is>
          <t xml:space="preserve">annualLine</t>
        </is>
      </c>
    </row>
    <row r="11">
      <c r="A11" s="10" t="inlineStr">
        <is>
          <t xml:space="preserve">What do you pay once a year that would hurt if you forgot it?</t>
        </is>
      </c>
      <c r="C11" s="13"/>
      <c r="D11" s="2" t="inlineStr">
        <is>
          <t xml:space="preserve">dollars</t>
        </is>
      </c>
      <c r="E11" s="11" t="inlineStr">
        <is>
          <t xml:space="preserve">Insurance premiums, tax bills, holidays, school fees, a big subscription. Each one gets its own line.</t>
        </is>
      </c>
      <c r="F11" s="11" t="inlineStr">
        <is>
          <t xml:space="preserve">Last year's bank statements: look for the big payments that happened once.</t>
        </is>
      </c>
      <c r="G11" s="11" t="inlineStr">
        <is>
          <t xml:space="preserve">Most households have three to six of these.</t>
        </is>
      </c>
      <c r="H11" s="11" t="inlineStr">
        <is>
          <t xml:space="preserve">Start with the ones you can name. You can add more any time.</t>
        </is>
      </c>
      <c r="I11" s="11" t="inlineStr">
        <is>
          <t xml:space="preserve">the once-a-year costs a monthly budget forgets</t>
        </is>
      </c>
      <c r="M11" s="2" t="inlineStr">
        <is>
          <t xml:space="preserve">Once-a-year costs</t>
        </is>
      </c>
      <c r="N11" s="7" t="inlineStr">
        <is>
          <t xml:space="preserve">annualLine</t>
        </is>
      </c>
    </row>
    <row r="12">
      <c r="A12" s="10" t="inlineStr">
        <is>
          <t xml:space="preserve">What do you pay once a year that would hurt if you forgot it?</t>
        </is>
      </c>
      <c r="C12" s="13"/>
      <c r="D12" s="2" t="inlineStr">
        <is>
          <t xml:space="preserve">dollars</t>
        </is>
      </c>
      <c r="E12" s="11" t="inlineStr">
        <is>
          <t xml:space="preserve">Insurance premiums, tax bills, holidays, school fees, a big subscription. Each one gets its own line.</t>
        </is>
      </c>
      <c r="F12" s="11" t="inlineStr">
        <is>
          <t xml:space="preserve">Last year's bank statements: look for the big payments that happened once.</t>
        </is>
      </c>
      <c r="G12" s="11" t="inlineStr">
        <is>
          <t xml:space="preserve">Most households have three to six of these.</t>
        </is>
      </c>
      <c r="H12" s="11" t="inlineStr">
        <is>
          <t xml:space="preserve">Start with the ones you can name. You can add more any time.</t>
        </is>
      </c>
      <c r="I12" s="11" t="inlineStr">
        <is>
          <t xml:space="preserve">the once-a-year costs a monthly budget forgets</t>
        </is>
      </c>
      <c r="M12" s="2" t="inlineStr">
        <is>
          <t xml:space="preserve">Once-a-year costs</t>
        </is>
      </c>
      <c r="N12" s="7" t="inlineStr">
        <is>
          <t xml:space="preserve">annualLine</t>
        </is>
      </c>
    </row>
    <row r="13">
      <c r="A13" s="10" t="inlineStr">
        <is>
          <t xml:space="preserve">What do you pay once a year that would hurt if you forgot it?</t>
        </is>
      </c>
      <c r="C13" s="13"/>
      <c r="D13" s="2" t="inlineStr">
        <is>
          <t xml:space="preserve">dollars</t>
        </is>
      </c>
      <c r="E13" s="11" t="inlineStr">
        <is>
          <t xml:space="preserve">Insurance premiums, tax bills, holidays, school fees, a big subscription. Each one gets its own line.</t>
        </is>
      </c>
      <c r="F13" s="11" t="inlineStr">
        <is>
          <t xml:space="preserve">Last year's bank statements: look for the big payments that happened once.</t>
        </is>
      </c>
      <c r="G13" s="11" t="inlineStr">
        <is>
          <t xml:space="preserve">Most households have three to six of these.</t>
        </is>
      </c>
      <c r="H13" s="11" t="inlineStr">
        <is>
          <t xml:space="preserve">Start with the ones you can name. You can add more any time.</t>
        </is>
      </c>
      <c r="I13" s="11" t="inlineStr">
        <is>
          <t xml:space="preserve">the once-a-year costs a monthly budget forgets</t>
        </is>
      </c>
      <c r="M13" s="2" t="inlineStr">
        <is>
          <t xml:space="preserve">Once-a-year costs</t>
        </is>
      </c>
      <c r="N13" s="7" t="inlineStr">
        <is>
          <t xml:space="preserve">annualLine</t>
        </is>
      </c>
    </row>
    <row r="14">
      <c r="A14" s="10" t="inlineStr">
        <is>
          <t xml:space="preserve">What do you pay once a year that would hurt if you forgot it?</t>
        </is>
      </c>
      <c r="C14" s="13"/>
      <c r="D14" s="2" t="inlineStr">
        <is>
          <t xml:space="preserve">dollars</t>
        </is>
      </c>
      <c r="E14" s="11" t="inlineStr">
        <is>
          <t xml:space="preserve">Insurance premiums, tax bills, holidays, school fees, a big subscription. Each one gets its own line.</t>
        </is>
      </c>
      <c r="F14" s="11" t="inlineStr">
        <is>
          <t xml:space="preserve">Last year's bank statements: look for the big payments that happened once.</t>
        </is>
      </c>
      <c r="G14" s="11" t="inlineStr">
        <is>
          <t xml:space="preserve">Most households have three to six of these.</t>
        </is>
      </c>
      <c r="H14" s="11" t="inlineStr">
        <is>
          <t xml:space="preserve">Start with the ones you can name. You can add more any time.</t>
        </is>
      </c>
      <c r="I14" s="11" t="inlineStr">
        <is>
          <t xml:space="preserve">the once-a-year costs a monthly budget forgets</t>
        </is>
      </c>
      <c r="M14" s="2" t="inlineStr">
        <is>
          <t xml:space="preserve">Once-a-year costs</t>
        </is>
      </c>
      <c r="N14" s="7" t="inlineStr">
        <is>
          <t xml:space="preserve">annualLine</t>
        </is>
      </c>
    </row>
    <row r="15">
      <c r="A15" s="10" t="inlineStr">
        <is>
          <t xml:space="preserve">What does health cover cost you each month?</t>
        </is>
      </c>
      <c r="C15" s="13"/>
      <c r="D15" s="2" t="inlineStr">
        <is>
          <t xml:space="preserve">dollars</t>
        </is>
      </c>
      <c r="E15" s="11" t="inlineStr">
        <is>
          <t xml:space="preserve">What you pay for cover each month, after any help from an employer. Not the deductible, and not what a visit costs.</t>
        </is>
      </c>
      <c r="F15" s="11" t="inlineStr">
        <is>
          <t xml:space="preserve">Your pay stub, the deduction line for medical or health; multiply by paycheques a month.</t>
        </is>
      </c>
      <c r="G15" s="11" t="inlineStr">
        <is>
          <t xml:space="preserve">Type 150 a month for job coverage, 450 for a marketplace plan.</t>
        </is>
      </c>
      <c r="H15" s="11" t="inlineStr">
        <is>
          <t xml:space="preserve">If it comes out of your pay, your payslip shows it. Multiply a weekly deduction by 4.3.</t>
        </is>
      </c>
      <c r="I15" s="11" t="inlineStr">
        <is>
          <t xml:space="preserve">a month of spending with cover counted</t>
        </is>
      </c>
      <c r="J15" s="2" t="inlineStr">
        <is>
          <t xml:space="preserve">blank</t>
        </is>
      </c>
      <c r="M15" s="2" t="inlineStr">
        <is>
          <t xml:space="preserve">Health cover, a month</t>
        </is>
      </c>
      <c r="N15" s="7" t="inlineStr">
        <is>
          <t xml:space="preserve">healthMonthly</t>
        </is>
      </c>
    </row>
    <row r="16">
      <c r="A16" s="10" t="inlineStr">
        <is>
          <t xml:space="preserve">What share of your income do you want to give away?</t>
        </is>
      </c>
      <c r="C16" s="14"/>
      <c r="D16" s="2" t="inlineStr">
        <is>
          <t xml:space="preserve">a percent</t>
        </is>
      </c>
      <c r="E16" s="11" t="inlineStr">
        <is>
          <t xml:space="preserve">A target, not what you gave. It can be zero.</t>
        </is>
      </c>
      <c r="F16" s="11" t="inlineStr">
        <is>
          <t xml:space="preserve">Nothing to look up. It is a decision, not a fact.</t>
        </is>
      </c>
      <c r="G16" s="11" t="inlineStr">
        <is>
          <t xml:space="preserve">People who give to a set plan often pick something between 1% and 10%.</t>
        </is>
      </c>
      <c r="H16" s="11" t="inlineStr">
        <is>
          <t xml:space="preserve">Leave it blank. Nothing else in the app needs it.</t>
        </is>
      </c>
      <c r="I16" s="11" t="inlineStr">
        <is>
          <t xml:space="preserve">the giving rate beside the savings rate</t>
        </is>
      </c>
      <c r="J16" s="2" t="inlineStr">
        <is>
          <t xml:space="preserve">blank</t>
        </is>
      </c>
      <c r="M16" s="2" t="inlineStr">
        <is>
          <t xml:space="preserve">Giving, as a share of income</t>
        </is>
      </c>
      <c r="N16" s="7" t="inlineStr">
        <is>
          <t xml:space="preserve">givingPct</t>
        </is>
      </c>
    </row>
    <row r="17">
      <c r="A17" s="10" t="inlineStr">
        <is>
          <t xml:space="preserve">How much do you want to give away this year, in dollars?</t>
        </is>
      </c>
      <c r="C17" s="13"/>
      <c r="D17" s="2" t="inlineStr">
        <is>
          <t xml:space="preserve">dollars</t>
        </is>
      </c>
      <c r="E17" s="11" t="inlineStr">
        <is>
          <t xml:space="preserve">The same question as the share, said in money instead. Fill in whichever is easier.</t>
        </is>
      </c>
      <c r="F17" s="11" t="inlineStr">
        <is>
          <t xml:space="preserve">Nothing to look up.</t>
        </is>
      </c>
      <c r="G17" s="11" t="inlineStr">
        <is>
          <t xml:space="preserve">Last year's giving is a fair starting point.</t>
        </is>
      </c>
      <c r="H17" s="11" t="inlineStr">
        <is>
          <t xml:space="preserve">Leave it blank if you would rather answer as a share of income.</t>
        </is>
      </c>
      <c r="I17" s="11" t="inlineStr">
        <is>
          <t xml:space="preserve">the giving line a year</t>
        </is>
      </c>
      <c r="J17" s="2" t="inlineStr">
        <is>
          <t xml:space="preserve">blank</t>
        </is>
      </c>
      <c r="M17" s="2" t="inlineStr">
        <is>
          <t xml:space="preserve">Giving, a year</t>
        </is>
      </c>
      <c r="N17" s="7" t="inlineStr">
        <is>
          <t xml:space="preserve">givingTarget</t>
        </is>
      </c>
    </row>
    <row r="18">
      <c r="A18" s="10" t="inlineStr">
        <is>
          <t xml:space="preserve">Bills on a date, a month</t>
        </is>
      </c>
      <c r="D18" s="2" t="inlineStr">
        <is>
          <t xml:space="preserve">dollars</t>
        </is>
      </c>
      <c r="E18" s="11" t="inlineStr">
        <is>
          <t xml:space="preserve">The sheet works this out: every bill on the calendar, added up.</t>
        </is>
      </c>
      <c r="I18" s="11" t="inlineStr">
        <is>
          <t xml:space="preserve">the calendar’s dated bills</t>
        </is>
      </c>
      <c r="J18" s="2" t="inlineStr">
        <is>
          <t xml:space="preserve">worked out</t>
        </is>
      </c>
      <c r="M18" s="2" t="inlineStr">
        <is>
          <t xml:space="preserve">Bills on a date, a month</t>
        </is>
      </c>
      <c r="N18" s="7" t="inlineStr">
        <is>
          <t xml:space="preserve">billsMonthly</t>
        </is>
      </c>
    </row>
    <row r="19">
      <c r="A19" s="10" t="inlineStr">
        <is>
          <t xml:space="preserve">Pay-later due this month</t>
        </is>
      </c>
      <c r="D19" s="2" t="inlineStr">
        <is>
          <t xml:space="preserve">dollars</t>
        </is>
      </c>
      <c r="E19" s="11" t="inlineStr">
        <is>
          <t xml:space="preserve">The sheet works this out: every pay-later instalment on the calendar, added up.</t>
        </is>
      </c>
      <c r="I19" s="11" t="inlineStr">
        <is>
          <t xml:space="preserve">the pay-later due this month on the calendar</t>
        </is>
      </c>
      <c r="J19" s="2" t="inlineStr">
        <is>
          <t xml:space="preserve">worked out</t>
        </is>
      </c>
      <c r="M19" s="2" t="inlineStr">
        <is>
          <t xml:space="preserve">Pay-later due this month</t>
        </is>
      </c>
      <c r="N19" s="7" t="inlineStr">
        <is>
          <t xml:space="preserve">payLaterDue</t>
        </is>
      </c>
    </row>
    <row r="20">
      <c r="A20" s="10" t="inlineStr">
        <is>
          <t xml:space="preserve">Months closed</t>
        </is>
      </c>
      <c r="D20" s="2" t="inlineStr">
        <is>
          <t xml:space="preserve">a number</t>
        </is>
      </c>
      <c r="E20" s="11" t="inlineStr">
        <is>
          <t xml:space="preserve">The sheet works this out: how many months have been closed in the log.</t>
        </is>
      </c>
      <c r="I20" s="11" t="inlineStr">
        <is>
          <t xml:space="preserve">the trailing average that replaces the estimate</t>
        </is>
      </c>
      <c r="J20" s="2" t="inlineStr">
        <is>
          <t xml:space="preserve">worked out</t>
        </is>
      </c>
      <c r="M20" s="2" t="inlineStr">
        <is>
          <t xml:space="preserve">Months closed</t>
        </is>
      </c>
      <c r="N20" s="7" t="inlineStr">
        <is>
          <t xml:space="preserve">monthsClosed</t>
        </is>
      </c>
    </row>
    <row r="21">
      <c r="A21" s="10" t="inlineStr">
        <is>
          <t xml:space="preserve">If money got tight, what is the least a month could cost?</t>
        </is>
      </c>
      <c r="C21" s="13"/>
      <c r="D21" s="2" t="inlineStr">
        <is>
          <t xml:space="preserve">dollars</t>
        </is>
      </c>
      <c r="E21" s="11" t="inlineStr">
        <is>
          <t xml:space="preserve">Rent, food, power, the smallest debt payments, insurance. What you would still be paying with everything else cut.</t>
        </is>
      </c>
      <c r="F21" s="11" t="inlineStr">
        <is>
          <t xml:space="preserve">Take your normal month and cross off anything you could stop within a month.</t>
        </is>
      </c>
      <c r="G21" s="11" t="inlineStr">
        <is>
          <t xml:space="preserve">For most people it lands between half and three quarters of normal spending.</t>
        </is>
      </c>
      <c r="H21" s="11" t="inlineStr">
        <is>
          <t xml:space="preserve">Leave it blank and the app will use two thirds of your spending, and say so.</t>
        </is>
      </c>
      <c r="I21" s="11" t="inlineStr">
        <is>
          <t xml:space="preserve">the runway at the floor</t>
        </is>
      </c>
      <c r="J21" s="2" t="inlineStr">
        <is>
          <t xml:space="preserve">not yours yet</t>
        </is>
      </c>
      <c r="M21" s="2" t="inlineStr">
        <is>
          <t xml:space="preserve">The lean month: the least a month can cost</t>
        </is>
      </c>
      <c r="N21" s="7" t="inlineStr">
        <is>
          <t xml:space="preserve">floorMonthly</t>
        </is>
      </c>
    </row>
    <row r="22">
      <c r="A22" s="10" t="inlineStr">
        <is>
          <t xml:space="preserve">How do the two of you split the shared bills?</t>
        </is>
      </c>
      <c r="C22" s="12"/>
      <c r="D22" s="2" t="inlineStr">
        <is>
          <t xml:space="preserve">a choice</t>
        </is>
      </c>
      <c r="E22" s="11" t="inlineStr">
        <is>
          <t xml:space="preserve">Down the middle, in proportion to what each earns, or one person pays.</t>
        </is>
      </c>
      <c r="F22" s="11" t="inlineStr">
        <is>
          <t xml:space="preserve">Nothing to look up. It is how you already do it.</t>
        </is>
      </c>
      <c r="G22" s="11" t="inlineStr">
        <is>
          <t xml:space="preserve">Half and half is the most common answer.</t>
        </is>
      </c>
      <c r="H22" s="11" t="inlineStr">
        <is>
          <t xml:space="preserve">Pick half and half. You can change it when you see the numbers.</t>
        </is>
      </c>
      <c r="I22" s="11" t="inlineStr">
        <is>
          <t xml:space="preserve">each partner’s share of the shared month</t>
        </is>
      </c>
      <c r="J22" s="2" t="inlineStr">
        <is>
          <t xml:space="preserve">not yours yet</t>
        </is>
      </c>
      <c r="M22" s="2" t="inlineStr">
        <is>
          <t xml:space="preserve">How the shared costs are split between you</t>
        </is>
      </c>
      <c r="N22" s="7" t="inlineStr">
        <is>
          <t xml:space="preserve">splitMode</t>
        </is>
      </c>
    </row>
    <row r="23">
      <c r="A23" s="10" t="inlineStr">
        <is>
          <t xml:space="preserve">How much of your monthly spending is shared between you?</t>
        </is>
      </c>
      <c r="C23" s="13"/>
      <c r="D23" s="2" t="inlineStr">
        <is>
          <t xml:space="preserve">dollars</t>
        </is>
      </c>
      <c r="E23" s="11" t="inlineStr">
        <is>
          <t xml:space="preserve">The bills you both live on: rent, power, food. Not each person's own spending.</t>
        </is>
      </c>
      <c r="F23" s="11" t="inlineStr">
        <is>
          <t xml:space="preserve">Your statements: the bills that would exist even if one of you moved out for a week.</t>
        </is>
      </c>
      <c r="G23" s="11" t="inlineStr">
        <is>
          <t xml:space="preserve">Rent plus power plus food gets you most of the way.</t>
        </is>
      </c>
      <c r="H23" s="11" t="inlineStr">
        <is>
          <t xml:space="preserve">Add rent and food. That is close enough to start.</t>
        </is>
      </c>
      <c r="I23" s="11" t="inlineStr">
        <is>
          <t xml:space="preserve">the shared month, split</t>
        </is>
      </c>
      <c r="J23" s="2" t="inlineStr">
        <is>
          <t xml:space="preserve">not yours yet</t>
        </is>
      </c>
      <c r="M23" s="2" t="inlineStr">
        <is>
          <t xml:space="preserve">Shared costs, a month</t>
        </is>
      </c>
      <c r="N23" s="7" t="inlineStr">
        <is>
          <t xml:space="preserve">sharedMonthly</t>
        </is>
      </c>
    </row>
  </sheetData>
  <autoFilter ref="A1:O23"/>
  <dataValidations count="3">
    <dataValidation type="list" allowBlank="1" showInputMessage="1" showErrorMessage="1" sqref="C7:C7">
      <formula1>"yes,no"</formula1>
    </dataValidation>
    <dataValidation type="list" allowBlank="1" showInputMessage="1" showErrorMessage="1" sqref="C8:C8">
      <formula1>"yes,no"</formula1>
    </dataValidation>
    <dataValidation type="list" allowBlank="1" showInputMessage="1" showErrorMessage="1" sqref="C22:C22">
      <formula1>"Equal halves,In proportion to income,One pool"</formula1>
    </dataValidation>
  </dataValidations>
</worksheet>
</file>

<file path=xl/worksheets/sheet5.xml><?xml version="1.0" encoding="utf-8"?>
<worksheet xmlns="http://schemas.openxmlformats.org/spreadsheetml/2006/main" xmlns:r="http://schemas.openxmlformats.org/officeDocument/2006/relationships">
  <sheetPr>
    <outlinePr summaryBelow="1" summaryRight="1"/>
  </sheetPr>
  <dimension ref="A1:P69"/>
  <sheetViews>
    <sheetView workbookViewId="0">
      <pane xSplit="1" ySplit="1" topLeftCell="B2" activePane="bottomRight" state="frozen"/>
      <selection pane="bottomRight" activeCell="B2" sqref="B2"/>
    </sheetView>
  </sheetViews>
  <sheetFormatPr defaultRowHeight="15"/>
  <cols>
    <col min="1" max="1" width="54" customWidth="1"/>
    <col min="2" max="2" width="18" customWidth="1"/>
    <col min="3" max="3" width="16" customWidth="1"/>
    <col min="4" max="4" width="13" customWidth="1"/>
    <col min="5" max="5" width="46" customWidth="1"/>
    <col min="6" max="6" width="46" customWidth="1"/>
    <col min="7" max="7" width="36" customWidth="1"/>
    <col min="8" max="8" width="40" customWidth="1"/>
    <col min="9" max="9" width="34" customWidth="1"/>
    <col min="10" max="10" width="14" customWidth="1"/>
    <col min="11" max="11" width="13" customWidth="1"/>
    <col min="12" max="12" width="13" customWidth="1"/>
    <col min="13" max="13" width="34" customWidth="1"/>
    <col min="14" max="14" width="20" customWidth="1"/>
    <col min="15" max="15" width="14" customWidth="1"/>
    <col min="16" max="16" width="16" customWidth="1"/>
  </cols>
  <sheetData>
    <row r="1" ht="26" customHeight="1">
      <c r="A1" s="1" t="inlineStr">
        <is>
          <t xml:space="preserve">In plain words</t>
        </is>
      </c>
      <c r="B1" s="1" t="inlineStr">
        <is>
          <t xml:space="preserve">Which one</t>
        </is>
      </c>
      <c r="C1" s="1" t="inlineStr">
        <is>
          <t xml:space="preserve">Your number</t>
        </is>
      </c>
      <c r="D1" s="1" t="inlineStr">
        <is>
          <t xml:space="preserve">In</t>
        </is>
      </c>
      <c r="E1" s="1" t="inlineStr">
        <is>
          <t xml:space="preserve">What it means</t>
        </is>
      </c>
      <c r="F1" s="1" t="inlineStr">
        <is>
          <t xml:space="preserve">Where to find it</t>
        </is>
      </c>
      <c r="G1" s="1" t="inlineStr">
        <is>
          <t xml:space="preserve">Close enough</t>
        </is>
      </c>
      <c r="H1" s="1" t="inlineStr">
        <is>
          <t xml:space="preserve">If you are not sure</t>
        </is>
      </c>
      <c r="I1" s="1" t="inlineStr">
        <is>
          <t xml:space="preserve">What it unlocks</t>
        </is>
      </c>
      <c r="J1" s="1" t="inlineStr">
        <is>
          <t xml:space="preserve">How sure</t>
        </is>
      </c>
      <c r="K1" s="1" t="inlineStr">
        <is>
          <t xml:space="preserve">Last checked</t>
        </is>
      </c>
      <c r="L1" s="1" t="inlineStr">
        <is>
          <t xml:space="preserve">Came from</t>
        </is>
      </c>
      <c r="M1" s="1" t="inlineStr">
        <is>
          <t xml:space="preserve">What it is</t>
        </is>
      </c>
      <c r="N1" s="1" t="inlineStr">
        <is>
          <t xml:space="preserve">row id</t>
        </is>
      </c>
      <c r="O1" s="1" t="inlineStr">
        <is>
          <t xml:space="preserve">item id</t>
        </is>
      </c>
      <c r="P1" s="1" t="inlineStr">
        <is>
          <t xml:space="preserve">Which pile</t>
        </is>
      </c>
    </row>
    <row r="2">
      <c r="A2" s="10" t="inlineStr">
        <is>
          <t xml:space="preserve">How much money could you spend this week without selling anything?</t>
        </is>
      </c>
      <c r="C2" s="13"/>
      <c r="D2" s="2" t="inlineStr">
        <is>
          <t xml:space="preserve">dollars</t>
        </is>
      </c>
      <c r="E2" s="11" t="inlineStr">
        <is>
          <t xml:space="preserve">Checking, savings and cash. Not investments, not retirement money.</t>
        </is>
      </c>
      <c r="F2" s="11" t="inlineStr">
        <is>
          <t xml:space="preserve">Your bank app: checking plus savings, the balances under each account name on the first screen.</t>
        </is>
      </c>
      <c r="G2" s="11" t="inlineStr">
        <is>
          <t xml:space="preserve">What you think is in there today, to the nearest hundred.</t>
        </is>
      </c>
      <c r="H2" s="11" t="inlineStr">
        <is>
          <t xml:space="preserve">Open your banking app and add up the balances you see. That is the answer.</t>
        </is>
      </c>
      <c r="I2" s="11" t="inlineStr">
        <is>
          <t xml:space="preserve">the runway, emergency-fund coverage, reachable money</t>
        </is>
      </c>
      <c r="J2" s="2" t="inlineStr">
        <is>
          <t xml:space="preserve">blank</t>
        </is>
      </c>
      <c r="M2" s="2" t="inlineStr">
        <is>
          <t xml:space="preserve">Cash and savings</t>
        </is>
      </c>
      <c r="N2" s="7" t="inlineStr">
        <is>
          <t xml:space="preserve">cashSavings</t>
        </is>
      </c>
    </row>
    <row r="3">
      <c r="A3" s="10" t="inlineStr">
        <is>
          <t xml:space="preserve">How much is in your investments and retirement accounts, all together?</t>
        </is>
      </c>
      <c r="C3" s="13"/>
      <c r="D3" s="2" t="inlineStr">
        <is>
          <t xml:space="preserve">dollars</t>
        </is>
      </c>
      <c r="E3" s="11" t="inlineStr">
        <is>
          <t xml:space="preserve">Money already invested: a 401(k), an IRA, a brokerage account. Not your house, not cash.</t>
        </is>
      </c>
      <c r="F3" s="11" t="inlineStr">
        <is>
          <t xml:space="preserve">Each account app or the latest statement, the total account value; the Statement splits it by kind.</t>
        </is>
      </c>
      <c r="G3" s="11" t="inlineStr">
        <is>
          <t xml:space="preserve">The last number you remember, to the nearest thousand.</t>
        </is>
      </c>
      <c r="H3" s="11" t="inlineStr">
        <is>
          <t xml:space="preserve">Add up the balance of every account that is invested. If one is hard to reach, put what you remember and mark it a guess.</t>
        </is>
      </c>
      <c r="I3" s="11" t="inlineStr">
        <is>
          <t xml:space="preserve">net worth, the FI number gap, the retirement multiple</t>
        </is>
      </c>
      <c r="J3" s="2" t="inlineStr">
        <is>
          <t xml:space="preserve">blank</t>
        </is>
      </c>
      <c r="M3" s="2" t="inlineStr">
        <is>
          <t xml:space="preserve">Investments and retirement</t>
        </is>
      </c>
      <c r="N3" s="7" t="inlineStr">
        <is>
          <t xml:space="preserve">investments</t>
        </is>
      </c>
    </row>
    <row r="4">
      <c r="A4" s="10" t="inlineStr">
        <is>
          <t xml:space="preserve">What is this account or thing worth today?</t>
        </is>
      </c>
      <c r="C4" s="13"/>
      <c r="D4" s="2" t="inlineStr">
        <is>
          <t xml:space="preserve">dollars</t>
        </is>
      </c>
      <c r="E4" s="11" t="inlineStr">
        <is>
          <t xml:space="preserve">Today's value, not what you paid. For a house, what it would sell for; for an account, the balance.</t>
        </is>
      </c>
      <c r="F4" s="11" t="inlineStr">
        <is>
          <t xml:space="preserve">The app or the latest statement for that account; for a home, a Zillow or assessor figure; for a car, Kelley Blue Book.</t>
        </is>
      </c>
      <c r="G4" s="11" t="inlineStr">
        <is>
          <t xml:space="preserve">Your last statement figure, to the nearest thousand.</t>
        </is>
      </c>
      <c r="H4" s="11" t="inlineStr">
        <is>
          <t xml:space="preserve">For an account, read the balance. For a house, use a website's estimate and mark it a guess.</t>
        </is>
      </c>
      <c r="I4" s="11" t="inlineStr">
        <is>
          <t xml:space="preserve">net worth account by account, and reachable money by account</t>
        </is>
      </c>
      <c r="J4" s="2" t="inlineStr">
        <is>
          <t xml:space="preserve">blank</t>
        </is>
      </c>
      <c r="M4" s="2" t="inlineStr">
        <is>
          <t xml:space="preserve">What each account or thing is worth</t>
        </is>
      </c>
      <c r="N4" s="7" t="inlineStr">
        <is>
          <t xml:space="preserve">assetValue</t>
        </is>
      </c>
      <c r="P4" s="12"/>
    </row>
    <row r="5">
      <c r="A5" s="10" t="inlineStr">
        <is>
          <t xml:space="preserve">What is this account or thing worth today?</t>
        </is>
      </c>
      <c r="C5" s="13"/>
      <c r="D5" s="2" t="inlineStr">
        <is>
          <t xml:space="preserve">dollars</t>
        </is>
      </c>
      <c r="E5" s="11" t="inlineStr">
        <is>
          <t xml:space="preserve">Today's value, not what you paid. For a house, what it would sell for; for an account, the balance.</t>
        </is>
      </c>
      <c r="F5" s="11" t="inlineStr">
        <is>
          <t xml:space="preserve">The app or the latest statement for that account; for a home, a Zillow or assessor figure; for a car, Kelley Blue Book.</t>
        </is>
      </c>
      <c r="G5" s="11" t="inlineStr">
        <is>
          <t xml:space="preserve">Your last statement figure, to the nearest thousand.</t>
        </is>
      </c>
      <c r="H5" s="11" t="inlineStr">
        <is>
          <t xml:space="preserve">For an account, read the balance. For a house, use a website's estimate and mark it a guess.</t>
        </is>
      </c>
      <c r="I5" s="11" t="inlineStr">
        <is>
          <t xml:space="preserve">net worth account by account, and reachable money by account</t>
        </is>
      </c>
      <c r="M5" s="2" t="inlineStr">
        <is>
          <t xml:space="preserve">What each account or thing is worth</t>
        </is>
      </c>
      <c r="N5" s="7" t="inlineStr">
        <is>
          <t xml:space="preserve">assetValue</t>
        </is>
      </c>
      <c r="P5" s="12"/>
    </row>
    <row r="6">
      <c r="A6" s="10" t="inlineStr">
        <is>
          <t xml:space="preserve">What is this account or thing worth today?</t>
        </is>
      </c>
      <c r="C6" s="13"/>
      <c r="D6" s="2" t="inlineStr">
        <is>
          <t xml:space="preserve">dollars</t>
        </is>
      </c>
      <c r="E6" s="11" t="inlineStr">
        <is>
          <t xml:space="preserve">Today's value, not what you paid. For a house, what it would sell for; for an account, the balance.</t>
        </is>
      </c>
      <c r="F6" s="11" t="inlineStr">
        <is>
          <t xml:space="preserve">The app or the latest statement for that account; for a home, a Zillow or assessor figure; for a car, Kelley Blue Book.</t>
        </is>
      </c>
      <c r="G6" s="11" t="inlineStr">
        <is>
          <t xml:space="preserve">Your last statement figure, to the nearest thousand.</t>
        </is>
      </c>
      <c r="H6" s="11" t="inlineStr">
        <is>
          <t xml:space="preserve">For an account, read the balance. For a house, use a website's estimate and mark it a guess.</t>
        </is>
      </c>
      <c r="I6" s="11" t="inlineStr">
        <is>
          <t xml:space="preserve">net worth account by account, and reachable money by account</t>
        </is>
      </c>
      <c r="M6" s="2" t="inlineStr">
        <is>
          <t xml:space="preserve">What each account or thing is worth</t>
        </is>
      </c>
      <c r="N6" s="7" t="inlineStr">
        <is>
          <t xml:space="preserve">assetValue</t>
        </is>
      </c>
      <c r="P6" s="12"/>
    </row>
    <row r="7">
      <c r="A7" s="10" t="inlineStr">
        <is>
          <t xml:space="preserve">What is this account or thing worth today?</t>
        </is>
      </c>
      <c r="C7" s="13"/>
      <c r="D7" s="2" t="inlineStr">
        <is>
          <t xml:space="preserve">dollars</t>
        </is>
      </c>
      <c r="E7" s="11" t="inlineStr">
        <is>
          <t xml:space="preserve">Today's value, not what you paid. For a house, what it would sell for; for an account, the balance.</t>
        </is>
      </c>
      <c r="F7" s="11" t="inlineStr">
        <is>
          <t xml:space="preserve">The app or the latest statement for that account; for a home, a Zillow or assessor figure; for a car, Kelley Blue Book.</t>
        </is>
      </c>
      <c r="G7" s="11" t="inlineStr">
        <is>
          <t xml:space="preserve">Your last statement figure, to the nearest thousand.</t>
        </is>
      </c>
      <c r="H7" s="11" t="inlineStr">
        <is>
          <t xml:space="preserve">For an account, read the balance. For a house, use a website's estimate and mark it a guess.</t>
        </is>
      </c>
      <c r="I7" s="11" t="inlineStr">
        <is>
          <t xml:space="preserve">net worth account by account, and reachable money by account</t>
        </is>
      </c>
      <c r="M7" s="2" t="inlineStr">
        <is>
          <t xml:space="preserve">What each account or thing is worth</t>
        </is>
      </c>
      <c r="N7" s="7" t="inlineStr">
        <is>
          <t xml:space="preserve">assetValue</t>
        </is>
      </c>
      <c r="P7" s="12"/>
    </row>
    <row r="8">
      <c r="A8" s="10" t="inlineStr">
        <is>
          <t xml:space="preserve">What is this account or thing worth today?</t>
        </is>
      </c>
      <c r="C8" s="13"/>
      <c r="D8" s="2" t="inlineStr">
        <is>
          <t xml:space="preserve">dollars</t>
        </is>
      </c>
      <c r="E8" s="11" t="inlineStr">
        <is>
          <t xml:space="preserve">Today's value, not what you paid. For a house, what it would sell for; for an account, the balance.</t>
        </is>
      </c>
      <c r="F8" s="11" t="inlineStr">
        <is>
          <t xml:space="preserve">The app or the latest statement for that account; for a home, a Zillow or assessor figure; for a car, Kelley Blue Book.</t>
        </is>
      </c>
      <c r="G8" s="11" t="inlineStr">
        <is>
          <t xml:space="preserve">Your last statement figure, to the nearest thousand.</t>
        </is>
      </c>
      <c r="H8" s="11" t="inlineStr">
        <is>
          <t xml:space="preserve">For an account, read the balance. For a house, use a website's estimate and mark it a guess.</t>
        </is>
      </c>
      <c r="I8" s="11" t="inlineStr">
        <is>
          <t xml:space="preserve">net worth account by account, and reachable money by account</t>
        </is>
      </c>
      <c r="M8" s="2" t="inlineStr">
        <is>
          <t xml:space="preserve">What each account or thing is worth</t>
        </is>
      </c>
      <c r="N8" s="7" t="inlineStr">
        <is>
          <t xml:space="preserve">assetValue</t>
        </is>
      </c>
      <c r="P8" s="12"/>
    </row>
    <row r="9">
      <c r="A9" s="10" t="inlineStr">
        <is>
          <t xml:space="preserve">Net worth</t>
        </is>
      </c>
      <c r="C9" s="18">
        <f>cashSavings+investments+otherAssets-totalDebt</f>
      </c>
      <c r="D9" s="2" t="inlineStr">
        <is>
          <t xml:space="preserve">dollars</t>
        </is>
      </c>
      <c r="E9" s="11" t="inlineStr">
        <is>
          <t xml:space="preserve">The sheet works this out: cash plus investments plus other assets, less everything owed.</t>
        </is>
      </c>
      <c r="I9" s="11" t="inlineStr">
        <is>
          <t xml:space="preserve">the headline: what you own less what you owe</t>
        </is>
      </c>
      <c r="J9" s="2" t="inlineStr">
        <is>
          <t xml:space="preserve">worked out</t>
        </is>
      </c>
      <c r="M9" s="2" t="inlineStr">
        <is>
          <t xml:space="preserve">Net worth</t>
        </is>
      </c>
      <c r="N9" s="7" t="inlineStr">
        <is>
          <t xml:space="preserve">netWorth</t>
        </is>
      </c>
    </row>
    <row r="10">
      <c r="A10" s="10" t="inlineStr">
        <is>
          <t xml:space="preserve">How much do you put away in a normal month?</t>
        </is>
      </c>
      <c r="C10" s="13"/>
      <c r="D10" s="2" t="inlineStr">
        <is>
          <t xml:space="preserve">dollars</t>
        </is>
      </c>
      <c r="E10" s="11" t="inlineStr">
        <is>
          <t xml:space="preserve">Money that leaves your spending and goes into savings or investments, including what comes out of your pay.</t>
        </is>
      </c>
      <c r="F10" s="11" t="inlineStr">
        <is>
          <t xml:space="preserve">Your bank statement: the transfers to savings, plus the retirement lines on your payslip.</t>
        </is>
      </c>
      <c r="G10" s="11" t="inlineStr">
        <is>
          <t xml:space="preserve">To the nearest fifty dollars.</t>
        </is>
      </c>
      <c r="H10" s="11" t="inlineStr">
        <is>
          <t xml:space="preserve">Put what you meant to save. The app compares it with what really moved.</t>
        </is>
      </c>
      <c r="I10" s="11" t="inlineStr">
        <is>
          <t xml:space="preserve">the savings rate you actually have, and the leak: what the gap says you could save, less what you do</t>
        </is>
      </c>
      <c r="J10" s="2" t="inlineStr">
        <is>
          <t xml:space="preserve">blank</t>
        </is>
      </c>
      <c r="M10" s="2" t="inlineStr">
        <is>
          <t xml:space="preserve">Added a month</t>
        </is>
      </c>
      <c r="N10" s="7" t="inlineStr">
        <is>
          <t xml:space="preserve">savedMonthly</t>
        </is>
      </c>
    </row>
    <row r="11">
      <c r="A11" s="10" t="inlineStr">
        <is>
          <t xml:space="preserve">Saved and invested, total</t>
        </is>
      </c>
      <c r="C11" s="18">
        <f>cashSavings+investments</f>
      </c>
      <c r="D11" s="2" t="inlineStr">
        <is>
          <t xml:space="preserve">dollars</t>
        </is>
      </c>
      <c r="E11" s="11" t="inlineStr">
        <is>
          <t xml:space="preserve">The sheet works this out: cash and savings plus investments and retirement.</t>
        </is>
      </c>
      <c r="I11" s="11" t="inlineStr">
        <is>
          <t xml:space="preserve">the pile you are starting from, so percent to FI can read</t>
        </is>
      </c>
      <c r="J11" s="2" t="inlineStr">
        <is>
          <t xml:space="preserve">worked out</t>
        </is>
      </c>
      <c r="M11" s="2" t="inlineStr">
        <is>
          <t xml:space="preserve">Saved and invested, total</t>
        </is>
      </c>
      <c r="N11" s="7" t="inlineStr">
        <is>
          <t xml:space="preserve">totalSaved</t>
        </is>
      </c>
    </row>
    <row r="12">
      <c r="A12" s="10" t="inlineStr">
        <is>
          <t xml:space="preserve">Who holds this account?</t>
        </is>
      </c>
      <c r="C12" s="12"/>
      <c r="D12" s="2" t="inlineStr">
        <is>
          <t xml:space="preserve">text</t>
        </is>
      </c>
      <c r="E12" s="11" t="inlineStr">
        <is>
          <t xml:space="preserve">The bank, the brokerage or the company name. It is only a label, so you can tell two accounts apart.</t>
        </is>
      </c>
      <c r="F12" s="11" t="inlineStr">
        <is>
          <t xml:space="preserve">The top of the statement, or the app you log in to.</t>
        </is>
      </c>
      <c r="G12" s="11" t="inlineStr">
        <is>
          <t xml:space="preserve">A short name is fine: Chase, Fidelity, the credit union.</t>
        </is>
      </c>
      <c r="H12" s="11" t="inlineStr">
        <is>
          <t xml:space="preserve">Leave it blank and the app will call it by its type instead.</t>
        </is>
      </c>
      <c r="I12" s="11" t="inlineStr">
        <is>
          <t xml:space="preserve">a statement that reads like the one your bank sends: each account named, where it lives</t>
        </is>
      </c>
      <c r="J12" s="2" t="inlineStr">
        <is>
          <t xml:space="preserve">blank</t>
        </is>
      </c>
      <c r="M12" s="2" t="inlineStr">
        <is>
          <t xml:space="preserve">Where it is held</t>
        </is>
      </c>
      <c r="N12" s="7" t="inlineStr">
        <is>
          <t xml:space="preserve">assetInstitution</t>
        </is>
      </c>
    </row>
    <row r="13">
      <c r="A13" s="10" t="inlineStr">
        <is>
          <t xml:space="preserve">Who holds this account?</t>
        </is>
      </c>
      <c r="C13" s="12"/>
      <c r="D13" s="2" t="inlineStr">
        <is>
          <t xml:space="preserve">text</t>
        </is>
      </c>
      <c r="E13" s="11" t="inlineStr">
        <is>
          <t xml:space="preserve">The bank, the brokerage or the company name. It is only a label, so you can tell two accounts apart.</t>
        </is>
      </c>
      <c r="F13" s="11" t="inlineStr">
        <is>
          <t xml:space="preserve">The top of the statement, or the app you log in to.</t>
        </is>
      </c>
      <c r="G13" s="11" t="inlineStr">
        <is>
          <t xml:space="preserve">A short name is fine: Chase, Fidelity, the credit union.</t>
        </is>
      </c>
      <c r="H13" s="11" t="inlineStr">
        <is>
          <t xml:space="preserve">Leave it blank and the app will call it by its type instead.</t>
        </is>
      </c>
      <c r="I13" s="11" t="inlineStr">
        <is>
          <t xml:space="preserve">a statement that reads like the one your bank sends: each account named, where it lives</t>
        </is>
      </c>
      <c r="M13" s="2" t="inlineStr">
        <is>
          <t xml:space="preserve">Where it is held</t>
        </is>
      </c>
      <c r="N13" s="7" t="inlineStr">
        <is>
          <t xml:space="preserve">assetInstitution</t>
        </is>
      </c>
    </row>
    <row r="14">
      <c r="A14" s="10" t="inlineStr">
        <is>
          <t xml:space="preserve">Who holds this account?</t>
        </is>
      </c>
      <c r="C14" s="12"/>
      <c r="D14" s="2" t="inlineStr">
        <is>
          <t xml:space="preserve">text</t>
        </is>
      </c>
      <c r="E14" s="11" t="inlineStr">
        <is>
          <t xml:space="preserve">The bank, the brokerage or the company name. It is only a label, so you can tell two accounts apart.</t>
        </is>
      </c>
      <c r="F14" s="11" t="inlineStr">
        <is>
          <t xml:space="preserve">The top of the statement, or the app you log in to.</t>
        </is>
      </c>
      <c r="G14" s="11" t="inlineStr">
        <is>
          <t xml:space="preserve">A short name is fine: Chase, Fidelity, the credit union.</t>
        </is>
      </c>
      <c r="H14" s="11" t="inlineStr">
        <is>
          <t xml:space="preserve">Leave it blank and the app will call it by its type instead.</t>
        </is>
      </c>
      <c r="I14" s="11" t="inlineStr">
        <is>
          <t xml:space="preserve">a statement that reads like the one your bank sends: each account named, where it lives</t>
        </is>
      </c>
      <c r="M14" s="2" t="inlineStr">
        <is>
          <t xml:space="preserve">Where it is held</t>
        </is>
      </c>
      <c r="N14" s="7" t="inlineStr">
        <is>
          <t xml:space="preserve">assetInstitution</t>
        </is>
      </c>
    </row>
    <row r="15">
      <c r="A15" s="10" t="inlineStr">
        <is>
          <t xml:space="preserve">Who holds this account?</t>
        </is>
      </c>
      <c r="C15" s="12"/>
      <c r="D15" s="2" t="inlineStr">
        <is>
          <t xml:space="preserve">text</t>
        </is>
      </c>
      <c r="E15" s="11" t="inlineStr">
        <is>
          <t xml:space="preserve">The bank, the brokerage or the company name. It is only a label, so you can tell two accounts apart.</t>
        </is>
      </c>
      <c r="F15" s="11" t="inlineStr">
        <is>
          <t xml:space="preserve">The top of the statement, or the app you log in to.</t>
        </is>
      </c>
      <c r="G15" s="11" t="inlineStr">
        <is>
          <t xml:space="preserve">A short name is fine: Chase, Fidelity, the credit union.</t>
        </is>
      </c>
      <c r="H15" s="11" t="inlineStr">
        <is>
          <t xml:space="preserve">Leave it blank and the app will call it by its type instead.</t>
        </is>
      </c>
      <c r="I15" s="11" t="inlineStr">
        <is>
          <t xml:space="preserve">a statement that reads like the one your bank sends: each account named, where it lives</t>
        </is>
      </c>
      <c r="M15" s="2" t="inlineStr">
        <is>
          <t xml:space="preserve">Where it is held</t>
        </is>
      </c>
      <c r="N15" s="7" t="inlineStr">
        <is>
          <t xml:space="preserve">assetInstitution</t>
        </is>
      </c>
    </row>
    <row r="16">
      <c r="A16" s="10" t="inlineStr">
        <is>
          <t xml:space="preserve">Who holds this account?</t>
        </is>
      </c>
      <c r="C16" s="12"/>
      <c r="D16" s="2" t="inlineStr">
        <is>
          <t xml:space="preserve">text</t>
        </is>
      </c>
      <c r="E16" s="11" t="inlineStr">
        <is>
          <t xml:space="preserve">The bank, the brokerage or the company name. It is only a label, so you can tell two accounts apart.</t>
        </is>
      </c>
      <c r="F16" s="11" t="inlineStr">
        <is>
          <t xml:space="preserve">The top of the statement, or the app you log in to.</t>
        </is>
      </c>
      <c r="G16" s="11" t="inlineStr">
        <is>
          <t xml:space="preserve">A short name is fine: Chase, Fidelity, the credit union.</t>
        </is>
      </c>
      <c r="H16" s="11" t="inlineStr">
        <is>
          <t xml:space="preserve">Leave it blank and the app will call it by its type instead.</t>
        </is>
      </c>
      <c r="I16" s="11" t="inlineStr">
        <is>
          <t xml:space="preserve">a statement that reads like the one your bank sends: each account named, where it lives</t>
        </is>
      </c>
      <c r="M16" s="2" t="inlineStr">
        <is>
          <t xml:space="preserve">Where it is held</t>
        </is>
      </c>
      <c r="N16" s="7" t="inlineStr">
        <is>
          <t xml:space="preserve">assetInstitution</t>
        </is>
      </c>
    </row>
    <row r="17">
      <c r="A17" s="10" t="inlineStr">
        <is>
          <t xml:space="preserve">What kind of account is this?</t>
        </is>
      </c>
      <c r="C17" s="12"/>
      <c r="D17" s="2" t="inlineStr">
        <is>
          <t xml:space="preserve">a choice</t>
        </is>
      </c>
      <c r="E17" s="11" t="inlineStr">
        <is>
          <t xml:space="preserve">Checking, savings, a 401(k), an IRA, a brokerage account, a house. The type decides the tax rules that apply.</t>
        </is>
      </c>
      <c r="F17" s="11" t="inlineStr">
        <is>
          <t xml:space="preserve">The statement usually says the type right under the name.</t>
        </is>
      </c>
      <c r="G17" s="11" t="inlineStr">
        <is>
          <t xml:space="preserve">If it came from a job and you cannot touch it until you are older, it is a 401(k).</t>
        </is>
      </c>
      <c r="H17" s="11" t="inlineStr">
        <is>
          <t xml:space="preserve">Pick the closest. If it is money you can spend today, it is checking or savings.</t>
        </is>
      </c>
      <c r="I17" s="11" t="inlineStr">
        <is>
          <t xml:space="preserve">the tax wrapper and the pile, set from the name on the statement</t>
        </is>
      </c>
      <c r="J17" s="2" t="inlineStr">
        <is>
          <t xml:space="preserve">blank</t>
        </is>
      </c>
      <c r="M17" s="2" t="inlineStr">
        <is>
          <t xml:space="preserve">Account type</t>
        </is>
      </c>
      <c r="N17" s="7" t="inlineStr">
        <is>
          <t xml:space="preserve">assetAccountType</t>
        </is>
      </c>
    </row>
    <row r="18">
      <c r="A18" s="10" t="inlineStr">
        <is>
          <t xml:space="preserve">What kind of account is this?</t>
        </is>
      </c>
      <c r="C18" s="12"/>
      <c r="D18" s="2" t="inlineStr">
        <is>
          <t xml:space="preserve">a choice</t>
        </is>
      </c>
      <c r="E18" s="11" t="inlineStr">
        <is>
          <t xml:space="preserve">Checking, savings, a 401(k), an IRA, a brokerage account, a house. The type decides the tax rules that apply.</t>
        </is>
      </c>
      <c r="F18" s="11" t="inlineStr">
        <is>
          <t xml:space="preserve">The statement usually says the type right under the name.</t>
        </is>
      </c>
      <c r="G18" s="11" t="inlineStr">
        <is>
          <t xml:space="preserve">If it came from a job and you cannot touch it until you are older, it is a 401(k).</t>
        </is>
      </c>
      <c r="H18" s="11" t="inlineStr">
        <is>
          <t xml:space="preserve">Pick the closest. If it is money you can spend today, it is checking or savings.</t>
        </is>
      </c>
      <c r="I18" s="11" t="inlineStr">
        <is>
          <t xml:space="preserve">the tax wrapper and the pile, set from the name on the statement</t>
        </is>
      </c>
      <c r="M18" s="2" t="inlineStr">
        <is>
          <t xml:space="preserve">Account type</t>
        </is>
      </c>
      <c r="N18" s="7" t="inlineStr">
        <is>
          <t xml:space="preserve">assetAccountType</t>
        </is>
      </c>
    </row>
    <row r="19">
      <c r="A19" s="10" t="inlineStr">
        <is>
          <t xml:space="preserve">What kind of account is this?</t>
        </is>
      </c>
      <c r="C19" s="12"/>
      <c r="D19" s="2" t="inlineStr">
        <is>
          <t xml:space="preserve">a choice</t>
        </is>
      </c>
      <c r="E19" s="11" t="inlineStr">
        <is>
          <t xml:space="preserve">Checking, savings, a 401(k), an IRA, a brokerage account, a house. The type decides the tax rules that apply.</t>
        </is>
      </c>
      <c r="F19" s="11" t="inlineStr">
        <is>
          <t xml:space="preserve">The statement usually says the type right under the name.</t>
        </is>
      </c>
      <c r="G19" s="11" t="inlineStr">
        <is>
          <t xml:space="preserve">If it came from a job and you cannot touch it until you are older, it is a 401(k).</t>
        </is>
      </c>
      <c r="H19" s="11" t="inlineStr">
        <is>
          <t xml:space="preserve">Pick the closest. If it is money you can spend today, it is checking or savings.</t>
        </is>
      </c>
      <c r="I19" s="11" t="inlineStr">
        <is>
          <t xml:space="preserve">the tax wrapper and the pile, set from the name on the statement</t>
        </is>
      </c>
      <c r="M19" s="2" t="inlineStr">
        <is>
          <t xml:space="preserve">Account type</t>
        </is>
      </c>
      <c r="N19" s="7" t="inlineStr">
        <is>
          <t xml:space="preserve">assetAccountType</t>
        </is>
      </c>
    </row>
    <row r="20">
      <c r="A20" s="10" t="inlineStr">
        <is>
          <t xml:space="preserve">What kind of account is this?</t>
        </is>
      </c>
      <c r="C20" s="12"/>
      <c r="D20" s="2" t="inlineStr">
        <is>
          <t xml:space="preserve">a choice</t>
        </is>
      </c>
      <c r="E20" s="11" t="inlineStr">
        <is>
          <t xml:space="preserve">Checking, savings, a 401(k), an IRA, a brokerage account, a house. The type decides the tax rules that apply.</t>
        </is>
      </c>
      <c r="F20" s="11" t="inlineStr">
        <is>
          <t xml:space="preserve">The statement usually says the type right under the name.</t>
        </is>
      </c>
      <c r="G20" s="11" t="inlineStr">
        <is>
          <t xml:space="preserve">If it came from a job and you cannot touch it until you are older, it is a 401(k).</t>
        </is>
      </c>
      <c r="H20" s="11" t="inlineStr">
        <is>
          <t xml:space="preserve">Pick the closest. If it is money you can spend today, it is checking or savings.</t>
        </is>
      </c>
      <c r="I20" s="11" t="inlineStr">
        <is>
          <t xml:space="preserve">the tax wrapper and the pile, set from the name on the statement</t>
        </is>
      </c>
      <c r="M20" s="2" t="inlineStr">
        <is>
          <t xml:space="preserve">Account type</t>
        </is>
      </c>
      <c r="N20" s="7" t="inlineStr">
        <is>
          <t xml:space="preserve">assetAccountType</t>
        </is>
      </c>
    </row>
    <row r="21">
      <c r="A21" s="10" t="inlineStr">
        <is>
          <t xml:space="preserve">What kind of account is this?</t>
        </is>
      </c>
      <c r="C21" s="12"/>
      <c r="D21" s="2" t="inlineStr">
        <is>
          <t xml:space="preserve">a choice</t>
        </is>
      </c>
      <c r="E21" s="11" t="inlineStr">
        <is>
          <t xml:space="preserve">Checking, savings, a 401(k), an IRA, a brokerage account, a house. The type decides the tax rules that apply.</t>
        </is>
      </c>
      <c r="F21" s="11" t="inlineStr">
        <is>
          <t xml:space="preserve">The statement usually says the type right under the name.</t>
        </is>
      </c>
      <c r="G21" s="11" t="inlineStr">
        <is>
          <t xml:space="preserve">If it came from a job and you cannot touch it until you are older, it is a 401(k).</t>
        </is>
      </c>
      <c r="H21" s="11" t="inlineStr">
        <is>
          <t xml:space="preserve">Pick the closest. If it is money you can spend today, it is checking or savings.</t>
        </is>
      </c>
      <c r="I21" s="11" t="inlineStr">
        <is>
          <t xml:space="preserve">the tax wrapper and the pile, set from the name on the statement</t>
        </is>
      </c>
      <c r="M21" s="2" t="inlineStr">
        <is>
          <t xml:space="preserve">Account type</t>
        </is>
      </c>
      <c r="N21" s="7" t="inlineStr">
        <is>
          <t xml:space="preserve">assetAccountType</t>
        </is>
      </c>
    </row>
    <row r="22">
      <c r="A22" s="10" t="inlineStr">
        <is>
          <t xml:space="preserve">When you take money out of this account, is it taxed?</t>
        </is>
      </c>
      <c r="C22" s="12"/>
      <c r="D22" s="2" t="inlineStr">
        <is>
          <t xml:space="preserve">a choice</t>
        </is>
      </c>
      <c r="E22" s="11" t="inlineStr">
        <is>
          <t xml:space="preserve">Three cases: taxed on the way out (most retirement accounts), tax free on the way out (a Roth), or already taxed (cash and ordinary investments).</t>
        </is>
      </c>
      <c r="F22" s="11" t="inlineStr">
        <is>
          <t xml:space="preserve">The account name usually says. Anything with Roth in the name comes out tax free.</t>
        </is>
      </c>
      <c r="G22" s="11" t="inlineStr">
        <is>
          <t xml:space="preserve">A 401(k) or IRA without Roth in the name is taxed on the way out.</t>
        </is>
      </c>
      <c r="H22" s="11" t="inlineStr">
        <is>
          <t xml:space="preserve">Pick already taxed for bank and brokerage money. That is right nearly every time.</t>
        </is>
      </c>
      <c r="I22" s="11" t="inlineStr">
        <is>
          <t xml:space="preserve">reachable money: what you could get to in an emergency, by tax type</t>
        </is>
      </c>
      <c r="J22" s="2" t="inlineStr">
        <is>
          <t xml:space="preserve">blank</t>
        </is>
      </c>
      <c r="M22" s="2" t="inlineStr">
        <is>
          <t xml:space="preserve">How this account is taxed when money comes out</t>
        </is>
      </c>
      <c r="N22" s="7" t="inlineStr">
        <is>
          <t xml:space="preserve">assetCharacter</t>
        </is>
      </c>
    </row>
    <row r="23">
      <c r="A23" s="10" t="inlineStr">
        <is>
          <t xml:space="preserve">When you take money out of this account, is it taxed?</t>
        </is>
      </c>
      <c r="C23" s="12"/>
      <c r="D23" s="2" t="inlineStr">
        <is>
          <t xml:space="preserve">a choice</t>
        </is>
      </c>
      <c r="E23" s="11" t="inlineStr">
        <is>
          <t xml:space="preserve">Three cases: taxed on the way out (most retirement accounts), tax free on the way out (a Roth), or already taxed (cash and ordinary investments).</t>
        </is>
      </c>
      <c r="F23" s="11" t="inlineStr">
        <is>
          <t xml:space="preserve">The account name usually says. Anything with Roth in the name comes out tax free.</t>
        </is>
      </c>
      <c r="G23" s="11" t="inlineStr">
        <is>
          <t xml:space="preserve">A 401(k) or IRA without Roth in the name is taxed on the way out.</t>
        </is>
      </c>
      <c r="H23" s="11" t="inlineStr">
        <is>
          <t xml:space="preserve">Pick already taxed for bank and brokerage money. That is right nearly every time.</t>
        </is>
      </c>
      <c r="I23" s="11" t="inlineStr">
        <is>
          <t xml:space="preserve">reachable money: what you could get to in an emergency, by tax type</t>
        </is>
      </c>
      <c r="M23" s="2" t="inlineStr">
        <is>
          <t xml:space="preserve">How this account is taxed when money comes out</t>
        </is>
      </c>
      <c r="N23" s="7" t="inlineStr">
        <is>
          <t xml:space="preserve">assetCharacter</t>
        </is>
      </c>
    </row>
    <row r="24">
      <c r="A24" s="10" t="inlineStr">
        <is>
          <t xml:space="preserve">When you take money out of this account, is it taxed?</t>
        </is>
      </c>
      <c r="C24" s="12"/>
      <c r="D24" s="2" t="inlineStr">
        <is>
          <t xml:space="preserve">a choice</t>
        </is>
      </c>
      <c r="E24" s="11" t="inlineStr">
        <is>
          <t xml:space="preserve">Three cases: taxed on the way out (most retirement accounts), tax free on the way out (a Roth), or already taxed (cash and ordinary investments).</t>
        </is>
      </c>
      <c r="F24" s="11" t="inlineStr">
        <is>
          <t xml:space="preserve">The account name usually says. Anything with Roth in the name comes out tax free.</t>
        </is>
      </c>
      <c r="G24" s="11" t="inlineStr">
        <is>
          <t xml:space="preserve">A 401(k) or IRA without Roth in the name is taxed on the way out.</t>
        </is>
      </c>
      <c r="H24" s="11" t="inlineStr">
        <is>
          <t xml:space="preserve">Pick already taxed for bank and brokerage money. That is right nearly every time.</t>
        </is>
      </c>
      <c r="I24" s="11" t="inlineStr">
        <is>
          <t xml:space="preserve">reachable money: what you could get to in an emergency, by tax type</t>
        </is>
      </c>
      <c r="M24" s="2" t="inlineStr">
        <is>
          <t xml:space="preserve">How this account is taxed when money comes out</t>
        </is>
      </c>
      <c r="N24" s="7" t="inlineStr">
        <is>
          <t xml:space="preserve">assetCharacter</t>
        </is>
      </c>
    </row>
    <row r="25">
      <c r="A25" s="10" t="inlineStr">
        <is>
          <t xml:space="preserve">When you take money out of this account, is it taxed?</t>
        </is>
      </c>
      <c r="C25" s="12"/>
      <c r="D25" s="2" t="inlineStr">
        <is>
          <t xml:space="preserve">a choice</t>
        </is>
      </c>
      <c r="E25" s="11" t="inlineStr">
        <is>
          <t xml:space="preserve">Three cases: taxed on the way out (most retirement accounts), tax free on the way out (a Roth), or already taxed (cash and ordinary investments).</t>
        </is>
      </c>
      <c r="F25" s="11" t="inlineStr">
        <is>
          <t xml:space="preserve">The account name usually says. Anything with Roth in the name comes out tax free.</t>
        </is>
      </c>
      <c r="G25" s="11" t="inlineStr">
        <is>
          <t xml:space="preserve">A 401(k) or IRA without Roth in the name is taxed on the way out.</t>
        </is>
      </c>
      <c r="H25" s="11" t="inlineStr">
        <is>
          <t xml:space="preserve">Pick already taxed for bank and brokerage money. That is right nearly every time.</t>
        </is>
      </c>
      <c r="I25" s="11" t="inlineStr">
        <is>
          <t xml:space="preserve">reachable money: what you could get to in an emergency, by tax type</t>
        </is>
      </c>
      <c r="M25" s="2" t="inlineStr">
        <is>
          <t xml:space="preserve">How this account is taxed when money comes out</t>
        </is>
      </c>
      <c r="N25" s="7" t="inlineStr">
        <is>
          <t xml:space="preserve">assetCharacter</t>
        </is>
      </c>
    </row>
    <row r="26">
      <c r="A26" s="10" t="inlineStr">
        <is>
          <t xml:space="preserve">When you take money out of this account, is it taxed?</t>
        </is>
      </c>
      <c r="C26" s="12"/>
      <c r="D26" s="2" t="inlineStr">
        <is>
          <t xml:space="preserve">a choice</t>
        </is>
      </c>
      <c r="E26" s="11" t="inlineStr">
        <is>
          <t xml:space="preserve">Three cases: taxed on the way out (most retirement accounts), tax free on the way out (a Roth), or already taxed (cash and ordinary investments).</t>
        </is>
      </c>
      <c r="F26" s="11" t="inlineStr">
        <is>
          <t xml:space="preserve">The account name usually says. Anything with Roth in the name comes out tax free.</t>
        </is>
      </c>
      <c r="G26" s="11" t="inlineStr">
        <is>
          <t xml:space="preserve">A 401(k) or IRA without Roth in the name is taxed on the way out.</t>
        </is>
      </c>
      <c r="H26" s="11" t="inlineStr">
        <is>
          <t xml:space="preserve">Pick already taxed for bank and brokerage money. That is right nearly every time.</t>
        </is>
      </c>
      <c r="I26" s="11" t="inlineStr">
        <is>
          <t xml:space="preserve">reachable money: what you could get to in an emergency, by tax type</t>
        </is>
      </c>
      <c r="M26" s="2" t="inlineStr">
        <is>
          <t xml:space="preserve">How this account is taxed when money comes out</t>
        </is>
      </c>
      <c r="N26" s="7" t="inlineStr">
        <is>
          <t xml:space="preserve">assetCharacter</t>
        </is>
      </c>
    </row>
    <row r="27">
      <c r="A27" s="10" t="inlineStr">
        <is>
          <t xml:space="preserve">Which pile does this belong in: cash, investments, retirement, or property?</t>
        </is>
      </c>
      <c r="C27" s="12"/>
      <c r="D27" s="2" t="inlineStr">
        <is>
          <t xml:space="preserve">a choice</t>
        </is>
      </c>
      <c r="E27" s="11" t="inlineStr">
        <is>
          <t xml:space="preserve">It sets how quickly the money can be reached. Cash is today, retirement may cost a penalty, property takes months.</t>
        </is>
      </c>
      <c r="F27" s="11" t="inlineStr">
        <is>
          <t xml:space="preserve">Nothing to look up.</t>
        </is>
      </c>
      <c r="G27" s="11" t="inlineStr">
        <is>
          <t xml:space="preserve">If you can spend it this week it is cash. If it is for later it is retirement.</t>
        </is>
      </c>
      <c r="H27" s="11" t="inlineStr">
        <is>
          <t xml:space="preserve">Pick investments for anything in a brokerage account.</t>
        </is>
      </c>
      <c r="I27" s="11" t="inlineStr">
        <is>
          <t xml:space="preserve">the liquidity ladder: cash, taxable, retirement, property</t>
        </is>
      </c>
      <c r="J27" s="2" t="inlineStr">
        <is>
          <t xml:space="preserve">blank</t>
        </is>
      </c>
      <c r="M27" s="2" t="inlineStr">
        <is>
          <t xml:space="preserve">Which pile it belongs to: cash, taxable, retirement, property</t>
        </is>
      </c>
      <c r="N27" s="7" t="inlineStr">
        <is>
          <t xml:space="preserve">assetTier</t>
        </is>
      </c>
    </row>
    <row r="28">
      <c r="A28" s="10" t="inlineStr">
        <is>
          <t xml:space="preserve">Which pile does this belong in: cash, investments, retirement, or property?</t>
        </is>
      </c>
      <c r="C28" s="12"/>
      <c r="D28" s="2" t="inlineStr">
        <is>
          <t xml:space="preserve">a choice</t>
        </is>
      </c>
      <c r="E28" s="11" t="inlineStr">
        <is>
          <t xml:space="preserve">It sets how quickly the money can be reached. Cash is today, retirement may cost a penalty, property takes months.</t>
        </is>
      </c>
      <c r="F28" s="11" t="inlineStr">
        <is>
          <t xml:space="preserve">Nothing to look up.</t>
        </is>
      </c>
      <c r="G28" s="11" t="inlineStr">
        <is>
          <t xml:space="preserve">If you can spend it this week it is cash. If it is for later it is retirement.</t>
        </is>
      </c>
      <c r="H28" s="11" t="inlineStr">
        <is>
          <t xml:space="preserve">Pick investments for anything in a brokerage account.</t>
        </is>
      </c>
      <c r="I28" s="11" t="inlineStr">
        <is>
          <t xml:space="preserve">the liquidity ladder: cash, taxable, retirement, property</t>
        </is>
      </c>
      <c r="M28" s="2" t="inlineStr">
        <is>
          <t xml:space="preserve">Which pile it belongs to: cash, taxable, retirement, property</t>
        </is>
      </c>
      <c r="N28" s="7" t="inlineStr">
        <is>
          <t xml:space="preserve">assetTier</t>
        </is>
      </c>
    </row>
    <row r="29">
      <c r="A29" s="10" t="inlineStr">
        <is>
          <t xml:space="preserve">Which pile does this belong in: cash, investments, retirement, or property?</t>
        </is>
      </c>
      <c r="C29" s="12"/>
      <c r="D29" s="2" t="inlineStr">
        <is>
          <t xml:space="preserve">a choice</t>
        </is>
      </c>
      <c r="E29" s="11" t="inlineStr">
        <is>
          <t xml:space="preserve">It sets how quickly the money can be reached. Cash is today, retirement may cost a penalty, property takes months.</t>
        </is>
      </c>
      <c r="F29" s="11" t="inlineStr">
        <is>
          <t xml:space="preserve">Nothing to look up.</t>
        </is>
      </c>
      <c r="G29" s="11" t="inlineStr">
        <is>
          <t xml:space="preserve">If you can spend it this week it is cash. If it is for later it is retirement.</t>
        </is>
      </c>
      <c r="H29" s="11" t="inlineStr">
        <is>
          <t xml:space="preserve">Pick investments for anything in a brokerage account.</t>
        </is>
      </c>
      <c r="I29" s="11" t="inlineStr">
        <is>
          <t xml:space="preserve">the liquidity ladder: cash, taxable, retirement, property</t>
        </is>
      </c>
      <c r="M29" s="2" t="inlineStr">
        <is>
          <t xml:space="preserve">Which pile it belongs to: cash, taxable, retirement, property</t>
        </is>
      </c>
      <c r="N29" s="7" t="inlineStr">
        <is>
          <t xml:space="preserve">assetTier</t>
        </is>
      </c>
    </row>
    <row r="30">
      <c r="A30" s="10" t="inlineStr">
        <is>
          <t xml:space="preserve">Which pile does this belong in: cash, investments, retirement, or property?</t>
        </is>
      </c>
      <c r="C30" s="12"/>
      <c r="D30" s="2" t="inlineStr">
        <is>
          <t xml:space="preserve">a choice</t>
        </is>
      </c>
      <c r="E30" s="11" t="inlineStr">
        <is>
          <t xml:space="preserve">It sets how quickly the money can be reached. Cash is today, retirement may cost a penalty, property takes months.</t>
        </is>
      </c>
      <c r="F30" s="11" t="inlineStr">
        <is>
          <t xml:space="preserve">Nothing to look up.</t>
        </is>
      </c>
      <c r="G30" s="11" t="inlineStr">
        <is>
          <t xml:space="preserve">If you can spend it this week it is cash. If it is for later it is retirement.</t>
        </is>
      </c>
      <c r="H30" s="11" t="inlineStr">
        <is>
          <t xml:space="preserve">Pick investments for anything in a brokerage account.</t>
        </is>
      </c>
      <c r="I30" s="11" t="inlineStr">
        <is>
          <t xml:space="preserve">the liquidity ladder: cash, taxable, retirement, property</t>
        </is>
      </c>
      <c r="M30" s="2" t="inlineStr">
        <is>
          <t xml:space="preserve">Which pile it belongs to: cash, taxable, retirement, property</t>
        </is>
      </c>
      <c r="N30" s="7" t="inlineStr">
        <is>
          <t xml:space="preserve">assetTier</t>
        </is>
      </c>
    </row>
    <row r="31">
      <c r="A31" s="10" t="inlineStr">
        <is>
          <t xml:space="preserve">Which pile does this belong in: cash, investments, retirement, or property?</t>
        </is>
      </c>
      <c r="C31" s="12"/>
      <c r="D31" s="2" t="inlineStr">
        <is>
          <t xml:space="preserve">a choice</t>
        </is>
      </c>
      <c r="E31" s="11" t="inlineStr">
        <is>
          <t xml:space="preserve">It sets how quickly the money can be reached. Cash is today, retirement may cost a penalty, property takes months.</t>
        </is>
      </c>
      <c r="F31" s="11" t="inlineStr">
        <is>
          <t xml:space="preserve">Nothing to look up.</t>
        </is>
      </c>
      <c r="G31" s="11" t="inlineStr">
        <is>
          <t xml:space="preserve">If you can spend it this week it is cash. If it is for later it is retirement.</t>
        </is>
      </c>
      <c r="H31" s="11" t="inlineStr">
        <is>
          <t xml:space="preserve">Pick investments for anything in a brokerage account.</t>
        </is>
      </c>
      <c r="I31" s="11" t="inlineStr">
        <is>
          <t xml:space="preserve">the liquidity ladder: cash, taxable, retirement, property</t>
        </is>
      </c>
      <c r="M31" s="2" t="inlineStr">
        <is>
          <t xml:space="preserve">Which pile it belongs to: cash, taxable, retirement, property</t>
        </is>
      </c>
      <c r="N31" s="7" t="inlineStr">
        <is>
          <t xml:space="preserve">assetTier</t>
        </is>
      </c>
    </row>
    <row r="32">
      <c r="A32" s="10" t="inlineStr">
        <is>
          <t xml:space="preserve">How sure are you that it is worth that?</t>
        </is>
      </c>
      <c r="C32" s="12"/>
      <c r="D32" s="2" t="inlineStr">
        <is>
          <t xml:space="preserve">a choice</t>
        </is>
      </c>
      <c r="E32" s="11" t="inlineStr">
        <is>
          <t xml:space="preserve">A bank balance is exact. A house is a guess. The app shows a guess differently, so you know what you are looking at.</t>
        </is>
      </c>
      <c r="F32" s="11" t="inlineStr">
        <is>
          <t xml:space="preserve">Nothing to look up.</t>
        </is>
      </c>
      <c r="G32" s="11" t="inlineStr">
        <is>
          <t xml:space="preserve">Exact for anything you read off a statement, a guess for anything you valued yourself.</t>
        </is>
      </c>
      <c r="H32" s="11" t="inlineStr">
        <is>
          <t xml:space="preserve">Pick a guess. Nothing is lost by being honest.</t>
        </is>
      </c>
      <c r="I32" s="11" t="inlineStr">
        <is>
          <t xml:space="preserve">a net worth that counts only what you are sure of</t>
        </is>
      </c>
      <c r="J32" s="2" t="inlineStr">
        <is>
          <t xml:space="preserve">blank</t>
        </is>
      </c>
      <c r="M32" s="2" t="inlineStr">
        <is>
          <t xml:space="preserve">How sure you are it is worth that</t>
        </is>
      </c>
      <c r="N32" s="7" t="inlineStr">
        <is>
          <t xml:space="preserve">assetConfidence</t>
        </is>
      </c>
    </row>
    <row r="33">
      <c r="A33" s="10" t="inlineStr">
        <is>
          <t xml:space="preserve">How sure are you that it is worth that?</t>
        </is>
      </c>
      <c r="C33" s="12"/>
      <c r="D33" s="2" t="inlineStr">
        <is>
          <t xml:space="preserve">a choice</t>
        </is>
      </c>
      <c r="E33" s="11" t="inlineStr">
        <is>
          <t xml:space="preserve">A bank balance is exact. A house is a guess. The app shows a guess differently, so you know what you are looking at.</t>
        </is>
      </c>
      <c r="F33" s="11" t="inlineStr">
        <is>
          <t xml:space="preserve">Nothing to look up.</t>
        </is>
      </c>
      <c r="G33" s="11" t="inlineStr">
        <is>
          <t xml:space="preserve">Exact for anything you read off a statement, a guess for anything you valued yourself.</t>
        </is>
      </c>
      <c r="H33" s="11" t="inlineStr">
        <is>
          <t xml:space="preserve">Pick a guess. Nothing is lost by being honest.</t>
        </is>
      </c>
      <c r="I33" s="11" t="inlineStr">
        <is>
          <t xml:space="preserve">a net worth that counts only what you are sure of</t>
        </is>
      </c>
      <c r="M33" s="2" t="inlineStr">
        <is>
          <t xml:space="preserve">How sure you are it is worth that</t>
        </is>
      </c>
      <c r="N33" s="7" t="inlineStr">
        <is>
          <t xml:space="preserve">assetConfidence</t>
        </is>
      </c>
    </row>
    <row r="34">
      <c r="A34" s="10" t="inlineStr">
        <is>
          <t xml:space="preserve">How sure are you that it is worth that?</t>
        </is>
      </c>
      <c r="C34" s="12"/>
      <c r="D34" s="2" t="inlineStr">
        <is>
          <t xml:space="preserve">a choice</t>
        </is>
      </c>
      <c r="E34" s="11" t="inlineStr">
        <is>
          <t xml:space="preserve">A bank balance is exact. A house is a guess. The app shows a guess differently, so you know what you are looking at.</t>
        </is>
      </c>
      <c r="F34" s="11" t="inlineStr">
        <is>
          <t xml:space="preserve">Nothing to look up.</t>
        </is>
      </c>
      <c r="G34" s="11" t="inlineStr">
        <is>
          <t xml:space="preserve">Exact for anything you read off a statement, a guess for anything you valued yourself.</t>
        </is>
      </c>
      <c r="H34" s="11" t="inlineStr">
        <is>
          <t xml:space="preserve">Pick a guess. Nothing is lost by being honest.</t>
        </is>
      </c>
      <c r="I34" s="11" t="inlineStr">
        <is>
          <t xml:space="preserve">a net worth that counts only what you are sure of</t>
        </is>
      </c>
      <c r="M34" s="2" t="inlineStr">
        <is>
          <t xml:space="preserve">How sure you are it is worth that</t>
        </is>
      </c>
      <c r="N34" s="7" t="inlineStr">
        <is>
          <t xml:space="preserve">assetConfidence</t>
        </is>
      </c>
    </row>
    <row r="35">
      <c r="A35" s="10" t="inlineStr">
        <is>
          <t xml:space="preserve">How sure are you that it is worth that?</t>
        </is>
      </c>
      <c r="C35" s="12"/>
      <c r="D35" s="2" t="inlineStr">
        <is>
          <t xml:space="preserve">a choice</t>
        </is>
      </c>
      <c r="E35" s="11" t="inlineStr">
        <is>
          <t xml:space="preserve">A bank balance is exact. A house is a guess. The app shows a guess differently, so you know what you are looking at.</t>
        </is>
      </c>
      <c r="F35" s="11" t="inlineStr">
        <is>
          <t xml:space="preserve">Nothing to look up.</t>
        </is>
      </c>
      <c r="G35" s="11" t="inlineStr">
        <is>
          <t xml:space="preserve">Exact for anything you read off a statement, a guess for anything you valued yourself.</t>
        </is>
      </c>
      <c r="H35" s="11" t="inlineStr">
        <is>
          <t xml:space="preserve">Pick a guess. Nothing is lost by being honest.</t>
        </is>
      </c>
      <c r="I35" s="11" t="inlineStr">
        <is>
          <t xml:space="preserve">a net worth that counts only what you are sure of</t>
        </is>
      </c>
      <c r="M35" s="2" t="inlineStr">
        <is>
          <t xml:space="preserve">How sure you are it is worth that</t>
        </is>
      </c>
      <c r="N35" s="7" t="inlineStr">
        <is>
          <t xml:space="preserve">assetConfidence</t>
        </is>
      </c>
    </row>
    <row r="36">
      <c r="A36" s="10" t="inlineStr">
        <is>
          <t xml:space="preserve">How sure are you that it is worth that?</t>
        </is>
      </c>
      <c r="C36" s="12"/>
      <c r="D36" s="2" t="inlineStr">
        <is>
          <t xml:space="preserve">a choice</t>
        </is>
      </c>
      <c r="E36" s="11" t="inlineStr">
        <is>
          <t xml:space="preserve">A bank balance is exact. A house is a guess. The app shows a guess differently, so you know what you are looking at.</t>
        </is>
      </c>
      <c r="F36" s="11" t="inlineStr">
        <is>
          <t xml:space="preserve">Nothing to look up.</t>
        </is>
      </c>
      <c r="G36" s="11" t="inlineStr">
        <is>
          <t xml:space="preserve">Exact for anything you read off a statement, a guess for anything you valued yourself.</t>
        </is>
      </c>
      <c r="H36" s="11" t="inlineStr">
        <is>
          <t xml:space="preserve">Pick a guess. Nothing is lost by being honest.</t>
        </is>
      </c>
      <c r="I36" s="11" t="inlineStr">
        <is>
          <t xml:space="preserve">a net worth that counts only what you are sure of</t>
        </is>
      </c>
      <c r="M36" s="2" t="inlineStr">
        <is>
          <t xml:space="preserve">How sure you are it is worth that</t>
        </is>
      </c>
      <c r="N36" s="7" t="inlineStr">
        <is>
          <t xml:space="preserve">assetConfidence</t>
        </is>
      </c>
    </row>
    <row r="37">
      <c r="A37" s="10" t="inlineStr">
        <is>
          <t xml:space="preserve">Property and other things owned</t>
        </is>
      </c>
      <c r="C37" s="18">
        <f>SUMIF(assetKind,"real_estate",assetValue)+SUMIF(assetKind,"vehicle",assetValue)+SUMIF(assetKind,"other",assetValue)</f>
      </c>
      <c r="D37" s="2" t="inlineStr">
        <is>
          <t xml:space="preserve">dollars</t>
        </is>
      </c>
      <c r="E37" s="11" t="inlineStr">
        <is>
          <t xml:space="preserve">The sheet works this out: the value of every account or thing owned that is not cash and not invested, added up.</t>
        </is>
      </c>
      <c r="I37" s="11" t="inlineStr">
        <is>
          <t xml:space="preserve">net worth with property counted (and shown, never counted, as reachable)</t>
        </is>
      </c>
      <c r="J37" s="2" t="inlineStr">
        <is>
          <t xml:space="preserve">worked out</t>
        </is>
      </c>
      <c r="M37" s="2" t="inlineStr">
        <is>
          <t xml:space="preserve">Property and other things owned</t>
        </is>
      </c>
      <c r="N37" s="7" t="inlineStr">
        <is>
          <t xml:space="preserve">otherAssets</t>
        </is>
      </c>
    </row>
    <row r="38">
      <c r="A38" s="10" t="inlineStr">
        <is>
          <t xml:space="preserve">Is your health plan a high-deductible one?</t>
        </is>
      </c>
      <c r="C38" s="12"/>
      <c r="D38" s="2" t="inlineStr">
        <is>
          <t xml:space="preserve">yes or no</t>
        </is>
      </c>
      <c r="E38" s="11" t="inlineStr">
        <is>
          <t xml:space="preserve">A plan with a big deductible that lets you use a health savings account (an HSA).</t>
        </is>
      </c>
      <c r="F38" s="11" t="inlineStr">
        <is>
          <t xml:space="preserve">Your plan summary. It will say high deductible, or HSA eligible.</t>
        </is>
      </c>
      <c r="G38" s="11" t="inlineStr">
        <is>
          <t xml:space="preserve">If you have an HSA, the answer is yes.</t>
        </is>
      </c>
      <c r="H38" s="11" t="inlineStr">
        <is>
          <t xml:space="preserve">Answer no. Only the HSA limit uses it.</t>
        </is>
      </c>
      <c r="I38" s="11" t="inlineStr">
        <is>
          <t xml:space="preserve">whether an HSA is open to you at all</t>
        </is>
      </c>
      <c r="J38" s="2" t="inlineStr">
        <is>
          <t xml:space="preserve">blank</t>
        </is>
      </c>
      <c r="M38" s="2" t="inlineStr">
        <is>
          <t xml:space="preserve">On a high-deductible health plan</t>
        </is>
      </c>
      <c r="N38" s="7" t="inlineStr">
        <is>
          <t xml:space="preserve">onHdhp</t>
        </is>
      </c>
    </row>
    <row r="39">
      <c r="A39" s="10" t="inlineStr">
        <is>
          <t xml:space="preserve">How much of your own money did you put into this account?</t>
        </is>
      </c>
      <c r="C39" s="13"/>
      <c r="D39" s="2" t="inlineStr">
        <is>
          <t xml:space="preserve">dollars</t>
        </is>
      </c>
      <c r="E39" s="11" t="inlineStr">
        <is>
          <t xml:space="preserve">The money you put in yourself, not what it has grown to. It decides how much tax is owed when you sell.</t>
        </is>
      </c>
      <c r="F39" s="11" t="inlineStr">
        <is>
          <t xml:space="preserve">A taxable account: the brokerage app, positions, the column called cost basis; the total row is the account’s. A Roth IRA: everything you have ever contributed, on the Form 5498 the custodian sends each year or its contribution records online.</t>
        </is>
      </c>
      <c r="G39" s="11" t="inlineStr">
        <is>
          <t xml:space="preserve">Taxable: type 70% of the current value. Roth: what you remember putting in, roughly for now.</t>
        </is>
      </c>
      <c r="H39" s="11" t="inlineStr">
        <is>
          <t xml:space="preserve">Leave it blank. The app will say it cannot work out the tax yet, rather than guess.</t>
        </is>
      </c>
      <c r="I39" s="11" t="inlineStr">
        <is>
          <t xml:space="preserve">the tax on pulling money from a taxable account, and the Roth contributions you can take back before 59½</t>
        </is>
      </c>
      <c r="J39" s="2" t="inlineStr">
        <is>
          <t xml:space="preserve">blank</t>
        </is>
      </c>
      <c r="M39" s="2" t="inlineStr">
        <is>
          <t xml:space="preserve">What you paid in (the cost basis), or a Roth’s contributions</t>
        </is>
      </c>
      <c r="N39" s="7" t="inlineStr">
        <is>
          <t xml:space="preserve">assetCostBasis</t>
        </is>
      </c>
    </row>
    <row r="40">
      <c r="A40" s="10" t="inlineStr">
        <is>
          <t xml:space="preserve">How much of your own money did you put into this account?</t>
        </is>
      </c>
      <c r="C40" s="13"/>
      <c r="D40" s="2" t="inlineStr">
        <is>
          <t xml:space="preserve">dollars</t>
        </is>
      </c>
      <c r="E40" s="11" t="inlineStr">
        <is>
          <t xml:space="preserve">The money you put in yourself, not what it has grown to. It decides how much tax is owed when you sell.</t>
        </is>
      </c>
      <c r="F40" s="11" t="inlineStr">
        <is>
          <t xml:space="preserve">A taxable account: the brokerage app, positions, the column called cost basis; the total row is the account’s. A Roth IRA: everything you have ever contributed, on the Form 5498 the custodian sends each year or its contribution records online.</t>
        </is>
      </c>
      <c r="G40" s="11" t="inlineStr">
        <is>
          <t xml:space="preserve">Taxable: type 70% of the current value. Roth: what you remember putting in, roughly for now.</t>
        </is>
      </c>
      <c r="H40" s="11" t="inlineStr">
        <is>
          <t xml:space="preserve">Leave it blank. The app will say it cannot work out the tax yet, rather than guess.</t>
        </is>
      </c>
      <c r="I40" s="11" t="inlineStr">
        <is>
          <t xml:space="preserve">the tax on pulling money from a taxable account, and the Roth contributions you can take back before 59½</t>
        </is>
      </c>
      <c r="M40" s="2" t="inlineStr">
        <is>
          <t xml:space="preserve">What you paid in (the cost basis), or a Roth’s contributions</t>
        </is>
      </c>
      <c r="N40" s="7" t="inlineStr">
        <is>
          <t xml:space="preserve">assetCostBasis</t>
        </is>
      </c>
    </row>
    <row r="41">
      <c r="A41" s="10" t="inlineStr">
        <is>
          <t xml:space="preserve">How much of your own money did you put into this account?</t>
        </is>
      </c>
      <c r="C41" s="13"/>
      <c r="D41" s="2" t="inlineStr">
        <is>
          <t xml:space="preserve">dollars</t>
        </is>
      </c>
      <c r="E41" s="11" t="inlineStr">
        <is>
          <t xml:space="preserve">The money you put in yourself, not what it has grown to. It decides how much tax is owed when you sell.</t>
        </is>
      </c>
      <c r="F41" s="11" t="inlineStr">
        <is>
          <t xml:space="preserve">A taxable account: the brokerage app, positions, the column called cost basis; the total row is the account’s. A Roth IRA: everything you have ever contributed, on the Form 5498 the custodian sends each year or its contribution records online.</t>
        </is>
      </c>
      <c r="G41" s="11" t="inlineStr">
        <is>
          <t xml:space="preserve">Taxable: type 70% of the current value. Roth: what you remember putting in, roughly for now.</t>
        </is>
      </c>
      <c r="H41" s="11" t="inlineStr">
        <is>
          <t xml:space="preserve">Leave it blank. The app will say it cannot work out the tax yet, rather than guess.</t>
        </is>
      </c>
      <c r="I41" s="11" t="inlineStr">
        <is>
          <t xml:space="preserve">the tax on pulling money from a taxable account, and the Roth contributions you can take back before 59½</t>
        </is>
      </c>
      <c r="M41" s="2" t="inlineStr">
        <is>
          <t xml:space="preserve">What you paid in (the cost basis), or a Roth’s contributions</t>
        </is>
      </c>
      <c r="N41" s="7" t="inlineStr">
        <is>
          <t xml:space="preserve">assetCostBasis</t>
        </is>
      </c>
    </row>
    <row r="42">
      <c r="A42" s="10" t="inlineStr">
        <is>
          <t xml:space="preserve">How much of your own money did you put into this account?</t>
        </is>
      </c>
      <c r="C42" s="13"/>
      <c r="D42" s="2" t="inlineStr">
        <is>
          <t xml:space="preserve">dollars</t>
        </is>
      </c>
      <c r="E42" s="11" t="inlineStr">
        <is>
          <t xml:space="preserve">The money you put in yourself, not what it has grown to. It decides how much tax is owed when you sell.</t>
        </is>
      </c>
      <c r="F42" s="11" t="inlineStr">
        <is>
          <t xml:space="preserve">A taxable account: the brokerage app, positions, the column called cost basis; the total row is the account’s. A Roth IRA: everything you have ever contributed, on the Form 5498 the custodian sends each year or its contribution records online.</t>
        </is>
      </c>
      <c r="G42" s="11" t="inlineStr">
        <is>
          <t xml:space="preserve">Taxable: type 70% of the current value. Roth: what you remember putting in, roughly for now.</t>
        </is>
      </c>
      <c r="H42" s="11" t="inlineStr">
        <is>
          <t xml:space="preserve">Leave it blank. The app will say it cannot work out the tax yet, rather than guess.</t>
        </is>
      </c>
      <c r="I42" s="11" t="inlineStr">
        <is>
          <t xml:space="preserve">the tax on pulling money from a taxable account, and the Roth contributions you can take back before 59½</t>
        </is>
      </c>
      <c r="M42" s="2" t="inlineStr">
        <is>
          <t xml:space="preserve">What you paid in (the cost basis), or a Roth’s contributions</t>
        </is>
      </c>
      <c r="N42" s="7" t="inlineStr">
        <is>
          <t xml:space="preserve">assetCostBasis</t>
        </is>
      </c>
    </row>
    <row r="43">
      <c r="A43" s="10" t="inlineStr">
        <is>
          <t xml:space="preserve">How much of your own money did you put into this account?</t>
        </is>
      </c>
      <c r="C43" s="13"/>
      <c r="D43" s="2" t="inlineStr">
        <is>
          <t xml:space="preserve">dollars</t>
        </is>
      </c>
      <c r="E43" s="11" t="inlineStr">
        <is>
          <t xml:space="preserve">The money you put in yourself, not what it has grown to. It decides how much tax is owed when you sell.</t>
        </is>
      </c>
      <c r="F43" s="11" t="inlineStr">
        <is>
          <t xml:space="preserve">A taxable account: the brokerage app, positions, the column called cost basis; the total row is the account’s. A Roth IRA: everything you have ever contributed, on the Form 5498 the custodian sends each year or its contribution records online.</t>
        </is>
      </c>
      <c r="G43" s="11" t="inlineStr">
        <is>
          <t xml:space="preserve">Taxable: type 70% of the current value. Roth: what you remember putting in, roughly for now.</t>
        </is>
      </c>
      <c r="H43" s="11" t="inlineStr">
        <is>
          <t xml:space="preserve">Leave it blank. The app will say it cannot work out the tax yet, rather than guess.</t>
        </is>
      </c>
      <c r="I43" s="11" t="inlineStr">
        <is>
          <t xml:space="preserve">the tax on pulling money from a taxable account, and the Roth contributions you can take back before 59½</t>
        </is>
      </c>
      <c r="M43" s="2" t="inlineStr">
        <is>
          <t xml:space="preserve">What you paid in (the cost basis), or a Roth’s contributions</t>
        </is>
      </c>
      <c r="N43" s="7" t="inlineStr">
        <is>
          <t xml:space="preserve">assetCostBasis</t>
        </is>
      </c>
    </row>
    <row r="44">
      <c r="A44" s="10" t="inlineStr">
        <is>
          <t xml:space="preserve">Does this pay you anything each month?</t>
        </is>
      </c>
      <c r="C44" s="13"/>
      <c r="D44" s="2" t="inlineStr">
        <is>
          <t xml:space="preserve">dollars</t>
        </is>
      </c>
      <c r="E44" s="11" t="inlineStr">
        <is>
          <t xml:space="preserve">Rent, dividends or interest this thing pays you in a normal month.</t>
        </is>
      </c>
      <c r="F44" s="11" t="inlineStr">
        <is>
          <t xml:space="preserve">A rental or a business: what it pays you a month after its own costs. An account that pays nothing out: leave it blank.</t>
        </is>
      </c>
      <c r="G44" s="11" t="inlineStr">
        <is>
          <t xml:space="preserve">Rent minus the mortgage payment, to the nearest hundred.</t>
        </is>
      </c>
      <c r="H44" s="11" t="inlineStr">
        <is>
          <t xml:space="preserve">Put 0 if nothing arrives. Most accounts pay nothing until you sell.</t>
        </is>
      </c>
      <c r="I44" s="11" t="inlineStr">
        <is>
          <t xml:space="preserve">the income line of the three documents, and whether a property carries itself</t>
        </is>
      </c>
      <c r="J44" s="2" t="inlineStr">
        <is>
          <t xml:space="preserve">blank</t>
        </is>
      </c>
      <c r="M44" s="2" t="inlineStr">
        <is>
          <t xml:space="preserve">Cash it throws off, a month</t>
        </is>
      </c>
      <c r="N44" s="7" t="inlineStr">
        <is>
          <t xml:space="preserve">assetCashFlow</t>
        </is>
      </c>
    </row>
    <row r="45">
      <c r="A45" s="10" t="inlineStr">
        <is>
          <t xml:space="preserve">Does this pay you anything each month?</t>
        </is>
      </c>
      <c r="C45" s="13"/>
      <c r="D45" s="2" t="inlineStr">
        <is>
          <t xml:space="preserve">dollars</t>
        </is>
      </c>
      <c r="E45" s="11" t="inlineStr">
        <is>
          <t xml:space="preserve">Rent, dividends or interest this thing pays you in a normal month.</t>
        </is>
      </c>
      <c r="F45" s="11" t="inlineStr">
        <is>
          <t xml:space="preserve">A rental or a business: what it pays you a month after its own costs. An account that pays nothing out: leave it blank.</t>
        </is>
      </c>
      <c r="G45" s="11" t="inlineStr">
        <is>
          <t xml:space="preserve">Rent minus the mortgage payment, to the nearest hundred.</t>
        </is>
      </c>
      <c r="H45" s="11" t="inlineStr">
        <is>
          <t xml:space="preserve">Put 0 if nothing arrives. Most accounts pay nothing until you sell.</t>
        </is>
      </c>
      <c r="I45" s="11" t="inlineStr">
        <is>
          <t xml:space="preserve">the income line of the three documents, and whether a property carries itself</t>
        </is>
      </c>
      <c r="M45" s="2" t="inlineStr">
        <is>
          <t xml:space="preserve">Cash it throws off, a month</t>
        </is>
      </c>
      <c r="N45" s="7" t="inlineStr">
        <is>
          <t xml:space="preserve">assetCashFlow</t>
        </is>
      </c>
    </row>
    <row r="46">
      <c r="A46" s="10" t="inlineStr">
        <is>
          <t xml:space="preserve">Does this pay you anything each month?</t>
        </is>
      </c>
      <c r="C46" s="13"/>
      <c r="D46" s="2" t="inlineStr">
        <is>
          <t xml:space="preserve">dollars</t>
        </is>
      </c>
      <c r="E46" s="11" t="inlineStr">
        <is>
          <t xml:space="preserve">Rent, dividends or interest this thing pays you in a normal month.</t>
        </is>
      </c>
      <c r="F46" s="11" t="inlineStr">
        <is>
          <t xml:space="preserve">A rental or a business: what it pays you a month after its own costs. An account that pays nothing out: leave it blank.</t>
        </is>
      </c>
      <c r="G46" s="11" t="inlineStr">
        <is>
          <t xml:space="preserve">Rent minus the mortgage payment, to the nearest hundred.</t>
        </is>
      </c>
      <c r="H46" s="11" t="inlineStr">
        <is>
          <t xml:space="preserve">Put 0 if nothing arrives. Most accounts pay nothing until you sell.</t>
        </is>
      </c>
      <c r="I46" s="11" t="inlineStr">
        <is>
          <t xml:space="preserve">the income line of the three documents, and whether a property carries itself</t>
        </is>
      </c>
      <c r="M46" s="2" t="inlineStr">
        <is>
          <t xml:space="preserve">Cash it throws off, a month</t>
        </is>
      </c>
      <c r="N46" s="7" t="inlineStr">
        <is>
          <t xml:space="preserve">assetCashFlow</t>
        </is>
      </c>
    </row>
    <row r="47">
      <c r="A47" s="10" t="inlineStr">
        <is>
          <t xml:space="preserve">Does this pay you anything each month?</t>
        </is>
      </c>
      <c r="C47" s="13"/>
      <c r="D47" s="2" t="inlineStr">
        <is>
          <t xml:space="preserve">dollars</t>
        </is>
      </c>
      <c r="E47" s="11" t="inlineStr">
        <is>
          <t xml:space="preserve">Rent, dividends or interest this thing pays you in a normal month.</t>
        </is>
      </c>
      <c r="F47" s="11" t="inlineStr">
        <is>
          <t xml:space="preserve">A rental or a business: what it pays you a month after its own costs. An account that pays nothing out: leave it blank.</t>
        </is>
      </c>
      <c r="G47" s="11" t="inlineStr">
        <is>
          <t xml:space="preserve">Rent minus the mortgage payment, to the nearest hundred.</t>
        </is>
      </c>
      <c r="H47" s="11" t="inlineStr">
        <is>
          <t xml:space="preserve">Put 0 if nothing arrives. Most accounts pay nothing until you sell.</t>
        </is>
      </c>
      <c r="I47" s="11" t="inlineStr">
        <is>
          <t xml:space="preserve">the income line of the three documents, and whether a property carries itself</t>
        </is>
      </c>
      <c r="M47" s="2" t="inlineStr">
        <is>
          <t xml:space="preserve">Cash it throws off, a month</t>
        </is>
      </c>
      <c r="N47" s="7" t="inlineStr">
        <is>
          <t xml:space="preserve">assetCashFlow</t>
        </is>
      </c>
    </row>
    <row r="48">
      <c r="A48" s="10" t="inlineStr">
        <is>
          <t xml:space="preserve">Does this pay you anything each month?</t>
        </is>
      </c>
      <c r="C48" s="13"/>
      <c r="D48" s="2" t="inlineStr">
        <is>
          <t xml:space="preserve">dollars</t>
        </is>
      </c>
      <c r="E48" s="11" t="inlineStr">
        <is>
          <t xml:space="preserve">Rent, dividends or interest this thing pays you in a normal month.</t>
        </is>
      </c>
      <c r="F48" s="11" t="inlineStr">
        <is>
          <t xml:space="preserve">A rental or a business: what it pays you a month after its own costs. An account that pays nothing out: leave it blank.</t>
        </is>
      </c>
      <c r="G48" s="11" t="inlineStr">
        <is>
          <t xml:space="preserve">Rent minus the mortgage payment, to the nearest hundred.</t>
        </is>
      </c>
      <c r="H48" s="11" t="inlineStr">
        <is>
          <t xml:space="preserve">Put 0 if nothing arrives. Most accounts pay nothing until you sell.</t>
        </is>
      </c>
      <c r="I48" s="11" t="inlineStr">
        <is>
          <t xml:space="preserve">the income line of the three documents, and whether a property carries itself</t>
        </is>
      </c>
      <c r="M48" s="2" t="inlineStr">
        <is>
          <t xml:space="preserve">Cash it throws off, a month</t>
        </is>
      </c>
      <c r="N48" s="7" t="inlineStr">
        <is>
          <t xml:space="preserve">assetCashFlow</t>
        </is>
      </c>
    </row>
    <row r="49">
      <c r="A49" s="10" t="inlineStr">
        <is>
          <t xml:space="preserve">How hard is it to turn this into money you can spend?</t>
        </is>
      </c>
      <c r="C49" s="12"/>
      <c r="D49" s="2" t="inlineStr">
        <is>
          <t xml:space="preserve">a choice</t>
        </is>
      </c>
      <c r="E49" s="11" t="inlineStr">
        <is>
          <t xml:space="preserve">A bank account is easy. A house is hard. It changes which things the app suggests using first.</t>
        </is>
      </c>
      <c r="F49" s="11" t="inlineStr">
        <is>
          <t xml:space="preserve">Nothing to look up.</t>
        </is>
      </c>
      <c r="G49" s="11" t="inlineStr">
        <is>
          <t xml:space="preserve">Easy for bank and brokerage money, hard for property or a business.</t>
        </is>
      </c>
      <c r="H49" s="11" t="inlineStr">
        <is>
          <t xml:space="preserve">Pick easy for anything you could sell this week.</t>
        </is>
      </c>
      <c r="I49" s="11" t="inlineStr">
        <is>
          <t xml:space="preserve">what an income-producing thing costs you in hours, not just dollars</t>
        </is>
      </c>
      <c r="J49" s="2" t="inlineStr">
        <is>
          <t xml:space="preserve">blank</t>
        </is>
      </c>
      <c r="M49" s="2" t="inlineStr">
        <is>
          <t xml:space="preserve">Hassle to hold</t>
        </is>
      </c>
      <c r="N49" s="7" t="inlineStr">
        <is>
          <t xml:space="preserve">assetHassle</t>
        </is>
      </c>
    </row>
    <row r="50">
      <c r="A50" s="10" t="inlineStr">
        <is>
          <t xml:space="preserve">How hard is it to turn this into money you can spend?</t>
        </is>
      </c>
      <c r="C50" s="12"/>
      <c r="D50" s="2" t="inlineStr">
        <is>
          <t xml:space="preserve">a choice</t>
        </is>
      </c>
      <c r="E50" s="11" t="inlineStr">
        <is>
          <t xml:space="preserve">A bank account is easy. A house is hard. It changes which things the app suggests using first.</t>
        </is>
      </c>
      <c r="F50" s="11" t="inlineStr">
        <is>
          <t xml:space="preserve">Nothing to look up.</t>
        </is>
      </c>
      <c r="G50" s="11" t="inlineStr">
        <is>
          <t xml:space="preserve">Easy for bank and brokerage money, hard for property or a business.</t>
        </is>
      </c>
      <c r="H50" s="11" t="inlineStr">
        <is>
          <t xml:space="preserve">Pick easy for anything you could sell this week.</t>
        </is>
      </c>
      <c r="I50" s="11" t="inlineStr">
        <is>
          <t xml:space="preserve">what an income-producing thing costs you in hours, not just dollars</t>
        </is>
      </c>
      <c r="M50" s="2" t="inlineStr">
        <is>
          <t xml:space="preserve">Hassle to hold</t>
        </is>
      </c>
      <c r="N50" s="7" t="inlineStr">
        <is>
          <t xml:space="preserve">assetHassle</t>
        </is>
      </c>
    </row>
    <row r="51">
      <c r="A51" s="10" t="inlineStr">
        <is>
          <t xml:space="preserve">How hard is it to turn this into money you can spend?</t>
        </is>
      </c>
      <c r="C51" s="12"/>
      <c r="D51" s="2" t="inlineStr">
        <is>
          <t xml:space="preserve">a choice</t>
        </is>
      </c>
      <c r="E51" s="11" t="inlineStr">
        <is>
          <t xml:space="preserve">A bank account is easy. A house is hard. It changes which things the app suggests using first.</t>
        </is>
      </c>
      <c r="F51" s="11" t="inlineStr">
        <is>
          <t xml:space="preserve">Nothing to look up.</t>
        </is>
      </c>
      <c r="G51" s="11" t="inlineStr">
        <is>
          <t xml:space="preserve">Easy for bank and brokerage money, hard for property or a business.</t>
        </is>
      </c>
      <c r="H51" s="11" t="inlineStr">
        <is>
          <t xml:space="preserve">Pick easy for anything you could sell this week.</t>
        </is>
      </c>
      <c r="I51" s="11" t="inlineStr">
        <is>
          <t xml:space="preserve">what an income-producing thing costs you in hours, not just dollars</t>
        </is>
      </c>
      <c r="M51" s="2" t="inlineStr">
        <is>
          <t xml:space="preserve">Hassle to hold</t>
        </is>
      </c>
      <c r="N51" s="7" t="inlineStr">
        <is>
          <t xml:space="preserve">assetHassle</t>
        </is>
      </c>
    </row>
    <row r="52">
      <c r="A52" s="10" t="inlineStr">
        <is>
          <t xml:space="preserve">How hard is it to turn this into money you can spend?</t>
        </is>
      </c>
      <c r="C52" s="12"/>
      <c r="D52" s="2" t="inlineStr">
        <is>
          <t xml:space="preserve">a choice</t>
        </is>
      </c>
      <c r="E52" s="11" t="inlineStr">
        <is>
          <t xml:space="preserve">A bank account is easy. A house is hard. It changes which things the app suggests using first.</t>
        </is>
      </c>
      <c r="F52" s="11" t="inlineStr">
        <is>
          <t xml:space="preserve">Nothing to look up.</t>
        </is>
      </c>
      <c r="G52" s="11" t="inlineStr">
        <is>
          <t xml:space="preserve">Easy for bank and brokerage money, hard for property or a business.</t>
        </is>
      </c>
      <c r="H52" s="11" t="inlineStr">
        <is>
          <t xml:space="preserve">Pick easy for anything you could sell this week.</t>
        </is>
      </c>
      <c r="I52" s="11" t="inlineStr">
        <is>
          <t xml:space="preserve">what an income-producing thing costs you in hours, not just dollars</t>
        </is>
      </c>
      <c r="M52" s="2" t="inlineStr">
        <is>
          <t xml:space="preserve">Hassle to hold</t>
        </is>
      </c>
      <c r="N52" s="7" t="inlineStr">
        <is>
          <t xml:space="preserve">assetHassle</t>
        </is>
      </c>
    </row>
    <row r="53">
      <c r="A53" s="10" t="inlineStr">
        <is>
          <t xml:space="preserve">How hard is it to turn this into money you can spend?</t>
        </is>
      </c>
      <c r="C53" s="12"/>
      <c r="D53" s="2" t="inlineStr">
        <is>
          <t xml:space="preserve">a choice</t>
        </is>
      </c>
      <c r="E53" s="11" t="inlineStr">
        <is>
          <t xml:space="preserve">A bank account is easy. A house is hard. It changes which things the app suggests using first.</t>
        </is>
      </c>
      <c r="F53" s="11" t="inlineStr">
        <is>
          <t xml:space="preserve">Nothing to look up.</t>
        </is>
      </c>
      <c r="G53" s="11" t="inlineStr">
        <is>
          <t xml:space="preserve">Easy for bank and brokerage money, hard for property or a business.</t>
        </is>
      </c>
      <c r="H53" s="11" t="inlineStr">
        <is>
          <t xml:space="preserve">Pick easy for anything you could sell this week.</t>
        </is>
      </c>
      <c r="I53" s="11" t="inlineStr">
        <is>
          <t xml:space="preserve">what an income-producing thing costs you in hours, not just dollars</t>
        </is>
      </c>
      <c r="M53" s="2" t="inlineStr">
        <is>
          <t xml:space="preserve">Hassle to hold</t>
        </is>
      </c>
      <c r="N53" s="7" t="inlineStr">
        <is>
          <t xml:space="preserve">assetHassle</t>
        </is>
      </c>
    </row>
    <row r="54">
      <c r="A54" s="10" t="inlineStr">
        <is>
          <t xml:space="preserve">At what age can you take this money out without a penalty?</t>
        </is>
      </c>
      <c r="C54" s="16"/>
      <c r="D54" s="2" t="inlineStr">
        <is>
          <t xml:space="preserve">years</t>
        </is>
      </c>
      <c r="E54" s="11" t="inlineStr">
        <is>
          <t xml:space="preserve">Only fill this in if the usual rule is wrong for you. Most retirement money is reachable at 59 and a half.</t>
        </is>
      </c>
      <c r="F54" s="11" t="inlineStr">
        <is>
          <t xml:space="preserve">The plan’s summary description: a plan that allows the Rule of 55, a 457(b) with no age gate at all. Blank means the usual rule for the account type.</t>
        </is>
      </c>
      <c r="G54" s="11" t="inlineStr">
        <is>
          <t xml:space="preserve">Leave it blank; the rule for the account type applies.</t>
        </is>
      </c>
      <c r="H54" s="11" t="inlineStr">
        <is>
          <t xml:space="preserve">Leave it blank. The app knows the usual rule for each account type.</t>
        </is>
      </c>
      <c r="I54" s="11" t="inlineStr">
        <is>
          <t xml:space="preserve">the bridge to 59½ and the liquidity ladder, account by account</t>
        </is>
      </c>
      <c r="J54" s="2" t="inlineStr">
        <is>
          <t xml:space="preserve">blank</t>
        </is>
      </c>
      <c r="M54" s="2" t="inlineStr">
        <is>
          <t xml:space="preserve">Reachable from age, if the usual rule is wrong</t>
        </is>
      </c>
      <c r="N54" s="7" t="inlineStr">
        <is>
          <t xml:space="preserve">assetAccessAge</t>
        </is>
      </c>
    </row>
    <row r="55">
      <c r="A55" s="10" t="inlineStr">
        <is>
          <t xml:space="preserve">At what age can you take this money out without a penalty?</t>
        </is>
      </c>
      <c r="C55" s="16"/>
      <c r="D55" s="2" t="inlineStr">
        <is>
          <t xml:space="preserve">years</t>
        </is>
      </c>
      <c r="E55" s="11" t="inlineStr">
        <is>
          <t xml:space="preserve">Only fill this in if the usual rule is wrong for you. Most retirement money is reachable at 59 and a half.</t>
        </is>
      </c>
      <c r="F55" s="11" t="inlineStr">
        <is>
          <t xml:space="preserve">The plan’s summary description: a plan that allows the Rule of 55, a 457(b) with no age gate at all. Blank means the usual rule for the account type.</t>
        </is>
      </c>
      <c r="G55" s="11" t="inlineStr">
        <is>
          <t xml:space="preserve">Leave it blank; the rule for the account type applies.</t>
        </is>
      </c>
      <c r="H55" s="11" t="inlineStr">
        <is>
          <t xml:space="preserve">Leave it blank. The app knows the usual rule for each account type.</t>
        </is>
      </c>
      <c r="I55" s="11" t="inlineStr">
        <is>
          <t xml:space="preserve">the bridge to 59½ and the liquidity ladder, account by account</t>
        </is>
      </c>
      <c r="M55" s="2" t="inlineStr">
        <is>
          <t xml:space="preserve">Reachable from age, if the usual rule is wrong</t>
        </is>
      </c>
      <c r="N55" s="7" t="inlineStr">
        <is>
          <t xml:space="preserve">assetAccessAge</t>
        </is>
      </c>
    </row>
    <row r="56">
      <c r="A56" s="10" t="inlineStr">
        <is>
          <t xml:space="preserve">At what age can you take this money out without a penalty?</t>
        </is>
      </c>
      <c r="C56" s="16"/>
      <c r="D56" s="2" t="inlineStr">
        <is>
          <t xml:space="preserve">years</t>
        </is>
      </c>
      <c r="E56" s="11" t="inlineStr">
        <is>
          <t xml:space="preserve">Only fill this in if the usual rule is wrong for you. Most retirement money is reachable at 59 and a half.</t>
        </is>
      </c>
      <c r="F56" s="11" t="inlineStr">
        <is>
          <t xml:space="preserve">The plan’s summary description: a plan that allows the Rule of 55, a 457(b) with no age gate at all. Blank means the usual rule for the account type.</t>
        </is>
      </c>
      <c r="G56" s="11" t="inlineStr">
        <is>
          <t xml:space="preserve">Leave it blank; the rule for the account type applies.</t>
        </is>
      </c>
      <c r="H56" s="11" t="inlineStr">
        <is>
          <t xml:space="preserve">Leave it blank. The app knows the usual rule for each account type.</t>
        </is>
      </c>
      <c r="I56" s="11" t="inlineStr">
        <is>
          <t xml:space="preserve">the bridge to 59½ and the liquidity ladder, account by account</t>
        </is>
      </c>
      <c r="M56" s="2" t="inlineStr">
        <is>
          <t xml:space="preserve">Reachable from age, if the usual rule is wrong</t>
        </is>
      </c>
      <c r="N56" s="7" t="inlineStr">
        <is>
          <t xml:space="preserve">assetAccessAge</t>
        </is>
      </c>
    </row>
    <row r="57">
      <c r="A57" s="10" t="inlineStr">
        <is>
          <t xml:space="preserve">At what age can you take this money out without a penalty?</t>
        </is>
      </c>
      <c r="C57" s="16"/>
      <c r="D57" s="2" t="inlineStr">
        <is>
          <t xml:space="preserve">years</t>
        </is>
      </c>
      <c r="E57" s="11" t="inlineStr">
        <is>
          <t xml:space="preserve">Only fill this in if the usual rule is wrong for you. Most retirement money is reachable at 59 and a half.</t>
        </is>
      </c>
      <c r="F57" s="11" t="inlineStr">
        <is>
          <t xml:space="preserve">The plan’s summary description: a plan that allows the Rule of 55, a 457(b) with no age gate at all. Blank means the usual rule for the account type.</t>
        </is>
      </c>
      <c r="G57" s="11" t="inlineStr">
        <is>
          <t xml:space="preserve">Leave it blank; the rule for the account type applies.</t>
        </is>
      </c>
      <c r="H57" s="11" t="inlineStr">
        <is>
          <t xml:space="preserve">Leave it blank. The app knows the usual rule for each account type.</t>
        </is>
      </c>
      <c r="I57" s="11" t="inlineStr">
        <is>
          <t xml:space="preserve">the bridge to 59½ and the liquidity ladder, account by account</t>
        </is>
      </c>
      <c r="M57" s="2" t="inlineStr">
        <is>
          <t xml:space="preserve">Reachable from age, if the usual rule is wrong</t>
        </is>
      </c>
      <c r="N57" s="7" t="inlineStr">
        <is>
          <t xml:space="preserve">assetAccessAge</t>
        </is>
      </c>
    </row>
    <row r="58">
      <c r="A58" s="10" t="inlineStr">
        <is>
          <t xml:space="preserve">At what age can you take this money out without a penalty?</t>
        </is>
      </c>
      <c r="C58" s="16"/>
      <c r="D58" s="2" t="inlineStr">
        <is>
          <t xml:space="preserve">years</t>
        </is>
      </c>
      <c r="E58" s="11" t="inlineStr">
        <is>
          <t xml:space="preserve">Only fill this in if the usual rule is wrong for you. Most retirement money is reachable at 59 and a half.</t>
        </is>
      </c>
      <c r="F58" s="11" t="inlineStr">
        <is>
          <t xml:space="preserve">The plan’s summary description: a plan that allows the Rule of 55, a 457(b) with no age gate at all. Blank means the usual rule for the account type.</t>
        </is>
      </c>
      <c r="G58" s="11" t="inlineStr">
        <is>
          <t xml:space="preserve">Leave it blank; the rule for the account type applies.</t>
        </is>
      </c>
      <c r="H58" s="11" t="inlineStr">
        <is>
          <t xml:space="preserve">Leave it blank. The app knows the usual rule for each account type.</t>
        </is>
      </c>
      <c r="I58" s="11" t="inlineStr">
        <is>
          <t xml:space="preserve">the bridge to 59½ and the liquidity ladder, account by account</t>
        </is>
      </c>
      <c r="M58" s="2" t="inlineStr">
        <is>
          <t xml:space="preserve">Reachable from age, if the usual rule is wrong</t>
        </is>
      </c>
      <c r="N58" s="7" t="inlineStr">
        <is>
          <t xml:space="preserve">assetAccessAge</t>
        </is>
      </c>
    </row>
    <row r="59">
      <c r="A59" s="10" t="inlineStr">
        <is>
          <t xml:space="preserve">How much have you put into a Roth IRA so far this year?</t>
        </is>
      </c>
      <c r="C59" s="13"/>
      <c r="D59" s="2" t="inlineStr">
        <is>
          <t xml:space="preserve">dollars</t>
        </is>
      </c>
      <c r="E59" s="11" t="inlineStr">
        <is>
          <t xml:space="preserve">Only money you put in yourself this year, not what the account is worth.</t>
        </is>
      </c>
      <c r="F59" s="11" t="inlineStr">
        <is>
          <t xml:space="preserve">The IRA app or site, contributions this year, on the account page.</t>
        </is>
      </c>
      <c r="G59" s="11" t="inlineStr">
        <is>
          <t xml:space="preserve">What you think you have put in since January.</t>
        </is>
      </c>
      <c r="H59" s="11" t="inlineStr">
        <is>
          <t xml:space="preserve">If you have not put anything in this year, put 0.</t>
        </is>
      </c>
      <c r="I59" s="11" t="inlineStr">
        <is>
          <t xml:space="preserve">room left this year under the Roth limit</t>
        </is>
      </c>
      <c r="J59" s="2" t="inlineStr">
        <is>
          <t xml:space="preserve">blank</t>
        </is>
      </c>
      <c r="M59" s="2" t="inlineStr">
        <is>
          <t xml:space="preserve">Roth so far this year</t>
        </is>
      </c>
      <c r="N59" s="7" t="inlineStr">
        <is>
          <t xml:space="preserve">rothContributed</t>
        </is>
      </c>
    </row>
    <row r="60">
      <c r="A60" s="10" t="inlineStr">
        <is>
          <t xml:space="preserve">What share of your investments do you want in stocks?</t>
        </is>
      </c>
      <c r="C60" s="14"/>
      <c r="D60" s="2" t="inlineStr">
        <is>
          <t xml:space="preserve">a percent</t>
        </is>
      </c>
      <c r="E60" s="11" t="inlineStr">
        <is>
          <t xml:space="preserve">Your target, not what you have now. Stocks grow more and fall harder.</t>
        </is>
      </c>
      <c r="F60" s="11" t="inlineStr">
        <is>
          <t xml:space="preserve">Nothing to look up. It is a choice about how much bumpiness you can live with.</t>
        </is>
      </c>
      <c r="G60" s="11" t="inlineStr">
        <is>
          <t xml:space="preserve">A common rule of thumb is 110 minus your age. At 35 that is 75%.</t>
        </is>
      </c>
      <c r="H60" s="11" t="inlineStr">
        <is>
          <t xml:space="preserve">Leave it blank until you have read The Mix. Nothing else needs it.</t>
        </is>
      </c>
      <c r="I60" s="11" t="inlineStr">
        <is>
          <t xml:space="preserve">the stock, bond, cash split and the rebalance drift</t>
        </is>
      </c>
      <c r="J60" s="2" t="inlineStr">
        <is>
          <t xml:space="preserve">blank</t>
        </is>
      </c>
      <c r="M60" s="2" t="inlineStr">
        <is>
          <t xml:space="preserve">Target: stocks</t>
        </is>
      </c>
      <c r="N60" s="7" t="inlineStr">
        <is>
          <t xml:space="preserve">allocationStocks</t>
        </is>
      </c>
    </row>
    <row r="61">
      <c r="A61" s="10" t="inlineStr">
        <is>
          <t xml:space="preserve">What share do you want in bonds?</t>
        </is>
      </c>
      <c r="C61" s="14"/>
      <c r="D61" s="2" t="inlineStr">
        <is>
          <t xml:space="preserve">a percent</t>
        </is>
      </c>
      <c r="E61" s="11" t="inlineStr">
        <is>
          <t xml:space="preserve">The steadier part. It grows less and falls less.</t>
        </is>
      </c>
      <c r="F61" s="11" t="inlineStr">
        <is>
          <t xml:space="preserve">Nothing to look up.</t>
        </is>
      </c>
      <c r="G61" s="11" t="inlineStr">
        <is>
          <t xml:space="preserve">Whatever is left after stocks and cash, so the three add to 100%.</t>
        </is>
      </c>
      <c r="H61" s="11" t="inlineStr">
        <is>
          <t xml:space="preserve">Leave it blank. The app will say what is missing when you fill in stocks.</t>
        </is>
      </c>
      <c r="I61" s="11" t="inlineStr">
        <is>
          <t xml:space="preserve">the stock, bond, cash split and the rebalance drift</t>
        </is>
      </c>
      <c r="J61" s="2" t="inlineStr">
        <is>
          <t xml:space="preserve">blank</t>
        </is>
      </c>
      <c r="M61" s="2" t="inlineStr">
        <is>
          <t xml:space="preserve">Target: bonds</t>
        </is>
      </c>
      <c r="N61" s="7" t="inlineStr">
        <is>
          <t xml:space="preserve">allocationBonds</t>
        </is>
      </c>
    </row>
    <row r="62">
      <c r="A62" s="10" t="inlineStr">
        <is>
          <t xml:space="preserve">What share do you want kept as cash?</t>
        </is>
      </c>
      <c r="C62" s="14"/>
      <c r="D62" s="2" t="inlineStr">
        <is>
          <t xml:space="preserve">a percent</t>
        </is>
      </c>
      <c r="E62" s="11" t="inlineStr">
        <is>
          <t xml:space="preserve">Money that does not move, ready to spend.</t>
        </is>
      </c>
      <c r="F62" s="11" t="inlineStr">
        <is>
          <t xml:space="preserve">Nothing to look up.</t>
        </is>
      </c>
      <c r="G62" s="11" t="inlineStr">
        <is>
          <t xml:space="preserve">Often 0% to 10% inside an investment pot, because your cushion is held separately.</t>
        </is>
      </c>
      <c r="H62" s="11" t="inlineStr">
        <is>
          <t xml:space="preserve">Put 0 and keep your cushion in a savings account instead.</t>
        </is>
      </c>
      <c r="I62" s="11" t="inlineStr">
        <is>
          <t xml:space="preserve">the stock, bond, cash split and the rebalance drift</t>
        </is>
      </c>
      <c r="J62" s="2" t="inlineStr">
        <is>
          <t xml:space="preserve">blank</t>
        </is>
      </c>
      <c r="M62" s="2" t="inlineStr">
        <is>
          <t xml:space="preserve">Target: cash</t>
        </is>
      </c>
      <c r="N62" s="7" t="inlineStr">
        <is>
          <t xml:space="preserve">allocationCash</t>
        </is>
      </c>
    </row>
    <row r="63">
      <c r="A63" s="10" t="inlineStr">
        <is>
          <t xml:space="preserve">How far can the mix drift before you fix it?</t>
        </is>
      </c>
      <c r="C63" s="14"/>
      <c r="D63" s="2" t="inlineStr">
        <is>
          <t xml:space="preserve">a percent</t>
        </is>
      </c>
      <c r="E63" s="11" t="inlineStr">
        <is>
          <t xml:space="preserve">If you want 70% stocks and a band of 5%, you tidy it up when stocks pass 75% or fall under 65%.</t>
        </is>
      </c>
      <c r="F63" s="11" t="inlineStr">
        <is>
          <t xml:space="preserve">Nothing to look up.</t>
        </is>
      </c>
      <c r="G63" s="11" t="inlineStr">
        <is>
          <t xml:space="preserve">Five percentage points is the usual answer.</t>
        </is>
      </c>
      <c r="H63" s="11" t="inlineStr">
        <is>
          <t xml:space="preserve">Put 5. Five points is the usual answer and nothing breaks if it is wrong.</t>
        </is>
      </c>
      <c r="I63" s="11" t="inlineStr">
        <is>
          <t xml:space="preserve">when the drift is far enough to act on</t>
        </is>
      </c>
      <c r="J63" s="2" t="inlineStr">
        <is>
          <t xml:space="preserve">blank</t>
        </is>
      </c>
      <c r="M63" s="2" t="inlineStr">
        <is>
          <t xml:space="preserve">Rebalance when the split drifts by</t>
        </is>
      </c>
      <c r="N63" s="7" t="inlineStr">
        <is>
          <t xml:space="preserve">rebalanceBand</t>
        </is>
      </c>
    </row>
    <row r="64">
      <c r="A64" s="10" t="inlineStr">
        <is>
          <t xml:space="preserve">Net worth, weighted by how sure you are</t>
        </is>
      </c>
      <c r="D64" s="2" t="inlineStr">
        <is>
          <t xml:space="preserve">dollars</t>
        </is>
      </c>
      <c r="E64" s="11" t="inlineStr">
        <is>
          <t xml:space="preserve">The sheet works this out: each asset times how sure you are it is worth that (1 counts in full, 4 counts nothing), added up, less everything owed.</t>
        </is>
      </c>
      <c r="I64" s="11" t="inlineStr">
        <is>
          <t xml:space="preserve">net worth discounted by how sure each asset is</t>
        </is>
      </c>
      <c r="J64" s="2" t="inlineStr">
        <is>
          <t xml:space="preserve">worked out</t>
        </is>
      </c>
      <c r="M64" s="2" t="inlineStr">
        <is>
          <t xml:space="preserve">Net worth, weighted by how sure you are</t>
        </is>
      </c>
      <c r="N64" s="7" t="inlineStr">
        <is>
          <t xml:space="preserve">confidenceWeightedNetWorth</t>
        </is>
      </c>
    </row>
    <row r="65">
      <c r="A65" s="10" t="inlineStr">
        <is>
          <t xml:space="preserve">What share of your pay goes into your retirement account at work?</t>
        </is>
      </c>
      <c r="C65" s="14"/>
      <c r="D65" s="2" t="inlineStr">
        <is>
          <t xml:space="preserve">a percent</t>
        </is>
      </c>
      <c r="E65" s="11" t="inlineStr">
        <is>
          <t xml:space="preserve">The percent of each paycheck that goes into your workplace retirement plan before you see it.</t>
        </is>
      </c>
      <c r="F65" s="11" t="inlineStr">
        <is>
          <t xml:space="preserve">The plan website, the contributions page, the percent of pay going in; also the 401(k) deduction line on your pay stub.</t>
        </is>
      </c>
      <c r="G65" s="11" t="inlineStr">
        <is>
          <t xml:space="preserve">Type 6% if you have never changed it.</t>
        </is>
      </c>
      <c r="H65" s="11" t="inlineStr">
        <is>
          <t xml:space="preserve">Your payslip shows the amount. Divide it by your gross pay for that period and multiply by 100.</t>
        </is>
      </c>
      <c r="I65" s="11" t="inlineStr">
        <is>
          <t xml:space="preserve">the savings rate as contributed, and whether the match is captured</t>
        </is>
      </c>
      <c r="J65" s="2" t="inlineStr">
        <is>
          <t xml:space="preserve">not yours yet</t>
        </is>
      </c>
      <c r="M65" s="2" t="inlineStr">
        <is>
          <t xml:space="preserve">Workplace contribution, as a share of pay</t>
        </is>
      </c>
      <c r="N65" s="7" t="inlineStr">
        <is>
          <t xml:space="preserve">contributionPercent</t>
        </is>
      </c>
    </row>
    <row r="66">
      <c r="A66" s="10" t="inlineStr">
        <is>
          <t xml:space="preserve">Does that plan cover your family, or only you?</t>
        </is>
      </c>
      <c r="C66" s="12"/>
      <c r="D66" s="2" t="inlineStr">
        <is>
          <t xml:space="preserve">yes or no</t>
        </is>
      </c>
      <c r="E66" s="11" t="inlineStr">
        <is>
          <t xml:space="preserve">Family cover has a higher savings limit than single cover.</t>
        </is>
      </c>
      <c r="F66" s="11" t="inlineStr">
        <is>
          <t xml:space="preserve">Your insurance card usually names everyone covered.</t>
        </is>
      </c>
      <c r="G66" s="11" t="inlineStr">
        <is>
          <t xml:space="preserve">If anyone else is on the card, it is family cover.</t>
        </is>
      </c>
      <c r="H66" s="11" t="inlineStr">
        <is>
          <t xml:space="preserve">Pick just me. The limit is then the safer, smaller one.</t>
        </is>
      </c>
      <c r="I66" s="11" t="inlineStr">
        <is>
          <t xml:space="preserve">the HSA limit that applies to you</t>
        </is>
      </c>
      <c r="J66" s="2" t="inlineStr">
        <is>
          <t xml:space="preserve">not yours yet</t>
        </is>
      </c>
      <c r="M66" s="2" t="inlineStr">
        <is>
          <t xml:space="preserve">Family coverage on that plan</t>
        </is>
      </c>
      <c r="N66" s="7" t="inlineStr">
        <is>
          <t xml:space="preserve">hsaFamilyPlan</t>
        </is>
      </c>
    </row>
    <row r="67">
      <c r="A67" s="10" t="inlineStr">
        <is>
          <t xml:space="preserve">How much has gone into your health savings account this year?</t>
        </is>
      </c>
      <c r="C67" s="13"/>
      <c r="D67" s="2" t="inlineStr">
        <is>
          <t xml:space="preserve">dollars</t>
        </is>
      </c>
      <c r="E67" s="11" t="inlineStr">
        <is>
          <t xml:space="preserve">Everything added this year, including anything your employer put in.</t>
        </is>
      </c>
      <c r="F67" s="11" t="inlineStr">
        <is>
          <t xml:space="preserve">The HSA provider, contributions this year; your pay stub shows the per-paycheque amount.</t>
        </is>
      </c>
      <c r="G67" s="11" t="inlineStr">
        <is>
          <t xml:space="preserve">To the nearest hundred.</t>
        </is>
      </c>
      <c r="H67" s="11" t="inlineStr">
        <is>
          <t xml:space="preserve">Your payslip's year-to-date column shows it. If you have no HSA, put 0.</t>
        </is>
      </c>
      <c r="I67" s="11" t="inlineStr">
        <is>
          <t xml:space="preserve">room left this year under the HSA limit</t>
        </is>
      </c>
      <c r="J67" s="2" t="inlineStr">
        <is>
          <t xml:space="preserve">not yours yet</t>
        </is>
      </c>
      <c r="M67" s="2" t="inlineStr">
        <is>
          <t xml:space="preserve">HSA so far this year</t>
        </is>
      </c>
      <c r="N67" s="7" t="inlineStr">
        <is>
          <t xml:space="preserve">hsaContributed</t>
        </is>
      </c>
    </row>
    <row r="68">
      <c r="A68" s="10" t="inlineStr">
        <is>
          <t xml:space="preserve">How much have you saved for school or college so far?</t>
        </is>
      </c>
      <c r="C68" s="13"/>
      <c r="D68" s="2" t="inlineStr">
        <is>
          <t xml:space="preserve">dollars</t>
        </is>
      </c>
      <c r="E68" s="11" t="inlineStr">
        <is>
          <t xml:space="preserve">The balance of a 529 or any account set aside for school.</t>
        </is>
      </c>
      <c r="F68" s="11" t="inlineStr">
        <is>
          <t xml:space="preserve">The state plan website after login, the account balance on the first screen.</t>
        </is>
      </c>
      <c r="G68" s="11" t="inlineStr">
        <is>
          <t xml:space="preserve">To the nearest thousand.</t>
        </is>
      </c>
      <c r="H68" s="11" t="inlineStr">
        <is>
          <t xml:space="preserve">If you have not started, put 0.</t>
        </is>
      </c>
      <c r="I68" s="11" t="inlineStr">
        <is>
          <t xml:space="preserve">the tuition gap and the monthly to close it</t>
        </is>
      </c>
      <c r="J68" s="2" t="inlineStr">
        <is>
          <t xml:space="preserve">not yours yet</t>
        </is>
      </c>
      <c r="M68" s="2" t="inlineStr">
        <is>
          <t xml:space="preserve">Saved for tuition so far</t>
        </is>
      </c>
      <c r="N68" s="7" t="inlineStr">
        <is>
          <t xml:space="preserve">tuitionSaved</t>
        </is>
      </c>
    </row>
    <row r="69">
      <c r="A69" s="10" t="inlineStr">
        <is>
          <t xml:space="preserve">What share of your invested money is actually in stocks right now?</t>
        </is>
      </c>
      <c r="C69" s="14"/>
      <c r="D69" s="2" t="inlineStr">
        <is>
          <t xml:space="preserve">a percent</t>
        </is>
      </c>
      <c r="E69" s="11" t="inlineStr">
        <is>
          <t xml:space="preserve">What you hold today, not your target. The difference between the two is the drift.</t>
        </is>
      </c>
      <c r="F69" s="11" t="inlineStr">
        <is>
          <t xml:space="preserve">Your brokerage's summary page usually shows the split as a pie or a percent.</t>
        </is>
      </c>
      <c r="G69" s="11" t="inlineStr">
        <is>
          <t xml:space="preserve">A target date fund is roughly 90% stocks when you are young and less as you age.</t>
        </is>
      </c>
      <c r="H69" s="11" t="inlineStr">
        <is>
          <t xml:space="preserve">Leave it blank. The app will not guess a split you did not give it.</t>
        </is>
      </c>
      <c r="I69" s="11" t="inlineStr">
        <is>
          <t xml:space="preserve">the decumulation path’s risk</t>
        </is>
      </c>
      <c r="J69" s="2" t="inlineStr">
        <is>
          <t xml:space="preserve">not yours yet</t>
        </is>
      </c>
      <c r="M69" s="2" t="inlineStr">
        <is>
          <t xml:space="preserve">Share of the pot in stocks</t>
        </is>
      </c>
      <c r="N69" s="7" t="inlineStr">
        <is>
          <t xml:space="preserve">stockShare</t>
        </is>
      </c>
    </row>
  </sheetData>
  <autoFilter ref="A1:P69"/>
  <dataValidations count="8">
    <dataValidation type="list" allowBlank="1" showInputMessage="1" showErrorMessage="1" sqref="C17:C21">
      <formula1>"checking,savings,hysa,money_market,cd,brokerage,stock_plan,crypto,401k,roth_401k,403b,457b,tsp,old_401k,pension,traditional_ira,roth_ira,sep_ira,simple_ira,hsa,529,daf,mixed,other"</formula1>
    </dataValidation>
    <dataValidation type="list" allowBlank="1" showInputMessage="1" showErrorMessage="1" sqref="C22:C26">
      <formula1>"cash,taxable,pretax,roth,hsa,529,daf,property,business,other,unknown"</formula1>
    </dataValidation>
    <dataValidation type="list" allowBlank="1" showInputMessage="1" showErrorMessage="1" sqref="C27:C31">
      <formula1>"cash,taxable,retirement,property,other"</formula1>
    </dataValidation>
    <dataValidation type="list" allowBlank="1" showInputMessage="1" showErrorMessage="1" sqref="C32:C36">
      <formula1>"1,2,3,4"</formula1>
    </dataValidation>
    <dataValidation type="list" allowBlank="1" showInputMessage="1" showErrorMessage="1" sqref="C38:C38">
      <formula1>"yes,no"</formula1>
    </dataValidation>
    <dataValidation type="list" allowBlank="1" showInputMessage="1" showErrorMessage="1" sqref="C49:C53">
      <formula1>"1,2,3"</formula1>
    </dataValidation>
    <dataValidation type="list" allowBlank="1" showInputMessage="1" showErrorMessage="1" sqref="C66:C66">
      <formula1>"yes,no"</formula1>
    </dataValidation>
    <dataValidation type="list" allowBlank="1" showInputMessage="1" showErrorMessage="1" sqref="P4:P8">
      <formula1>"cash,investment,retirement,real_estate,vehicle,other"</formula1>
    </dataValidation>
  </dataValidations>
</worksheet>
</file>

<file path=xl/worksheets/sheet6.xml><?xml version="1.0" encoding="utf-8"?>
<worksheet xmlns="http://schemas.openxmlformats.org/spreadsheetml/2006/main" xmlns:r="http://schemas.openxmlformats.org/officeDocument/2006/relationships">
  <sheetPr>
    <outlinePr summaryBelow="1" summaryRight="1"/>
  </sheetPr>
  <dimension ref="A1:O24"/>
  <sheetViews>
    <sheetView workbookViewId="0">
      <pane xSplit="1" ySplit="1" topLeftCell="B2" activePane="bottomRight" state="frozen"/>
      <selection pane="bottomRight" activeCell="B2" sqref="B2"/>
    </sheetView>
  </sheetViews>
  <sheetFormatPr defaultRowHeight="15"/>
  <cols>
    <col min="1" max="1" width="54" customWidth="1"/>
    <col min="2" max="2" width="18" customWidth="1"/>
    <col min="3" max="3" width="16" customWidth="1"/>
    <col min="4" max="4" width="13" customWidth="1"/>
    <col min="5" max="5" width="46" customWidth="1"/>
    <col min="6" max="6" width="46" customWidth="1"/>
    <col min="7" max="7" width="36" customWidth="1"/>
    <col min="8" max="8" width="40" customWidth="1"/>
    <col min="9" max="9" width="34" customWidth="1"/>
    <col min="10" max="10" width="14" customWidth="1"/>
    <col min="11" max="11" width="13" customWidth="1"/>
    <col min="12" max="12" width="13" customWidth="1"/>
    <col min="13" max="13" width="34" customWidth="1"/>
    <col min="14" max="14" width="20" customWidth="1"/>
    <col min="15" max="15" width="14" customWidth="1"/>
  </cols>
  <sheetData>
    <row r="1" ht="26" customHeight="1">
      <c r="A1" s="1" t="inlineStr">
        <is>
          <t xml:space="preserve">In plain words</t>
        </is>
      </c>
      <c r="B1" s="1" t="inlineStr">
        <is>
          <t xml:space="preserve">Which one</t>
        </is>
      </c>
      <c r="C1" s="1" t="inlineStr">
        <is>
          <t xml:space="preserve">Your number</t>
        </is>
      </c>
      <c r="D1" s="1" t="inlineStr">
        <is>
          <t xml:space="preserve">In</t>
        </is>
      </c>
      <c r="E1" s="1" t="inlineStr">
        <is>
          <t xml:space="preserve">What it means</t>
        </is>
      </c>
      <c r="F1" s="1" t="inlineStr">
        <is>
          <t xml:space="preserve">Where to find it</t>
        </is>
      </c>
      <c r="G1" s="1" t="inlineStr">
        <is>
          <t xml:space="preserve">Close enough</t>
        </is>
      </c>
      <c r="H1" s="1" t="inlineStr">
        <is>
          <t xml:space="preserve">If you are not sure</t>
        </is>
      </c>
      <c r="I1" s="1" t="inlineStr">
        <is>
          <t xml:space="preserve">What it unlocks</t>
        </is>
      </c>
      <c r="J1" s="1" t="inlineStr">
        <is>
          <t xml:space="preserve">How sure</t>
        </is>
      </c>
      <c r="K1" s="1" t="inlineStr">
        <is>
          <t xml:space="preserve">Last checked</t>
        </is>
      </c>
      <c r="L1" s="1" t="inlineStr">
        <is>
          <t xml:space="preserve">Came from</t>
        </is>
      </c>
      <c r="M1" s="1" t="inlineStr">
        <is>
          <t xml:space="preserve">What it is</t>
        </is>
      </c>
      <c r="N1" s="1" t="inlineStr">
        <is>
          <t xml:space="preserve">row id</t>
        </is>
      </c>
      <c r="O1" s="1" t="inlineStr">
        <is>
          <t xml:space="preserve">item id</t>
        </is>
      </c>
    </row>
    <row r="2">
      <c r="A2" s="10" t="inlineStr">
        <is>
          <t xml:space="preserve">Do you owe money to anyone?</t>
        </is>
      </c>
      <c r="C2" s="12"/>
      <c r="D2" s="2" t="inlineStr">
        <is>
          <t xml:space="preserve">yes or no</t>
        </is>
      </c>
      <c r="E2" s="11" t="inlineStr">
        <is>
          <t xml:space="preserve">Credit cards, student loans, a car loan, a mortgage, money owed to family. Anything you have to pay back.</t>
        </is>
      </c>
      <c r="F2" s="11" t="inlineStr">
        <is>
          <t xml:space="preserve">Nothing to look up yet. If a statement arrives asking for a payment, that is a debt.</t>
        </is>
      </c>
      <c r="G2" s="11" t="inlineStr">
        <is>
          <t xml:space="preserve">If you carry a card balance past the due date, that counts.</t>
        </is>
      </c>
      <c r="H2" s="11" t="inlineStr">
        <is>
          <t xml:space="preserve">Answer yes if anything comes to mind. The next questions ask for one card or loan at a time.</t>
        </is>
      </c>
      <c r="I2" s="11" t="inlineStr">
        <is>
          <t xml:space="preserve">whether the Debt door has anything behind it</t>
        </is>
      </c>
      <c r="J2" s="2" t="inlineStr">
        <is>
          <t xml:space="preserve">blank</t>
        </is>
      </c>
      <c r="M2" s="2" t="inlineStr">
        <is>
          <t xml:space="preserve">Any debt</t>
        </is>
      </c>
      <c r="N2" s="7" t="inlineStr">
        <is>
          <t xml:space="preserve">hasDebt</t>
        </is>
      </c>
    </row>
    <row r="3">
      <c r="A3" s="10" t="inlineStr">
        <is>
          <t xml:space="preserve">Total owed</t>
        </is>
      </c>
      <c r="C3" s="18">
        <f>SUM(debtBalance)</f>
      </c>
      <c r="D3" s="2" t="inlineStr">
        <is>
          <t xml:space="preserve">dollars</t>
        </is>
      </c>
      <c r="E3" s="11" t="inlineStr">
        <is>
          <t xml:space="preserve">The sheet works this out: every debt balance, added up.</t>
        </is>
      </c>
      <c r="I3" s="11" t="inlineStr">
        <is>
          <t xml:space="preserve">the Debt door’s headline</t>
        </is>
      </c>
      <c r="J3" s="2" t="inlineStr">
        <is>
          <t xml:space="preserve">worked out</t>
        </is>
      </c>
      <c r="M3" s="2" t="inlineStr">
        <is>
          <t xml:space="preserve">Total owed</t>
        </is>
      </c>
      <c r="N3" s="7" t="inlineStr">
        <is>
          <t xml:space="preserve">totalDebt</t>
        </is>
      </c>
    </row>
    <row r="4">
      <c r="A4" s="10" t="inlineStr">
        <is>
          <t xml:space="preserve">Debt payments, a month</t>
        </is>
      </c>
      <c r="C4" s="18">
        <f>SUM(debtMinPayment)</f>
      </c>
      <c r="D4" s="2" t="inlineStr">
        <is>
          <t xml:space="preserve">dollars</t>
        </is>
      </c>
      <c r="E4" s="11" t="inlineStr">
        <is>
          <t xml:space="preserve">The sheet works this out: every minimum payment, added up.</t>
        </is>
      </c>
      <c r="I4" s="11" t="inlineStr">
        <is>
          <t xml:space="preserve">what goes to debt every month before anything else</t>
        </is>
      </c>
      <c r="J4" s="2" t="inlineStr">
        <is>
          <t xml:space="preserve">worked out</t>
        </is>
      </c>
      <c r="M4" s="2" t="inlineStr">
        <is>
          <t xml:space="preserve">Debt payments, a month</t>
        </is>
      </c>
      <c r="N4" s="7" t="inlineStr">
        <is>
          <t xml:space="preserve">monthlyDebtPayments</t>
        </is>
      </c>
    </row>
    <row r="5">
      <c r="A5" s="10" t="inlineStr">
        <is>
          <t xml:space="preserve">How much is left to pay on this one?</t>
        </is>
      </c>
      <c r="C5" s="13"/>
      <c r="D5" s="2" t="inlineStr">
        <is>
          <t xml:space="preserve">dollars</t>
        </is>
      </c>
      <c r="E5" s="11" t="inlineStr">
        <is>
          <t xml:space="preserve">What you owe today on this one card or loan, not the limit and not the monthly payment.</t>
        </is>
      </c>
      <c r="F5" s="11" t="inlineStr">
        <is>
          <t xml:space="preserve">The current balance on the lender's app home screen, or the statement balance on the latest statement.</t>
        </is>
      </c>
      <c r="G5" s="11" t="inlineStr">
        <is>
          <t xml:space="preserve">The last statement figure you remember.</t>
        </is>
      </c>
      <c r="H5" s="11" t="inlineStr">
        <is>
          <t xml:space="preserve">Open the app or statement for that card and read the balance. Today's number is fine.</t>
        </is>
      </c>
      <c r="I5" s="11" t="inlineStr">
        <is>
          <t xml:space="preserve">total owed and the payoff timeline</t>
        </is>
      </c>
      <c r="J5" s="2" t="inlineStr">
        <is>
          <t xml:space="preserve">not yours yet</t>
        </is>
      </c>
      <c r="M5" s="2" t="inlineStr">
        <is>
          <t xml:space="preserve">Balance</t>
        </is>
      </c>
      <c r="N5" s="7" t="inlineStr">
        <is>
          <t xml:space="preserve">debtBalance</t>
        </is>
      </c>
    </row>
    <row r="6">
      <c r="A6" s="10" t="inlineStr">
        <is>
          <t xml:space="preserve">How much is left to pay on this one?</t>
        </is>
      </c>
      <c r="C6" s="13"/>
      <c r="D6" s="2" t="inlineStr">
        <is>
          <t xml:space="preserve">dollars</t>
        </is>
      </c>
      <c r="E6" s="11" t="inlineStr">
        <is>
          <t xml:space="preserve">What you owe today on this one card or loan, not the limit and not the monthly payment.</t>
        </is>
      </c>
      <c r="F6" s="11" t="inlineStr">
        <is>
          <t xml:space="preserve">The current balance on the lender's app home screen, or the statement balance on the latest statement.</t>
        </is>
      </c>
      <c r="G6" s="11" t="inlineStr">
        <is>
          <t xml:space="preserve">The last statement figure you remember.</t>
        </is>
      </c>
      <c r="H6" s="11" t="inlineStr">
        <is>
          <t xml:space="preserve">Open the app or statement for that card and read the balance. Today's number is fine.</t>
        </is>
      </c>
      <c r="I6" s="11" t="inlineStr">
        <is>
          <t xml:space="preserve">total owed and the payoff timeline</t>
        </is>
      </c>
      <c r="J6" s="2" t="inlineStr">
        <is>
          <t xml:space="preserve">not yours yet</t>
        </is>
      </c>
      <c r="M6" s="2" t="inlineStr">
        <is>
          <t xml:space="preserve">Balance</t>
        </is>
      </c>
      <c r="N6" s="7" t="inlineStr">
        <is>
          <t xml:space="preserve">debtBalance</t>
        </is>
      </c>
    </row>
    <row r="7">
      <c r="A7" s="10" t="inlineStr">
        <is>
          <t xml:space="preserve">How much is left to pay on this one?</t>
        </is>
      </c>
      <c r="C7" s="13"/>
      <c r="D7" s="2" t="inlineStr">
        <is>
          <t xml:space="preserve">dollars</t>
        </is>
      </c>
      <c r="E7" s="11" t="inlineStr">
        <is>
          <t xml:space="preserve">What you owe today on this one card or loan, not the limit and not the monthly payment.</t>
        </is>
      </c>
      <c r="F7" s="11" t="inlineStr">
        <is>
          <t xml:space="preserve">The current balance on the lender's app home screen, or the statement balance on the latest statement.</t>
        </is>
      </c>
      <c r="G7" s="11" t="inlineStr">
        <is>
          <t xml:space="preserve">The last statement figure you remember.</t>
        </is>
      </c>
      <c r="H7" s="11" t="inlineStr">
        <is>
          <t xml:space="preserve">Open the app or statement for that card and read the balance. Today's number is fine.</t>
        </is>
      </c>
      <c r="I7" s="11" t="inlineStr">
        <is>
          <t xml:space="preserve">total owed and the payoff timeline</t>
        </is>
      </c>
      <c r="J7" s="2" t="inlineStr">
        <is>
          <t xml:space="preserve">not yours yet</t>
        </is>
      </c>
      <c r="M7" s="2" t="inlineStr">
        <is>
          <t xml:space="preserve">Balance</t>
        </is>
      </c>
      <c r="N7" s="7" t="inlineStr">
        <is>
          <t xml:space="preserve">debtBalance</t>
        </is>
      </c>
    </row>
    <row r="8">
      <c r="A8" s="10" t="inlineStr">
        <is>
          <t xml:space="preserve">How much is left to pay on this one?</t>
        </is>
      </c>
      <c r="C8" s="13"/>
      <c r="D8" s="2" t="inlineStr">
        <is>
          <t xml:space="preserve">dollars</t>
        </is>
      </c>
      <c r="E8" s="11" t="inlineStr">
        <is>
          <t xml:space="preserve">What you owe today on this one card or loan, not the limit and not the monthly payment.</t>
        </is>
      </c>
      <c r="F8" s="11" t="inlineStr">
        <is>
          <t xml:space="preserve">The current balance on the lender's app home screen, or the statement balance on the latest statement.</t>
        </is>
      </c>
      <c r="G8" s="11" t="inlineStr">
        <is>
          <t xml:space="preserve">The last statement figure you remember.</t>
        </is>
      </c>
      <c r="H8" s="11" t="inlineStr">
        <is>
          <t xml:space="preserve">Open the app or statement for that card and read the balance. Today's number is fine.</t>
        </is>
      </c>
      <c r="I8" s="11" t="inlineStr">
        <is>
          <t xml:space="preserve">total owed and the payoff timeline</t>
        </is>
      </c>
      <c r="J8" s="2" t="inlineStr">
        <is>
          <t xml:space="preserve">not yours yet</t>
        </is>
      </c>
      <c r="M8" s="2" t="inlineStr">
        <is>
          <t xml:space="preserve">Balance</t>
        </is>
      </c>
      <c r="N8" s="7" t="inlineStr">
        <is>
          <t xml:space="preserve">debtBalance</t>
        </is>
      </c>
    </row>
    <row r="9">
      <c r="A9" s="10" t="inlineStr">
        <is>
          <t xml:space="preserve">How much is left to pay on this one?</t>
        </is>
      </c>
      <c r="C9" s="13"/>
      <c r="D9" s="2" t="inlineStr">
        <is>
          <t xml:space="preserve">dollars</t>
        </is>
      </c>
      <c r="E9" s="11" t="inlineStr">
        <is>
          <t xml:space="preserve">What you owe today on this one card or loan, not the limit and not the monthly payment.</t>
        </is>
      </c>
      <c r="F9" s="11" t="inlineStr">
        <is>
          <t xml:space="preserve">The current balance on the lender's app home screen, or the statement balance on the latest statement.</t>
        </is>
      </c>
      <c r="G9" s="11" t="inlineStr">
        <is>
          <t xml:space="preserve">The last statement figure you remember.</t>
        </is>
      </c>
      <c r="H9" s="11" t="inlineStr">
        <is>
          <t xml:space="preserve">Open the app or statement for that card and read the balance. Today's number is fine.</t>
        </is>
      </c>
      <c r="I9" s="11" t="inlineStr">
        <is>
          <t xml:space="preserve">total owed and the payoff timeline</t>
        </is>
      </c>
      <c r="J9" s="2" t="inlineStr">
        <is>
          <t xml:space="preserve">not yours yet</t>
        </is>
      </c>
      <c r="M9" s="2" t="inlineStr">
        <is>
          <t xml:space="preserve">Balance</t>
        </is>
      </c>
      <c r="N9" s="7" t="inlineStr">
        <is>
          <t xml:space="preserve">debtBalance</t>
        </is>
      </c>
    </row>
    <row r="10">
      <c r="A10" s="10" t="inlineStr">
        <is>
          <t xml:space="preserve">What interest rate does this one charge?</t>
        </is>
      </c>
      <c r="C10" s="14"/>
      <c r="D10" s="2" t="inlineStr">
        <is>
          <t xml:space="preserve">a percent</t>
        </is>
      </c>
      <c r="E10" s="11" t="inlineStr">
        <is>
          <t xml:space="preserve">The yearly interest rate, the APR. It is what makes one debt worse than another.</t>
        </is>
      </c>
      <c r="F10" s="11" t="inlineStr">
        <is>
          <t xml:space="preserve">The statement or the lender app, the line called APR or interest rate; the Debt room names the page for each kind.</t>
        </is>
      </c>
      <c r="G10" s="11" t="inlineStr">
        <is>
          <t xml:space="preserve">Type 24% if you have no idea; most cards sit between 20% and 30%.</t>
        </is>
      </c>
      <c r="H10" s="11" t="inlineStr">
        <is>
          <t xml:space="preserve">If you cannot find it, put 24% for a credit card and mark it a guess. That is near the average.</t>
        </is>
      </c>
      <c r="I10" s="11" t="inlineStr">
        <is>
          <t xml:space="preserve">the payoff order and interest cost a month</t>
        </is>
      </c>
      <c r="J10" s="2" t="inlineStr">
        <is>
          <t xml:space="preserve">not yours yet</t>
        </is>
      </c>
      <c r="M10" s="2" t="inlineStr">
        <is>
          <t xml:space="preserve">Interest rate</t>
        </is>
      </c>
      <c r="N10" s="7" t="inlineStr">
        <is>
          <t xml:space="preserve">debtRate</t>
        </is>
      </c>
    </row>
    <row r="11">
      <c r="A11" s="10" t="inlineStr">
        <is>
          <t xml:space="preserve">What interest rate does this one charge?</t>
        </is>
      </c>
      <c r="C11" s="14"/>
      <c r="D11" s="2" t="inlineStr">
        <is>
          <t xml:space="preserve">a percent</t>
        </is>
      </c>
      <c r="E11" s="11" t="inlineStr">
        <is>
          <t xml:space="preserve">The yearly interest rate, the APR. It is what makes one debt worse than another.</t>
        </is>
      </c>
      <c r="F11" s="11" t="inlineStr">
        <is>
          <t xml:space="preserve">The statement or the lender app, the line called APR or interest rate; the Debt room names the page for each kind.</t>
        </is>
      </c>
      <c r="G11" s="11" t="inlineStr">
        <is>
          <t xml:space="preserve">Type 24% if you have no idea; most cards sit between 20% and 30%.</t>
        </is>
      </c>
      <c r="H11" s="11" t="inlineStr">
        <is>
          <t xml:space="preserve">If you cannot find it, put 24% for a credit card and mark it a guess. That is near the average.</t>
        </is>
      </c>
      <c r="I11" s="11" t="inlineStr">
        <is>
          <t xml:space="preserve">the payoff order and interest cost a month</t>
        </is>
      </c>
      <c r="J11" s="2" t="inlineStr">
        <is>
          <t xml:space="preserve">not yours yet</t>
        </is>
      </c>
      <c r="M11" s="2" t="inlineStr">
        <is>
          <t xml:space="preserve">Interest rate</t>
        </is>
      </c>
      <c r="N11" s="7" t="inlineStr">
        <is>
          <t xml:space="preserve">debtRate</t>
        </is>
      </c>
    </row>
    <row r="12">
      <c r="A12" s="10" t="inlineStr">
        <is>
          <t xml:space="preserve">What interest rate does this one charge?</t>
        </is>
      </c>
      <c r="C12" s="14"/>
      <c r="D12" s="2" t="inlineStr">
        <is>
          <t xml:space="preserve">a percent</t>
        </is>
      </c>
      <c r="E12" s="11" t="inlineStr">
        <is>
          <t xml:space="preserve">The yearly interest rate, the APR. It is what makes one debt worse than another.</t>
        </is>
      </c>
      <c r="F12" s="11" t="inlineStr">
        <is>
          <t xml:space="preserve">The statement or the lender app, the line called APR or interest rate; the Debt room names the page for each kind.</t>
        </is>
      </c>
      <c r="G12" s="11" t="inlineStr">
        <is>
          <t xml:space="preserve">Type 24% if you have no idea; most cards sit between 20% and 30%.</t>
        </is>
      </c>
      <c r="H12" s="11" t="inlineStr">
        <is>
          <t xml:space="preserve">If you cannot find it, put 24% for a credit card and mark it a guess. That is near the average.</t>
        </is>
      </c>
      <c r="I12" s="11" t="inlineStr">
        <is>
          <t xml:space="preserve">the payoff order and interest cost a month</t>
        </is>
      </c>
      <c r="J12" s="2" t="inlineStr">
        <is>
          <t xml:space="preserve">not yours yet</t>
        </is>
      </c>
      <c r="M12" s="2" t="inlineStr">
        <is>
          <t xml:space="preserve">Interest rate</t>
        </is>
      </c>
      <c r="N12" s="7" t="inlineStr">
        <is>
          <t xml:space="preserve">debtRate</t>
        </is>
      </c>
    </row>
    <row r="13">
      <c r="A13" s="10" t="inlineStr">
        <is>
          <t xml:space="preserve">What interest rate does this one charge?</t>
        </is>
      </c>
      <c r="C13" s="14"/>
      <c r="D13" s="2" t="inlineStr">
        <is>
          <t xml:space="preserve">a percent</t>
        </is>
      </c>
      <c r="E13" s="11" t="inlineStr">
        <is>
          <t xml:space="preserve">The yearly interest rate, the APR. It is what makes one debt worse than another.</t>
        </is>
      </c>
      <c r="F13" s="11" t="inlineStr">
        <is>
          <t xml:space="preserve">The statement or the lender app, the line called APR or interest rate; the Debt room names the page for each kind.</t>
        </is>
      </c>
      <c r="G13" s="11" t="inlineStr">
        <is>
          <t xml:space="preserve">Type 24% if you have no idea; most cards sit between 20% and 30%.</t>
        </is>
      </c>
      <c r="H13" s="11" t="inlineStr">
        <is>
          <t xml:space="preserve">If you cannot find it, put 24% for a credit card and mark it a guess. That is near the average.</t>
        </is>
      </c>
      <c r="I13" s="11" t="inlineStr">
        <is>
          <t xml:space="preserve">the payoff order and interest cost a month</t>
        </is>
      </c>
      <c r="J13" s="2" t="inlineStr">
        <is>
          <t xml:space="preserve">not yours yet</t>
        </is>
      </c>
      <c r="M13" s="2" t="inlineStr">
        <is>
          <t xml:space="preserve">Interest rate</t>
        </is>
      </c>
      <c r="N13" s="7" t="inlineStr">
        <is>
          <t xml:space="preserve">debtRate</t>
        </is>
      </c>
    </row>
    <row r="14">
      <c r="A14" s="10" t="inlineStr">
        <is>
          <t xml:space="preserve">What interest rate does this one charge?</t>
        </is>
      </c>
      <c r="C14" s="14"/>
      <c r="D14" s="2" t="inlineStr">
        <is>
          <t xml:space="preserve">a percent</t>
        </is>
      </c>
      <c r="E14" s="11" t="inlineStr">
        <is>
          <t xml:space="preserve">The yearly interest rate, the APR. It is what makes one debt worse than another.</t>
        </is>
      </c>
      <c r="F14" s="11" t="inlineStr">
        <is>
          <t xml:space="preserve">The statement or the lender app, the line called APR or interest rate; the Debt room names the page for each kind.</t>
        </is>
      </c>
      <c r="G14" s="11" t="inlineStr">
        <is>
          <t xml:space="preserve">Type 24% if you have no idea; most cards sit between 20% and 30%.</t>
        </is>
      </c>
      <c r="H14" s="11" t="inlineStr">
        <is>
          <t xml:space="preserve">If you cannot find it, put 24% for a credit card and mark it a guess. That is near the average.</t>
        </is>
      </c>
      <c r="I14" s="11" t="inlineStr">
        <is>
          <t xml:space="preserve">the payoff order and interest cost a month</t>
        </is>
      </c>
      <c r="J14" s="2" t="inlineStr">
        <is>
          <t xml:space="preserve">not yours yet</t>
        </is>
      </c>
      <c r="M14" s="2" t="inlineStr">
        <is>
          <t xml:space="preserve">Interest rate</t>
        </is>
      </c>
      <c r="N14" s="7" t="inlineStr">
        <is>
          <t xml:space="preserve">debtRate</t>
        </is>
      </c>
    </row>
    <row r="15">
      <c r="A15" s="10" t="inlineStr">
        <is>
          <t xml:space="preserve">What is the smallest payment they will accept each month?</t>
        </is>
      </c>
      <c r="C15" s="13"/>
      <c r="D15" s="2" t="inlineStr">
        <is>
          <t xml:space="preserve">dollars</t>
        </is>
      </c>
      <c r="E15" s="11" t="inlineStr">
        <is>
          <t xml:space="preserve">The minimum due each month. Paying only this is what keeps a debt alive for years.</t>
        </is>
      </c>
      <c r="F15" s="11" t="inlineStr">
        <is>
          <t xml:space="preserve">The latest statement, the line called minimum payment due, near the top.</t>
        </is>
      </c>
      <c r="G15" s="11" t="inlineStr">
        <is>
          <t xml:space="preserve">For a card, 2% of the balance; for a loan, the fixed monthly payment.</t>
        </is>
      </c>
      <c r="H15" s="11" t="inlineStr">
        <is>
          <t xml:space="preserve">Your statement says minimum payment due. If you cannot find it, use 2% of the balance for a card.</t>
        </is>
      </c>
      <c r="I15" s="11" t="inlineStr">
        <is>
          <t xml:space="preserve">the minimums total, the extra on top of them, the payoff date</t>
        </is>
      </c>
      <c r="J15" s="2" t="inlineStr">
        <is>
          <t xml:space="preserve">not yours yet</t>
        </is>
      </c>
      <c r="M15" s="2" t="inlineStr">
        <is>
          <t xml:space="preserve">Minimum payment, a month</t>
        </is>
      </c>
      <c r="N15" s="7" t="inlineStr">
        <is>
          <t xml:space="preserve">debtMinPayment</t>
        </is>
      </c>
    </row>
    <row r="16">
      <c r="A16" s="10" t="inlineStr">
        <is>
          <t xml:space="preserve">What is the smallest payment they will accept each month?</t>
        </is>
      </c>
      <c r="C16" s="13"/>
      <c r="D16" s="2" t="inlineStr">
        <is>
          <t xml:space="preserve">dollars</t>
        </is>
      </c>
      <c r="E16" s="11" t="inlineStr">
        <is>
          <t xml:space="preserve">The minimum due each month. Paying only this is what keeps a debt alive for years.</t>
        </is>
      </c>
      <c r="F16" s="11" t="inlineStr">
        <is>
          <t xml:space="preserve">The latest statement, the line called minimum payment due, near the top.</t>
        </is>
      </c>
      <c r="G16" s="11" t="inlineStr">
        <is>
          <t xml:space="preserve">For a card, 2% of the balance; for a loan, the fixed monthly payment.</t>
        </is>
      </c>
      <c r="H16" s="11" t="inlineStr">
        <is>
          <t xml:space="preserve">Your statement says minimum payment due. If you cannot find it, use 2% of the balance for a card.</t>
        </is>
      </c>
      <c r="I16" s="11" t="inlineStr">
        <is>
          <t xml:space="preserve">the minimums total, the extra on top of them, the payoff date</t>
        </is>
      </c>
      <c r="J16" s="2" t="inlineStr">
        <is>
          <t xml:space="preserve">not yours yet</t>
        </is>
      </c>
      <c r="M16" s="2" t="inlineStr">
        <is>
          <t xml:space="preserve">Minimum payment, a month</t>
        </is>
      </c>
      <c r="N16" s="7" t="inlineStr">
        <is>
          <t xml:space="preserve">debtMinPayment</t>
        </is>
      </c>
    </row>
    <row r="17">
      <c r="A17" s="10" t="inlineStr">
        <is>
          <t xml:space="preserve">What is the smallest payment they will accept each month?</t>
        </is>
      </c>
      <c r="C17" s="13"/>
      <c r="D17" s="2" t="inlineStr">
        <is>
          <t xml:space="preserve">dollars</t>
        </is>
      </c>
      <c r="E17" s="11" t="inlineStr">
        <is>
          <t xml:space="preserve">The minimum due each month. Paying only this is what keeps a debt alive for years.</t>
        </is>
      </c>
      <c r="F17" s="11" t="inlineStr">
        <is>
          <t xml:space="preserve">The latest statement, the line called minimum payment due, near the top.</t>
        </is>
      </c>
      <c r="G17" s="11" t="inlineStr">
        <is>
          <t xml:space="preserve">For a card, 2% of the balance; for a loan, the fixed monthly payment.</t>
        </is>
      </c>
      <c r="H17" s="11" t="inlineStr">
        <is>
          <t xml:space="preserve">Your statement says minimum payment due. If you cannot find it, use 2% of the balance for a card.</t>
        </is>
      </c>
      <c r="I17" s="11" t="inlineStr">
        <is>
          <t xml:space="preserve">the minimums total, the extra on top of them, the payoff date</t>
        </is>
      </c>
      <c r="J17" s="2" t="inlineStr">
        <is>
          <t xml:space="preserve">not yours yet</t>
        </is>
      </c>
      <c r="M17" s="2" t="inlineStr">
        <is>
          <t xml:space="preserve">Minimum payment, a month</t>
        </is>
      </c>
      <c r="N17" s="7" t="inlineStr">
        <is>
          <t xml:space="preserve">debtMinPayment</t>
        </is>
      </c>
    </row>
    <row r="18">
      <c r="A18" s="10" t="inlineStr">
        <is>
          <t xml:space="preserve">What is the smallest payment they will accept each month?</t>
        </is>
      </c>
      <c r="C18" s="13"/>
      <c r="D18" s="2" t="inlineStr">
        <is>
          <t xml:space="preserve">dollars</t>
        </is>
      </c>
      <c r="E18" s="11" t="inlineStr">
        <is>
          <t xml:space="preserve">The minimum due each month. Paying only this is what keeps a debt alive for years.</t>
        </is>
      </c>
      <c r="F18" s="11" t="inlineStr">
        <is>
          <t xml:space="preserve">The latest statement, the line called minimum payment due, near the top.</t>
        </is>
      </c>
      <c r="G18" s="11" t="inlineStr">
        <is>
          <t xml:space="preserve">For a card, 2% of the balance; for a loan, the fixed monthly payment.</t>
        </is>
      </c>
      <c r="H18" s="11" t="inlineStr">
        <is>
          <t xml:space="preserve">Your statement says minimum payment due. If you cannot find it, use 2% of the balance for a card.</t>
        </is>
      </c>
      <c r="I18" s="11" t="inlineStr">
        <is>
          <t xml:space="preserve">the minimums total, the extra on top of them, the payoff date</t>
        </is>
      </c>
      <c r="J18" s="2" t="inlineStr">
        <is>
          <t xml:space="preserve">not yours yet</t>
        </is>
      </c>
      <c r="M18" s="2" t="inlineStr">
        <is>
          <t xml:space="preserve">Minimum payment, a month</t>
        </is>
      </c>
      <c r="N18" s="7" t="inlineStr">
        <is>
          <t xml:space="preserve">debtMinPayment</t>
        </is>
      </c>
    </row>
    <row r="19">
      <c r="A19" s="10" t="inlineStr">
        <is>
          <t xml:space="preserve">What is the smallest payment they will accept each month?</t>
        </is>
      </c>
      <c r="C19" s="13"/>
      <c r="D19" s="2" t="inlineStr">
        <is>
          <t xml:space="preserve">dollars</t>
        </is>
      </c>
      <c r="E19" s="11" t="inlineStr">
        <is>
          <t xml:space="preserve">The minimum due each month. Paying only this is what keeps a debt alive for years.</t>
        </is>
      </c>
      <c r="F19" s="11" t="inlineStr">
        <is>
          <t xml:space="preserve">The latest statement, the line called minimum payment due, near the top.</t>
        </is>
      </c>
      <c r="G19" s="11" t="inlineStr">
        <is>
          <t xml:space="preserve">For a card, 2% of the balance; for a loan, the fixed monthly payment.</t>
        </is>
      </c>
      <c r="H19" s="11" t="inlineStr">
        <is>
          <t xml:space="preserve">Your statement says minimum payment due. If you cannot find it, use 2% of the balance for a card.</t>
        </is>
      </c>
      <c r="I19" s="11" t="inlineStr">
        <is>
          <t xml:space="preserve">the minimums total, the extra on top of them, the payoff date</t>
        </is>
      </c>
      <c r="J19" s="2" t="inlineStr">
        <is>
          <t xml:space="preserve">not yours yet</t>
        </is>
      </c>
      <c r="M19" s="2" t="inlineStr">
        <is>
          <t xml:space="preserve">Minimum payment, a month</t>
        </is>
      </c>
      <c r="N19" s="7" t="inlineStr">
        <is>
          <t xml:space="preserve">debtMinPayment</t>
        </is>
      </c>
    </row>
    <row r="20">
      <c r="A20" s="10" t="inlineStr">
        <is>
          <t xml:space="preserve">Which student loan plan are you on?</t>
        </is>
      </c>
      <c r="C20" s="12"/>
      <c r="D20" s="2" t="inlineStr">
        <is>
          <t xml:space="preserve">a choice</t>
        </is>
      </c>
      <c r="E20" s="11" t="inlineStr">
        <is>
          <t xml:space="preserve">Standard, graduated, or one of the income-driven plans. The plan decides the payment and whether the rest is ever written off.</t>
        </is>
      </c>
      <c r="F20" s="11" t="inlineStr">
        <is>
          <t xml:space="preserve">Log in to studentaid.gov; the dashboard names your servicer, and the servicer's site shows your repayment plan on the loan details page.</t>
        </is>
      </c>
      <c r="G20" s="11" t="inlineStr">
        <is>
          <t xml:space="preserve">Pick standard if you have never chosen a plan.</t>
        </is>
      </c>
      <c r="H20" s="11" t="inlineStr">
        <is>
          <t xml:space="preserve">Log in to your loan servicer; the plan name is on the front page. If you have never changed it, it is the standard plan.</t>
        </is>
      </c>
      <c r="I20" s="11" t="inlineStr">
        <is>
          <t xml:space="preserve">the student loan trajectory under the plan chosen</t>
        </is>
      </c>
      <c r="J20" s="2" t="inlineStr">
        <is>
          <t xml:space="preserve">not yours yet</t>
        </is>
      </c>
      <c r="M20" s="2" t="inlineStr">
        <is>
          <t xml:space="preserve">Student loan plan</t>
        </is>
      </c>
      <c r="N20" s="7" t="inlineStr">
        <is>
          <t xml:space="preserve">loanPlan</t>
        </is>
      </c>
    </row>
    <row r="21">
      <c r="A21" s="10" t="inlineStr">
        <is>
          <t xml:space="preserve">How much extra do you put towards the loans each month?</t>
        </is>
      </c>
      <c r="C21" s="13"/>
      <c r="D21" s="2" t="inlineStr">
        <is>
          <t xml:space="preserve">dollars</t>
        </is>
      </c>
      <c r="E21" s="11" t="inlineStr">
        <is>
          <t xml:space="preserve">Anything above the minimum payment.</t>
        </is>
      </c>
      <c r="F21" s="11" t="inlineStr">
        <is>
          <t xml:space="preserve">Your bank statement, or the payment you set up with the loan servicer.</t>
        </is>
      </c>
      <c r="G21" s="11" t="inlineStr">
        <is>
          <t xml:space="preserve">If you only ever pay the minimum, put 0.</t>
        </is>
      </c>
      <c r="H21" s="11" t="inlineStr">
        <is>
          <t xml:space="preserve">Put 0. The app will show what adding extra would do.</t>
        </is>
      </c>
      <c r="I21" s="11" t="inlineStr">
        <is>
          <t xml:space="preserve">how much sooner the loans end</t>
        </is>
      </c>
      <c r="J21" s="2" t="inlineStr">
        <is>
          <t xml:space="preserve">not yours yet</t>
        </is>
      </c>
      <c r="M21" s="2" t="inlineStr">
        <is>
          <t xml:space="preserve">Extra to the loans, a month</t>
        </is>
      </c>
      <c r="N21" s="7" t="inlineStr">
        <is>
          <t xml:space="preserve">loanExtra</t>
        </is>
      </c>
    </row>
    <row r="22">
      <c r="A22" s="10" t="inlineStr">
        <is>
          <t xml:space="preserve">What share of your income does the payment plan take?</t>
        </is>
      </c>
      <c r="C22" s="14"/>
      <c r="D22" s="2" t="inlineStr">
        <is>
          <t xml:space="preserve">a percent</t>
        </is>
      </c>
      <c r="E22" s="11" t="inlineStr">
        <is>
          <t xml:space="preserve">Income-driven plans take a set share of what you earn above a floor, often 5% to 20%.</t>
        </is>
      </c>
      <c r="F22" s="11" t="inlineStr">
        <is>
          <t xml:space="preserve">Your loan servicer's website, on the page that names your plan.</t>
        </is>
      </c>
      <c r="G22" s="11" t="inlineStr">
        <is>
          <t xml:space="preserve">10% is the most common.</t>
        </is>
      </c>
      <c r="H22" s="11" t="inlineStr">
        <is>
          <t xml:space="preserve">Leave it blank unless you are on an income-driven plan. The app will use the plan's own figure.</t>
        </is>
      </c>
      <c r="I22" s="11" t="inlineStr">
        <is>
          <t xml:space="preserve">the income-driven payment</t>
        </is>
      </c>
      <c r="J22" s="2" t="inlineStr">
        <is>
          <t xml:space="preserve">not yours yet</t>
        </is>
      </c>
      <c r="M22" s="2" t="inlineStr">
        <is>
          <t xml:space="preserve">Share of income the income-driven plan takes</t>
        </is>
      </c>
      <c r="N22" s="7" t="inlineStr">
        <is>
          <t xml:space="preserve">idrShare</t>
        </is>
      </c>
    </row>
    <row r="23">
      <c r="A23" s="10" t="inlineStr">
        <is>
          <t xml:space="preserve">How many years until the rest of the loan is written off?</t>
        </is>
      </c>
      <c r="C23" s="16"/>
      <c r="D23" s="2" t="inlineStr">
        <is>
          <t xml:space="preserve">years</t>
        </is>
      </c>
      <c r="E23" s="11" t="inlineStr">
        <is>
          <t xml:space="preserve">Some plans cancel what is left after a set number of years of payments.</t>
        </is>
      </c>
      <c r="F23" s="11" t="inlineStr">
        <is>
          <t xml:space="preserve">Your loan servicer's website, or the plan's rules.</t>
        </is>
      </c>
      <c r="G23" s="11" t="inlineStr">
        <is>
          <t xml:space="preserve">Twenty years is common, ten for public service work.</t>
        </is>
      </c>
      <c r="H23" s="11" t="inlineStr">
        <is>
          <t xml:space="preserve">Leave it blank if no plan of yours mentions forgiveness.</t>
        </is>
      </c>
      <c r="I23" s="11" t="inlineStr">
        <is>
          <t xml:space="preserve">the forgiveness horizon on the student loan path</t>
        </is>
      </c>
      <c r="J23" s="2" t="inlineStr">
        <is>
          <t xml:space="preserve">not yours yet</t>
        </is>
      </c>
      <c r="M23" s="2" t="inlineStr">
        <is>
          <t xml:space="preserve">Years until the loan is forgiven</t>
        </is>
      </c>
      <c r="N23" s="7" t="inlineStr">
        <is>
          <t xml:space="preserve">forgivenessYears</t>
        </is>
      </c>
    </row>
    <row r="24">
      <c r="A24" s="10" t="inlineStr">
        <is>
          <t xml:space="preserve">How much do you owe on anything charging more than about 8%?</t>
        </is>
      </c>
      <c r="C24" s="13"/>
      <c r="D24" s="2" t="inlineStr">
        <is>
          <t xml:space="preserve">dollars</t>
        </is>
      </c>
      <c r="E24" s="11" t="inlineStr">
        <is>
          <t xml:space="preserve">Usually credit cards and personal loans. Expensive money is the first thing to clear.</t>
        </is>
      </c>
      <c r="F24" s="11" t="inlineStr">
        <is>
          <t xml:space="preserve">Add up the balances on cards and loans whose rate is over 8%.</t>
        </is>
      </c>
      <c r="G24" s="11" t="inlineStr">
        <is>
          <t xml:space="preserve">If you only have cards, this is your whole card balance.</t>
        </is>
      </c>
      <c r="H24" s="11" t="inlineStr">
        <is>
          <t xml:space="preserve">If you list each card above, the app works this out for you.</t>
        </is>
      </c>
      <c r="I24" s="11" t="inlineStr">
        <is>
          <t xml:space="preserve">which comes first, paying the expensive debt or investing</t>
        </is>
      </c>
      <c r="J24" s="2" t="inlineStr">
        <is>
          <t xml:space="preserve">not yours yet</t>
        </is>
      </c>
      <c r="M24" s="2" t="inlineStr">
        <is>
          <t xml:space="preserve">Owed above about 8%</t>
        </is>
      </c>
      <c r="N24" s="7" t="inlineStr">
        <is>
          <t xml:space="preserve">highInterestBalance</t>
        </is>
      </c>
    </row>
  </sheetData>
  <autoFilter ref="A1:O24"/>
  <dataValidations count="2">
    <dataValidation type="list" allowBlank="1" showInputMessage="1" showErrorMessage="1" sqref="C2:C2">
      <formula1>"yes,no"</formula1>
    </dataValidation>
    <dataValidation type="list" allowBlank="1" showInputMessage="1" showErrorMessage="1" sqref="C20:C20">
      <formula1>"Standard,Income-driven,Aggressive"</formula1>
    </dataValidation>
  </dataValidations>
</worksheet>
</file>

<file path=xl/worksheets/sheet7.xml><?xml version="1.0" encoding="utf-8"?>
<worksheet xmlns="http://schemas.openxmlformats.org/spreadsheetml/2006/main" xmlns:r="http://schemas.openxmlformats.org/officeDocument/2006/relationships">
  <sheetPr>
    <outlinePr summaryBelow="1" summaryRight="1"/>
  </sheetPr>
  <dimension ref="A1:O8"/>
  <sheetViews>
    <sheetView workbookViewId="0">
      <pane xSplit="1" ySplit="1" topLeftCell="B2" activePane="bottomRight" state="frozen"/>
      <selection pane="bottomRight" activeCell="B2" sqref="B2"/>
    </sheetView>
  </sheetViews>
  <sheetFormatPr defaultRowHeight="15"/>
  <cols>
    <col min="1" max="1" width="54" customWidth="1"/>
    <col min="2" max="2" width="18" customWidth="1"/>
    <col min="3" max="3" width="16" customWidth="1"/>
    <col min="4" max="4" width="13" customWidth="1"/>
    <col min="5" max="5" width="46" customWidth="1"/>
    <col min="6" max="6" width="46" customWidth="1"/>
    <col min="7" max="7" width="36" customWidth="1"/>
    <col min="8" max="8" width="40" customWidth="1"/>
    <col min="9" max="9" width="34" customWidth="1"/>
    <col min="10" max="10" width="14" customWidth="1"/>
    <col min="11" max="11" width="13" customWidth="1"/>
    <col min="12" max="12" width="13" customWidth="1"/>
    <col min="13" max="13" width="34" customWidth="1"/>
    <col min="14" max="14" width="20" customWidth="1"/>
    <col min="15" max="15" width="14" customWidth="1"/>
  </cols>
  <sheetData>
    <row r="1" ht="26" customHeight="1">
      <c r="A1" s="1" t="inlineStr">
        <is>
          <t xml:space="preserve">In plain words</t>
        </is>
      </c>
      <c r="B1" s="1" t="inlineStr">
        <is>
          <t xml:space="preserve">Which one</t>
        </is>
      </c>
      <c r="C1" s="1" t="inlineStr">
        <is>
          <t xml:space="preserve">Your number</t>
        </is>
      </c>
      <c r="D1" s="1" t="inlineStr">
        <is>
          <t xml:space="preserve">In</t>
        </is>
      </c>
      <c r="E1" s="1" t="inlineStr">
        <is>
          <t xml:space="preserve">What it means</t>
        </is>
      </c>
      <c r="F1" s="1" t="inlineStr">
        <is>
          <t xml:space="preserve">Where to find it</t>
        </is>
      </c>
      <c r="G1" s="1" t="inlineStr">
        <is>
          <t xml:space="preserve">Close enough</t>
        </is>
      </c>
      <c r="H1" s="1" t="inlineStr">
        <is>
          <t xml:space="preserve">If you are not sure</t>
        </is>
      </c>
      <c r="I1" s="1" t="inlineStr">
        <is>
          <t xml:space="preserve">What it unlocks</t>
        </is>
      </c>
      <c r="J1" s="1" t="inlineStr">
        <is>
          <t xml:space="preserve">How sure</t>
        </is>
      </c>
      <c r="K1" s="1" t="inlineStr">
        <is>
          <t xml:space="preserve">Last checked</t>
        </is>
      </c>
      <c r="L1" s="1" t="inlineStr">
        <is>
          <t xml:space="preserve">Came from</t>
        </is>
      </c>
      <c r="M1" s="1" t="inlineStr">
        <is>
          <t xml:space="preserve">What it is</t>
        </is>
      </c>
      <c r="N1" s="1" t="inlineStr">
        <is>
          <t xml:space="preserve">row id</t>
        </is>
      </c>
      <c r="O1" s="1" t="inlineStr">
        <is>
          <t xml:space="preserve">item id</t>
        </is>
      </c>
    </row>
    <row r="2">
      <c r="A2" s="10" t="inlineStr">
        <is>
          <t xml:space="preserve">Which state do you live in?</t>
        </is>
      </c>
      <c r="C2" s="12"/>
      <c r="D2" s="2" t="inlineStr">
        <is>
          <t xml:space="preserve">a choice</t>
        </is>
      </c>
      <c r="E2" s="11" t="inlineStr">
        <is>
          <t xml:space="preserve">Where you pay state tax. If you moved this year, use the state you live in now.</t>
        </is>
      </c>
      <c r="F2" s="11" t="inlineStr">
        <is>
          <t xml:space="preserve">The address on your driving licence or your last tax return.</t>
        </is>
      </c>
      <c r="G2" s="11" t="inlineStr">
        <is>
          <t xml:space="preserve">The state you sleep in most nights.</t>
        </is>
      </c>
      <c r="H2" s="11" t="inlineStr">
        <is>
          <t xml:space="preserve">Pick where you live now. You can change it later and every number follows.</t>
        </is>
      </c>
      <c r="I2" s="11" t="inlineStr">
        <is>
          <t xml:space="preserve">state tax, the unemployment benefit cap and the state cost columns</t>
        </is>
      </c>
      <c r="J2" s="2" t="inlineStr">
        <is>
          <t xml:space="preserve">blank</t>
        </is>
      </c>
      <c r="M2" s="2" t="inlineStr">
        <is>
          <t xml:space="preserve">State</t>
        </is>
      </c>
      <c r="N2" s="7" t="inlineStr">
        <is>
          <t xml:space="preserve">state</t>
        </is>
      </c>
    </row>
    <row r="3">
      <c r="A3" s="10" t="inlineStr">
        <is>
          <t xml:space="preserve">How do you file your taxes?</t>
        </is>
      </c>
      <c r="C3" s="12"/>
      <c r="D3" s="2" t="inlineStr">
        <is>
          <t xml:space="preserve">a choice</t>
        </is>
      </c>
      <c r="E3" s="11" t="inlineStr">
        <is>
          <t xml:space="preserve">Single, married filing together, married filing apart, or head of household. It sets your tax brackets.</t>
        </is>
      </c>
      <c r="F3" s="11" t="inlineStr">
        <is>
          <t xml:space="preserve">The top of last year's tax return (Form 1040), in the box marked Filing Status.</t>
        </is>
      </c>
      <c r="G3" s="11" t="inlineStr">
        <is>
          <t xml:space="preserve">Married and filing one return together is the most common if you are married.</t>
        </is>
      </c>
      <c r="H3" s="11" t="inlineStr">
        <is>
          <t xml:space="preserve">If you are single with no children, pick single. That is right for most people.</t>
        </is>
      </c>
      <c r="I3" s="11" t="inlineStr">
        <is>
          <t xml:space="preserve">the federal brackets, so the marginal rate and take-home pay</t>
        </is>
      </c>
      <c r="J3" s="2" t="inlineStr">
        <is>
          <t xml:space="preserve">blank</t>
        </is>
      </c>
      <c r="M3" s="2" t="inlineStr">
        <is>
          <t xml:space="preserve">Filing status</t>
        </is>
      </c>
      <c r="N3" s="7" t="inlineStr">
        <is>
          <t xml:space="preserve">filingStatus</t>
        </is>
      </c>
    </row>
    <row r="4">
      <c r="A4" s="10" t="inlineStr">
        <is>
          <t xml:space="preserve">How much was your tax refund last year?</t>
        </is>
      </c>
      <c r="C4" s="13"/>
      <c r="D4" s="2" t="inlineStr">
        <is>
          <t xml:space="preserve">dollars</t>
        </is>
      </c>
      <c r="E4" s="11" t="inlineStr">
        <is>
          <t xml:space="preserve">The money the government sent back after your return. If you owed money instead, put 0.</t>
        </is>
      </c>
      <c r="F4" s="11" t="inlineStr">
        <is>
          <t xml:space="preserve">Last year's tax return, or the deposit in your bank around April.</t>
        </is>
      </c>
      <c r="G4" s="11" t="inlineStr">
        <is>
          <t xml:space="preserve">To the nearest hundred is fine.</t>
        </is>
      </c>
      <c r="H4" s="11" t="inlineStr">
        <is>
          <t xml:space="preserve">Leave it blank. It is only used to spot money sitting idle all year.</t>
        </is>
      </c>
      <c r="I4" s="11" t="inlineStr">
        <is>
          <t xml:space="preserve">whether the withholding is worth fixing: a big refund is a year of your money held back</t>
        </is>
      </c>
      <c r="J4" s="2" t="inlineStr">
        <is>
          <t xml:space="preserve">blank</t>
        </is>
      </c>
      <c r="M4" s="2" t="inlineStr">
        <is>
          <t xml:space="preserve">Refund last year</t>
        </is>
      </c>
      <c r="N4" s="7" t="inlineStr">
        <is>
          <t xml:space="preserve">refundLastYear</t>
        </is>
      </c>
    </row>
    <row r="5">
      <c r="A5" s="10" t="inlineStr">
        <is>
          <t xml:space="preserve">What is your ZIP code?</t>
        </is>
      </c>
      <c r="C5" s="12"/>
      <c r="D5" s="2" t="inlineStr">
        <is>
          <t xml:space="preserve">text</t>
        </is>
      </c>
      <c r="E5" s="11" t="inlineStr">
        <is>
          <t xml:space="preserve">Five digits. It is used for local prices and local rules, never to identify you.</t>
        </is>
      </c>
      <c r="F5" s="11" t="inlineStr">
        <is>
          <t xml:space="preserve">Your post, your bank statement, or the address on your phone.</t>
        </is>
      </c>
      <c r="G5" s="11" t="inlineStr">
        <is>
          <t xml:space="preserve">The ZIP where you live, not where you work.</t>
        </is>
      </c>
      <c r="H5" s="11" t="inlineStr">
        <is>
          <t xml:space="preserve">Leave it blank. Only a few local numbers need it, and they will say so.</t>
        </is>
      </c>
      <c r="I5" s="11" t="inlineStr">
        <is>
          <t xml:space="preserve">the state, suggested from the first three digits</t>
        </is>
      </c>
      <c r="J5" s="2" t="inlineStr">
        <is>
          <t xml:space="preserve">blank</t>
        </is>
      </c>
      <c r="M5" s="2" t="inlineStr">
        <is>
          <t xml:space="preserve">ZIP</t>
        </is>
      </c>
      <c r="N5" s="7" t="inlineStr">
        <is>
          <t xml:space="preserve">zip</t>
        </is>
      </c>
    </row>
    <row r="6">
      <c r="A6" s="10" t="inlineStr">
        <is>
          <t xml:space="preserve">On your next dollar of pay, how much goes to tax?</t>
        </is>
      </c>
      <c r="C6" s="14"/>
      <c r="D6" s="2" t="inlineStr">
        <is>
          <t xml:space="preserve">a percent</t>
        </is>
      </c>
      <c r="E6" s="11" t="inlineStr">
        <is>
          <t xml:space="preserve">The share of your next dollar of pay that goes to tax, federal and state together. It is not the same as the share of all your pay that goes to tax.</t>
        </is>
      </c>
      <c r="F6" s="11" t="inlineStr">
        <is>
          <t xml:space="preserve">Last year's return, the bracket your last dollar landed in; the Tax room proposes it from your pay.</t>
        </is>
      </c>
      <c r="G6" s="11" t="inlineStr">
        <is>
          <t xml:space="preserve">22% for most working households.</t>
        </is>
      </c>
      <c r="H6" s="11" t="inlineStr">
        <is>
          <t xml:space="preserve">Leave it blank. The app works it out from your pay, your state and your filing status.</t>
        </is>
      </c>
      <c r="I6" s="11" t="inlineStr">
        <is>
          <t xml:space="preserve">the value of every pre-tax dollar: the Roth versus traditional answer</t>
        </is>
      </c>
      <c r="J6" s="2" t="inlineStr">
        <is>
          <t xml:space="preserve">blank</t>
        </is>
      </c>
      <c r="M6" s="2" t="inlineStr">
        <is>
          <t xml:space="preserve">Your marginal tax rate: the tax on the next dollar</t>
        </is>
      </c>
      <c r="N6" s="7" t="inlineStr">
        <is>
          <t xml:space="preserve">marginalRate</t>
        </is>
      </c>
    </row>
    <row r="7">
      <c r="A7" s="10" t="inlineStr">
        <is>
          <t xml:space="preserve">What else comes out of your pay before tax?</t>
        </is>
      </c>
      <c r="C7" s="13"/>
      <c r="D7" s="2" t="inlineStr">
        <is>
          <t xml:space="preserve">dollars</t>
        </is>
      </c>
      <c r="E7" s="11" t="inlineStr">
        <is>
          <t xml:space="preserve">Health insurance premiums, an FSA, transit money, union dues. Anything taken out before tax is worked out, but not retirement money, which is counted elsewhere.</t>
        </is>
      </c>
      <c r="F7" s="11" t="inlineStr">
        <is>
          <t xml:space="preserve">Your pay stub, the pre-tax lines that are not the 401(k): health premiums, HSA, commuter, times paycheques a year.</t>
        </is>
      </c>
      <c r="G7" s="11" t="inlineStr">
        <is>
          <t xml:space="preserve">Type 0 if you are not sure.</t>
        </is>
      </c>
      <c r="H7" s="11" t="inlineStr">
        <is>
          <t xml:space="preserve">Your payslip lists them. Add the ones that are not retirement, then multiply for a year.</t>
        </is>
      </c>
      <c r="I7" s="11" t="inlineStr">
        <is>
          <t xml:space="preserve">taxable income after the deductions the paycheck already takes</t>
        </is>
      </c>
      <c r="J7" s="2" t="inlineStr">
        <is>
          <t xml:space="preserve">blank</t>
        </is>
      </c>
      <c r="M7" s="2" t="inlineStr">
        <is>
          <t xml:space="preserve">Other pre-tax deductions from pay, a year</t>
        </is>
      </c>
      <c r="N7" s="7" t="inlineStr">
        <is>
          <t xml:space="preserve">otherPreTax</t>
        </is>
      </c>
    </row>
    <row r="8">
      <c r="A8" s="10" t="inlineStr">
        <is>
          <t xml:space="preserve">How much tax has been taken out of your pay so far this year?</t>
        </is>
      </c>
      <c r="C8" s="13"/>
      <c r="D8" s="2" t="inlineStr">
        <is>
          <t xml:space="preserve">dollars</t>
        </is>
      </c>
      <c r="E8" s="11" t="inlineStr">
        <is>
          <t xml:space="preserve">The federal tax taken out of your pay so far this year, from the year-to-date column.</t>
        </is>
      </c>
      <c r="F8" s="11" t="inlineStr">
        <is>
          <t xml:space="preserve">The latest pay stub, the year-to-date column, the federal income tax line.</t>
        </is>
      </c>
      <c r="G8" s="11" t="inlineStr">
        <is>
          <t xml:space="preserve">About 12% of gross pay so far this year.</t>
        </is>
      </c>
      <c r="H8" s="11" t="inlineStr">
        <is>
          <t xml:space="preserve">Leave it blank unless you are checking whether too much or too little is coming out.</t>
        </is>
      </c>
      <c r="I8" s="11" t="inlineStr">
        <is>
          <t xml:space="preserve">whether withholding is on track for the year</t>
        </is>
      </c>
      <c r="J8" s="2" t="inlineStr">
        <is>
          <t xml:space="preserve">blank</t>
        </is>
      </c>
      <c r="M8" s="2" t="inlineStr">
        <is>
          <t xml:space="preserve">Tax withheld from pay so far this year</t>
        </is>
      </c>
      <c r="N8" s="7" t="inlineStr">
        <is>
          <t xml:space="preserve">withheld</t>
        </is>
      </c>
    </row>
  </sheetData>
  <autoFilter ref="A1:O8"/>
  <dataValidations count="1">
    <dataValidation type="list" allowBlank="1" showInputMessage="1" showErrorMessage="1" sqref="C3:C3">
      <formula1>"Single,Married  filing jointly,Married  filing separately,Head of household"</formula1>
    </dataValidation>
  </dataValidations>
</worksheet>
</file>

<file path=xl/worksheets/sheet8.xml><?xml version="1.0" encoding="utf-8"?>
<worksheet xmlns="http://schemas.openxmlformats.org/spreadsheetml/2006/main" xmlns:r="http://schemas.openxmlformats.org/officeDocument/2006/relationships">
  <sheetPr>
    <outlinePr summaryBelow="1" summaryRight="1"/>
  </sheetPr>
  <dimension ref="A1:D25"/>
  <sheetViews>
    <sheetView showGridLines="0" workbookViewId="0">
      <pane xSplit="1" topLeftCell="B1" activePane="topRight" state="frozen"/>
      <selection pane="topRight" activeCell="B1" sqref="B1"/>
    </sheetView>
  </sheetViews>
  <sheetFormatPr defaultRowHeight="15"/>
  <cols>
    <col min="1" max="1" width="46" customWidth="1"/>
    <col min="2" max="2" width="18" customWidth="1"/>
    <col min="3" max="3" width="68" customWidth="1"/>
    <col min="4" max="4" width="18" customWidth="1"/>
  </cols>
  <sheetData>
    <row r="1">
      <c r="A1" s="8" t="inlineStr">
        <is>
          <t xml:space="preserve">What your numbers say</t>
        </is>
      </c>
    </row>
    <row r="2">
      <c r="A2" s="11" t="inlineStr">
        <is>
          <t xml:space="preserve">Every figure here is worked out from the tabs before it. Type there, and these move.</t>
        </is>
      </c>
    </row>
    <row r="3"/>
    <row r="4">
      <c r="A4" s="10" t="inlineStr">
        <is>
          <t xml:space="preserve">The share of a pot you could draw a year</t>
        </is>
      </c>
      <c r="B4" s="14">
        <v>0.04</v>
      </c>
      <c r="C4" s="11" t="inlineStr">
        <is>
          <t xml:space="preserve">The 4% convention. It is a rule of thumb, not a law; change it here and the FI number below changes with it.</t>
        </is>
      </c>
    </row>
    <row r="5"/>
    <row r="6">
      <c r="A6" s="9" t="inlineStr">
        <is>
          <t xml:space="preserve">The reading</t>
        </is>
      </c>
      <c r="B6" s="9" t="inlineStr">
        <is>
          <t xml:space="preserve">Your number</t>
        </is>
      </c>
      <c r="C6" s="9" t="inlineStr">
        <is>
          <t xml:space="preserve">How it is worked out</t>
        </is>
      </c>
      <c r="D6" s="9" t="inlineStr">
        <is>
          <t xml:space="preserve">reading id</t>
        </is>
      </c>
    </row>
    <row r="7">
      <c r="A7" s="10" t="inlineStr">
        <is>
          <t xml:space="preserve">Pay, a year, before tax</t>
        </is>
      </c>
      <c r="B7" s="18">
        <f>SUM(grossAnnualIncome)</f>
      </c>
      <c r="C7" s="11" t="inlineStr">
        <is>
          <t xml:space="preserve">Every line on Money in, added up.</t>
        </is>
      </c>
      <c r="D7" s="7" t="inlineStr">
        <is>
          <t xml:space="preserve">payAYear</t>
        </is>
      </c>
    </row>
    <row r="8">
      <c r="A8" s="10" t="inlineStr">
        <is>
          <t xml:space="preserve">Pay, a month, before tax</t>
        </is>
      </c>
      <c r="B8" s="18">
        <f>payAYear/12</f>
      </c>
      <c r="C8" s="11" t="inlineStr">
        <is>
          <t xml:space="preserve">A year of pay divided by twelve.</t>
        </is>
      </c>
      <c r="D8" s="7" t="inlineStr">
        <is>
          <t xml:space="preserve">payAMonth</t>
        </is>
      </c>
    </row>
    <row r="9">
      <c r="A9" s="10" t="inlineStr">
        <is>
          <t xml:space="preserve">Everything you own</t>
        </is>
      </c>
      <c r="B9" s="18">
        <f>totalSaved+otherAssets</f>
      </c>
      <c r="C9" s="11" t="inlineStr">
        <is>
          <t xml:space="preserve">Cash and investments, plus anything else on What you own.</t>
        </is>
      </c>
      <c r="D9" s="7" t="inlineStr">
        <is>
          <t xml:space="preserve">totalAssets</t>
        </is>
      </c>
    </row>
    <row r="10">
      <c r="A10" s="10" t="inlineStr">
        <is>
          <t xml:space="preserve">What a month really costs</t>
        </is>
      </c>
      <c r="B10" s="18">
        <f>monthlyExpenses+SUM(annualLine)/12</f>
      </c>
      <c r="C10" s="11" t="inlineStr">
        <is>
          <t xml:space="preserve">The month, plus a twelfth of the once-a-year bills, because they arrive whether the month is ready or not.</t>
        </is>
      </c>
      <c r="D10" s="7" t="inlineStr">
        <is>
          <t xml:space="preserve">trueMonthlySpend</t>
        </is>
      </c>
    </row>
    <row r="11">
      <c r="A11" s="10" t="inlineStr">
        <is>
          <t xml:space="preserve">If the pay stopped, months you could go</t>
        </is>
      </c>
      <c r="B11" s="20">
        <f>IF(monthlyExpenses=0,"",cashSavings/monthlyExpenses)</f>
      </c>
      <c r="C11" s="11" t="inlineStr">
        <is>
          <t xml:space="preserve">Cash divided by a month. The one number worth knowing before any other.</t>
        </is>
      </c>
      <c r="D11" s="7" t="inlineStr">
        <is>
          <t xml:space="preserve">runwayMonths</t>
        </is>
      </c>
    </row>
    <row r="12">
      <c r="A12" s="10" t="inlineStr">
        <is>
          <t xml:space="preserve">The cushion you are aiming at</t>
        </is>
      </c>
      <c r="B12" s="18">
        <f>IF(monthlyExpenses=0,"",monthlyExpenses*IF(payVaries="yes",6,3))</f>
      </c>
      <c r="C12" s="11" t="inlineStr">
        <is>
          <t xml:space="preserve">Three months of spending, or six when the pay swings.</t>
        </is>
      </c>
      <c r="D12" s="7" t="inlineStr">
        <is>
          <t xml:space="preserve">efTarget</t>
        </is>
      </c>
    </row>
    <row r="13">
      <c r="A13" s="10" t="inlineStr">
        <is>
          <t xml:space="preserve">How much of that cushion you have</t>
        </is>
      </c>
      <c r="B13" s="19">
        <f>IF(efTarget=0,"",cashSavings/efTarget)</f>
      </c>
      <c r="C13" s="11" t="inlineStr">
        <is>
          <t xml:space="preserve">Cash against the cushion. Over 100% means it is built.</t>
        </is>
      </c>
      <c r="D13" s="7" t="inlineStr">
        <is>
          <t xml:space="preserve">efCoverage</t>
        </is>
      </c>
    </row>
    <row r="14">
      <c r="A14" s="10" t="inlineStr">
        <is>
          <t xml:space="preserve">Share of pay you keep</t>
        </is>
      </c>
      <c r="B14" s="19">
        <f>IF(payAMonth=0,"",savedMonthly/payAMonth)</f>
      </c>
      <c r="C14" s="11" t="inlineStr">
        <is>
          <t xml:space="preserve">What you put away each month against what you earn before tax.</t>
        </is>
      </c>
      <c r="D14" s="7" t="inlineStr">
        <is>
          <t xml:space="preserve">savingsRateGross</t>
        </is>
      </c>
    </row>
    <row r="15">
      <c r="A15" s="10" t="inlineStr">
        <is>
          <t xml:space="preserve">Share of take-home you spend</t>
        </is>
      </c>
      <c r="B15" s="19">
        <f>IF(takeHomeMonthly=0,"",monthlyExpenses/takeHomeMonthly)</f>
      </c>
      <c r="C15" s="11" t="inlineStr">
        <is>
          <t xml:space="preserve">The month against what actually lands in the account.</t>
        </is>
      </c>
      <c r="D15" s="7" t="inlineStr">
        <is>
          <t xml:space="preserve">spendRate</t>
        </is>
      </c>
    </row>
    <row r="16">
      <c r="A16" s="10" t="inlineStr">
        <is>
          <t xml:space="preserve">Share of take-home the roof takes</t>
        </is>
      </c>
      <c r="B16" s="19">
        <f>IF(takeHomeMonthly=0,"",accommodationMonthly/takeHomeMonthly)</f>
      </c>
      <c r="C16" s="11" t="inlineStr">
        <is>
          <t xml:space="preserve">Rent or mortgage against take-home. Much over a third and everything else gets tight.</t>
        </is>
      </c>
      <c r="D16" s="7" t="inlineStr">
        <is>
          <t xml:space="preserve">shelterRate</t>
        </is>
      </c>
    </row>
    <row r="17">
      <c r="A17" s="10" t="inlineStr">
        <is>
          <t xml:space="preserve">Share of take-home the minimums take</t>
        </is>
      </c>
      <c r="B17" s="19">
        <f>IF(takeHomeMonthly=0,"",monthlyDebtPayments/takeHomeMonthly)</f>
      </c>
      <c r="C17" s="11" t="inlineStr">
        <is>
          <t xml:space="preserve">What you must pay on debts each month, against take-home.</t>
        </is>
      </c>
      <c r="D17" s="7" t="inlineStr">
        <is>
          <t xml:space="preserve">minimumsRate</t>
        </is>
      </c>
    </row>
    <row r="18">
      <c r="A18" s="10" t="inlineStr">
        <is>
          <t xml:space="preserve">Debt to income, the lender's way</t>
        </is>
      </c>
      <c r="B18" s="19">
        <f>IF(payAMonth=0,"",(accommodationMonthly+monthlyDebtPayments)/payAMonth)</f>
      </c>
      <c r="C18" s="11" t="inlineStr">
        <is>
          <t xml:space="preserve">The roof plus the minimums, against pay before tax. A mortgage lender reads this one.</t>
        </is>
      </c>
      <c r="D18" s="7" t="inlineStr">
        <is>
          <t xml:space="preserve">backEndDTI</t>
        </is>
      </c>
    </row>
    <row r="19">
      <c r="A19" s="10" t="inlineStr">
        <is>
          <t xml:space="preserve">What the debt costs you a month</t>
        </is>
      </c>
      <c r="B19" s="18">
        <f>SUMPRODUCT(debtBalance,debtRate)/12</f>
      </c>
      <c r="C19" s="11" t="inlineStr">
        <is>
          <t xml:space="preserve">Interest alone, before a penny comes off any balance.</t>
        </is>
      </c>
      <c r="D19" s="7" t="inlineStr">
        <is>
          <t xml:space="preserve">interestPerMonth</t>
        </is>
      </c>
    </row>
    <row r="20">
      <c r="A20" s="10" t="inlineStr">
        <is>
          <t xml:space="preserve">The rate you are really paying</t>
        </is>
      </c>
      <c r="B20" s="19">
        <f>IF(totalDebt=0,"",SUMPRODUCT(debtBalance,debtRate)/totalDebt)</f>
      </c>
      <c r="C20" s="11" t="inlineStr">
        <is>
          <t xml:space="preserve">Every rate, weighted by how much sits at it.</t>
        </is>
      </c>
      <c r="D20" s="7" t="inlineStr">
        <is>
          <t xml:space="preserve">weightedDebtRate</t>
        </is>
      </c>
    </row>
    <row r="21">
      <c r="A21" s="10" t="inlineStr">
        <is>
          <t xml:space="preserve">What you owe against what you own</t>
        </is>
      </c>
      <c r="B21" s="19">
        <f>IF(totalAssets=0,"",totalDebt/totalAssets)</f>
      </c>
      <c r="C21" s="11" t="inlineStr">
        <is>
          <t xml:space="preserve">Under 100% means you own more than you owe.</t>
        </is>
      </c>
      <c r="D21" s="7" t="inlineStr">
        <is>
          <t xml:space="preserve">debtToAssets</t>
        </is>
      </c>
    </row>
    <row r="22">
      <c r="A22" s="10" t="inlineStr">
        <is>
          <t xml:space="preserve">Share of what you own you could reach</t>
        </is>
      </c>
      <c r="B22" s="19">
        <f>IF(totalAssets=0,"",totalSaved/totalAssets)</f>
      </c>
      <c r="C22" s="11" t="inlineStr">
        <is>
          <t xml:space="preserve">Cash and investments against everything, including the things you would have to sell.</t>
        </is>
      </c>
      <c r="D22" s="7" t="inlineStr">
        <is>
          <t xml:space="preserve">liquidityRate</t>
        </is>
      </c>
    </row>
    <row r="23">
      <c r="A23" s="10" t="inlineStr">
        <is>
          <t xml:space="preserve">Net worth against a year of pay</t>
        </is>
      </c>
      <c r="B23" s="20">
        <f>IF(payAYear=0,"",netWorth/payAYear)</f>
      </c>
      <c r="C23" s="11" t="inlineStr">
        <is>
          <t xml:space="preserve">How many years of pay you have already banked.</t>
        </is>
      </c>
      <c r="D23" s="7" t="inlineStr">
        <is>
          <t xml:space="preserve">nwToIncome</t>
        </is>
      </c>
    </row>
    <row r="24">
      <c r="A24" s="10" t="inlineStr">
        <is>
          <t xml:space="preserve">If you stopped today, what you would draw</t>
        </is>
      </c>
      <c r="B24" s="19">
        <f>IF(investments=0,"",monthlyExpenses*12/investments)</f>
      </c>
      <c r="C24" s="11" t="inlineStr">
        <is>
          <t xml:space="preserve">A year of spending against the pot. Beside the 4% below, this says how far off the day is.</t>
        </is>
      </c>
      <c r="D24" s="7" t="inlineStr">
        <is>
          <t xml:space="preserve">currentWR</t>
        </is>
      </c>
    </row>
    <row r="25">
      <c r="A25" s="10" t="inlineStr">
        <is>
          <t xml:space="preserve">The pot that would cover the month forever</t>
        </is>
      </c>
      <c r="B25" s="18">
        <f>IF(swrRate=0,"",monthlyExpenses*12/swrRate)</f>
      </c>
      <c r="C25" s="11" t="inlineStr">
        <is>
          <t xml:space="preserve">A year of spending divided by the draw rate above. The convention, not a promise.</t>
        </is>
      </c>
      <c r="D25" s="7" t="inlineStr">
        <is>
          <t xml:space="preserve">fiNumber</t>
        </is>
      </c>
    </row>
  </sheetData>
</worksheet>
</file>

<file path=docProps/core.xml><?xml version="1.0" encoding="utf-8"?>
<cp:coreProperties xmlns:cp="http://schemas.openxmlformats.org/package/2006/metadata/core-properties" xmlns:dc="http://purl.org/dc/elements/1.1/" xmlns:dcterms="http://purl.org/dc/terms/" xmlns:xsi="http://www.w3.org/2001/XMLSchema-instance">
  <dc:title>Money Rooms</dc:title>
  <dc:creator>Money Rooms</dc:creator>
  <cp:lastModifiedBy>Money Rooms</cp:lastModifiedBy>
  <dcterms:created xsi:type="dcterms:W3CDTF">2026-09-26T00:00:00Z</dcterms:created>
</cp:coreProperties>
</file>