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_rels/drawing4.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coreboard" sheetId="2" state="visible" r:id="rId4"/>
    <sheet name="Lists" sheetId="3" state="visible" r:id="rId5"/>
    <sheet name="Posts" sheetId="4" state="visible" r:id="rId6"/>
    <sheet name="People" sheetId="5" state="visible" r:id="rId7"/>
    <sheet name="Touches" sheetId="6" state="visible" r:id="rId8"/>
    <sheet name="Weekly" sheetId="7" state="visible" r:id="rId9"/>
  </sheets>
  <definedNames>
    <definedName function="false" hidden="true" localSheetId="4" name="_xlnm._FilterDatabase" vbProcedure="false">People!$A$1:$Y$151</definedName>
    <definedName function="false" hidden="true" localSheetId="3" name="_xlnm._FilterDatabase" vbProcedure="false">Posts!$A$1:$V$251</definedName>
    <definedName function="false" hidden="true" localSheetId="5" name="_xlnm._FilterDatabase" vbProcedure="false">Touches!$A$1:$G$501</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E5" authorId="0">
      <text>
        <r>
          <rPr>
            <sz val="10"/>
            <rFont val="Arial"/>
            <family val="2"/>
          </rPr>
          <t xml:space="preserve">Blue cells on a cream background are yours to change. Everything else is a formula.</t>
        </r>
      </text>
    </comment>
    <comment ref="H5" authorId="0">
      <text>
        <r>
          <rPr>
            <sz val="10"/>
            <rFont val="Arial"/>
            <family val="2"/>
          </rPr>
          <t xml:space="preserve">Days between touches for people at this stage. "never" means the sheet will not nudge you about them.</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I1" authorId="0">
      <text>
        <r>
          <rPr>
            <sz val="10"/>
            <rFont val="Arial"/>
            <family val="2"/>
          </rPr>
          <t xml:space="preserve">Views, reach or impressions, from the platform. Pick one and use it every time. Leave blank until you have checked: blank is "not yet", never zero.</t>
        </r>
      </text>
    </comment>
    <comment ref="T1" authorId="0">
      <text>
        <r>
          <rPr>
            <sz val="10"/>
            <rFont val="Arial"/>
            <family val="2"/>
          </rPr>
          <t xml:space="preserve">Likes + comments + shares + saves. Blank until at least one of those is typed.</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J1" authorId="0">
      <text>
        <r>
          <rPr>
            <sz val="10"/>
            <rFont val="Arial"/>
            <family val="2"/>
          </rPr>
          <t xml:space="preserve">The Scoreboard counts leads, calls and clients from these three dates, so type the day it happened.</t>
        </r>
      </text>
    </comment>
    <comment ref="N1" authorId="0">
      <text>
        <r>
          <rPr>
            <sz val="10"/>
            <rFont val="Arial"/>
            <family val="2"/>
          </rPr>
          <t xml:space="preserve">Blank uses the stage's usual rhythm from the Lists tab. Type 0 to never be nudged about this person.</t>
        </r>
      </text>
    </comment>
    <comment ref="O1" authorId="0">
      <text>
        <r>
          <rPr>
            <sz val="10"/>
            <rFont val="Arial"/>
            <family val="2"/>
          </rPr>
          <t xml:space="preserve">A date here overrides the rhythm. Clear it to go back to the rhythm.</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Pick the name exactly as it is on the People tab; the dropdown reads that tab.</t>
        </r>
      </text>
    </comment>
  </commentList>
</comments>
</file>

<file path=xl/sharedStrings.xml><?xml version="1.0" encoding="utf-8"?>
<sst xmlns="http://schemas.openxmlformats.org/spreadsheetml/2006/main" count="437" uniqueCount="278">
  <si>
    <t xml:space="preserve">Marketing Scoreboard</t>
  </si>
  <si>
    <t xml:space="preserve">What gets measured gets managed. Three logs, one scoreboard, nothing hidden: every number is a formula you can click on.</t>
  </si>
  <si>
    <t xml:space="preserve">The tabs</t>
  </si>
  <si>
    <t xml:space="preserve">Posts: one row a post. Type the date, channel, format, topic, hook and ask when it goes out. Come back three days later and type the platform's numbers (reach, likes, comments, shares, saves, clicks, DMs, new followers, leads). Rows waiting for results turn yellow.</t>
  </si>
  <si>
    <t xml:space="preserve">People: one row a person. Stage, how you met them, and three dates that drive everything: became a lead on, call booked on, became a client on. The grey columns on the right work out their last touch, next touch and status.</t>
  </si>
  <si>
    <t xml:space="preserve">Touches: one row each time you and a person are in contact. Pick the person, the kind, the lane, who started it and what happened.</t>
  </si>
  <si>
    <t xml:space="preserve">Scoreboard: this week against the targets with pace; the period's numbers against the period before; the funnel; by channel, by ask, by format, by lane; conversion; who to contact today.</t>
  </si>
  <si>
    <t xml:space="preserve">Weekly: the last twelve weeks, one row a week, and the posting streak. Three charts.</t>
  </si>
  <si>
    <t xml:space="preserve">Lists: the dropdowns, the weekly targets, and each stage's rhythm (days between touches) and how to reach out.</t>
  </si>
  <si>
    <t xml:space="preserve">The rules</t>
  </si>
  <si>
    <t xml:space="preserve">Blank is not zero. A result you have not checked stays blank; the Scoreboard says blank, never 0%. A typed 0 is a real zero.</t>
  </si>
  <si>
    <t xml:space="preserve">Cream cells with blue text are yours to change (targets, rhythms, the period). Grey cells are formulas; leave them alone.</t>
  </si>
  <si>
    <t xml:space="preserve">Type names on Touches exactly as they are on People; the dropdown does that for you.</t>
  </si>
  <si>
    <t xml:space="preserve">The rows marked EXAMPLE in the Notes column show the shape. Delete them when you start.</t>
  </si>
  <si>
    <t xml:space="preserve">The words</t>
  </si>
  <si>
    <t xml:space="preserve">Reach: how many times a post was shown. Use the platform's number, the same one every time.</t>
  </si>
  <si>
    <t xml:space="preserve">Engagement rate: likes + comments + shares + saves, over reach. Above 2% is fine, above 5% is good.</t>
  </si>
  <si>
    <t xml:space="preserve">Reach-out: a touch you started. Conversation: a touch they started, or one of yours marked "They replied".</t>
  </si>
  <si>
    <t xml:space="preserve">Lane: where the person came from. Warm, cold, from content, paid, referral (Hormozi's Core Four, and referrals).</t>
  </si>
  <si>
    <t xml:space="preserve">Pace: where a weekly number should be by today if the week ends on target.</t>
  </si>
  <si>
    <t xml:space="preserve">Rhythm: days between touches for a stage. A person's own number or a "contact them on" date wins over it.</t>
  </si>
  <si>
    <t xml:space="preserve">What gets measured gets managed. Every number here is a formula over the Posts, People and Touches tabs. Blank means not entered, never zero.</t>
  </si>
  <si>
    <t xml:space="preserve">Period from</t>
  </si>
  <si>
    <t xml:space="preserve">Type dates over these two cells to read any period. The columns to the right compare it with the period of the same length just before.</t>
  </si>
  <si>
    <t xml:space="preserve">Period to</t>
  </si>
  <si>
    <t xml:space="preserve">The period before, from</t>
  </si>
  <si>
    <t xml:space="preserve">to</t>
  </si>
  <si>
    <t xml:space="preserve">This week against the targets</t>
  </si>
  <si>
    <t xml:space="preserve">Week starting</t>
  </si>
  <si>
    <t xml:space="preserve">Share of the week gone</t>
  </si>
  <si>
    <t xml:space="preserve">Target</t>
  </si>
  <si>
    <t xml:space="preserve">So far</t>
  </si>
  <si>
    <t xml:space="preserve">Should be by now</t>
  </si>
  <si>
    <t xml:space="preserve">Still to do</t>
  </si>
  <si>
    <t xml:space="preserve">Status</t>
  </si>
  <si>
    <t xml:space="preserve">Posts</t>
  </si>
  <si>
    <t xml:space="preserve">Reach-outs (touches I started)</t>
  </si>
  <si>
    <t xml:space="preserve">Conversations (they replied or wrote first)</t>
  </si>
  <si>
    <t xml:space="preserve">Leads (became a lead on)</t>
  </si>
  <si>
    <t xml:space="preserve">Calls booked (call booked on)</t>
  </si>
  <si>
    <t xml:space="preserve">The numbers for the period, against the period before</t>
  </si>
  <si>
    <t xml:space="preserve">This period</t>
  </si>
  <si>
    <t xml:space="preserve">Before</t>
  </si>
  <si>
    <t xml:space="preserve">Change</t>
  </si>
  <si>
    <t xml:space="preserve">Change %</t>
  </si>
  <si>
    <t xml:space="preserve">What it is</t>
  </si>
  <si>
    <t xml:space="preserve">Rows on Posts with a date in the period.</t>
  </si>
  <si>
    <t xml:space="preserve">Posts with results typed</t>
  </si>
  <si>
    <t xml:space="preserve">Of those, how many have Reach typed.</t>
  </si>
  <si>
    <t xml:space="preserve">Reach</t>
  </si>
  <si>
    <t xml:space="preserve">Reach added up. Blank until a post in the period has it.</t>
  </si>
  <si>
    <t xml:space="preserve">Engagements</t>
  </si>
  <si>
    <t xml:space="preserve">Likes + comments + shares + saves.</t>
  </si>
  <si>
    <t xml:space="preserve">Engagement rate</t>
  </si>
  <si>
    <t xml:space="preserve">Engagements over reach. Above 2% is fine, above 5% is good.</t>
  </si>
  <si>
    <t xml:space="preserve">Saves</t>
  </si>
  <si>
    <t xml:space="preserve">Saves are worth more than likes.</t>
  </si>
  <si>
    <t xml:space="preserve">New followers</t>
  </si>
  <si>
    <t xml:space="preserve">From what you typed on each post.</t>
  </si>
  <si>
    <t xml:space="preserve">Leads credited to posts</t>
  </si>
  <si>
    <t xml:space="preserve">The Leads column on Posts.</t>
  </si>
  <si>
    <t xml:space="preserve">Content hours</t>
  </si>
  <si>
    <t xml:space="preserve">Minutes to make, added up, over 60.</t>
  </si>
  <si>
    <t xml:space="preserve">Reach-outs</t>
  </si>
  <si>
    <t xml:space="preserve">Touches you started.</t>
  </si>
  <si>
    <t xml:space="preserve">Conversations</t>
  </si>
  <si>
    <t xml:space="preserve">Touches they started, plus yours marked "They replied".</t>
  </si>
  <si>
    <t xml:space="preserve">Reply rate</t>
  </si>
  <si>
    <t xml:space="preserve">Conversations over reach-outs. Above 30% warm, above 10% cold.</t>
  </si>
  <si>
    <t xml:space="preserve">Leads</t>
  </si>
  <si>
    <t xml:space="preserve">People whose "Became a lead on" is in the period.</t>
  </si>
  <si>
    <t xml:space="preserve">Calls booked</t>
  </si>
  <si>
    <t xml:space="preserve">People whose "Call booked on" is in the period.</t>
  </si>
  <si>
    <t xml:space="preserve">Clients won</t>
  </si>
  <si>
    <t xml:space="preserve">People whose "Became a client on" is in the period.</t>
  </si>
  <si>
    <t xml:space="preserve">Revenue agreed</t>
  </si>
  <si>
    <t xml:space="preserve">What those clients paid.</t>
  </si>
  <si>
    <t xml:space="preserve">Hours a lead</t>
  </si>
  <si>
    <t xml:space="preserve">Content hours over leads. Lower is better.</t>
  </si>
  <si>
    <t xml:space="preserve">The funnel, each step as a share of the one before</t>
  </si>
  <si>
    <t xml:space="preserve">Share of the step before</t>
  </si>
  <si>
    <t xml:space="preserve">Reached</t>
  </si>
  <si>
    <t xml:space="preserve">Engaged</t>
  </si>
  <si>
    <t xml:space="preserve">Followed</t>
  </si>
  <si>
    <t xml:space="preserve">Talked to me</t>
  </si>
  <si>
    <t xml:space="preserve">Became a lead</t>
  </si>
  <si>
    <t xml:space="preserve">Booked a call</t>
  </si>
  <si>
    <t xml:space="preserve">Became a client</t>
  </si>
  <si>
    <t xml:space="preserve">By channel</t>
  </si>
  <si>
    <t xml:space="preserve">Leads a post</t>
  </si>
  <si>
    <t xml:space="preserve">By ask (what you asked people to do)</t>
  </si>
  <si>
    <t xml:space="preserve">By format</t>
  </si>
  <si>
    <t xml:space="preserve">Where the money comes from, by how you met them (all people, dates in the period)</t>
  </si>
  <si>
    <t xml:space="preserve">People</t>
  </si>
  <si>
    <t xml:space="preserve">Clients</t>
  </si>
  <si>
    <t xml:space="preserve">Revenue</t>
  </si>
  <si>
    <t xml:space="preserve">Conversion, all time (from the three dates on People)</t>
  </si>
  <si>
    <t xml:space="preserve">Leads, ever</t>
  </si>
  <si>
    <t xml:space="preserve">Of those, booked a call</t>
  </si>
  <si>
    <t xml:space="preserve">Of the calls, became clients</t>
  </si>
  <si>
    <t xml:space="preserve">Average days from lead to client</t>
  </si>
  <si>
    <t xml:space="preserve">Who to contact today (overdue first)</t>
  </si>
  <si>
    <t xml:space="preserve">Name</t>
  </si>
  <si>
    <t xml:space="preserve">Stage</t>
  </si>
  <si>
    <t xml:space="preserve">Days over</t>
  </si>
  <si>
    <t xml:space="preserve">Next touch</t>
  </si>
  <si>
    <t xml:space="preserve">How</t>
  </si>
  <si>
    <t xml:space="preserve">Lists and targets</t>
  </si>
  <si>
    <t xml:space="preserve">The dropdowns read these. Change a target here and the Scoreboard follows. Add a channel or a format by typing it below the last one.</t>
  </si>
  <si>
    <t xml:space="preserve">Channels</t>
  </si>
  <si>
    <t xml:space="preserve">Formats</t>
  </si>
  <si>
    <t xml:space="preserve">Asks</t>
  </si>
  <si>
    <t xml:space="preserve">Targets</t>
  </si>
  <si>
    <t xml:space="preserve">Days between touches</t>
  </si>
  <si>
    <t xml:space="preserve">How to reach out at this stage</t>
  </si>
  <si>
    <t xml:space="preserve">How we met (lanes)</t>
  </si>
  <si>
    <t xml:space="preserve">Touch kinds</t>
  </si>
  <si>
    <t xml:space="preserve">What happened</t>
  </si>
  <si>
    <t xml:space="preserve">Who started</t>
  </si>
  <si>
    <t xml:space="preserve">Instagram</t>
  </si>
  <si>
    <t xml:space="preserve">Short video</t>
  </si>
  <si>
    <t xml:space="preserve">No ask</t>
  </si>
  <si>
    <t xml:space="preserve">Posts a week</t>
  </si>
  <si>
    <t xml:space="preserve">Stranger</t>
  </si>
  <si>
    <t xml:space="preserve">never</t>
  </si>
  <si>
    <t xml:space="preserve">Comment on something of theirs first. No pitch.</t>
  </si>
  <si>
    <t xml:space="preserve">Warm (they know me)</t>
  </si>
  <si>
    <t xml:space="preserve">Comment</t>
  </si>
  <si>
    <t xml:space="preserve">No reply yet</t>
  </si>
  <si>
    <t xml:space="preserve">Me</t>
  </si>
  <si>
    <t xml:space="preserve">TikTok</t>
  </si>
  <si>
    <t xml:space="preserve">Long video</t>
  </si>
  <si>
    <t xml:space="preserve">Follow</t>
  </si>
  <si>
    <t xml:space="preserve">Reach-outs a week</t>
  </si>
  <si>
    <t xml:space="preserve">Follower</t>
  </si>
  <si>
    <t xml:space="preserve">Reply to their content, or a DM about something they posted.</t>
  </si>
  <si>
    <t xml:space="preserve">Cold (they do not)</t>
  </si>
  <si>
    <t xml:space="preserve">DM</t>
  </si>
  <si>
    <t xml:space="preserve">They replied</t>
  </si>
  <si>
    <t xml:space="preserve">Them</t>
  </si>
  <si>
    <t xml:space="preserve">YouTube</t>
  </si>
  <si>
    <t xml:space="preserve">Carousel</t>
  </si>
  <si>
    <t xml:space="preserve">Comment a word</t>
  </si>
  <si>
    <t xml:space="preserve">Conversations a week</t>
  </si>
  <si>
    <t xml:space="preserve">In conversation</t>
  </si>
  <si>
    <t xml:space="preserve">A DM or a message that asks a question about them.</t>
  </si>
  <si>
    <t xml:space="preserve">From content</t>
  </si>
  <si>
    <t xml:space="preserve">Email</t>
  </si>
  <si>
    <t xml:space="preserve">Call booked</t>
  </si>
  <si>
    <t xml:space="preserve">LinkedIn</t>
  </si>
  <si>
    <t xml:space="preserve">Image</t>
  </si>
  <si>
    <t xml:space="preserve">DM me</t>
  </si>
  <si>
    <t xml:space="preserve">Leads a week</t>
  </si>
  <si>
    <t xml:space="preserve">Lead</t>
  </si>
  <si>
    <t xml:space="preserve">An email or a voice note. Offer the next step plainly.</t>
  </si>
  <si>
    <t xml:space="preserve">Paid</t>
  </si>
  <si>
    <t xml:space="preserve">Text</t>
  </si>
  <si>
    <t xml:space="preserve">They bought</t>
  </si>
  <si>
    <t xml:space="preserve">X</t>
  </si>
  <si>
    <t xml:space="preserve">Text post</t>
  </si>
  <si>
    <t xml:space="preserve">Click the link</t>
  </si>
  <si>
    <t xml:space="preserve">Calls booked a week</t>
  </si>
  <si>
    <t xml:space="preserve">Confirm the call the day before. Send what to bring.</t>
  </si>
  <si>
    <t xml:space="preserve">Referral</t>
  </si>
  <si>
    <t xml:space="preserve">Call</t>
  </si>
  <si>
    <t xml:space="preserve">Not now</t>
  </si>
  <si>
    <t xml:space="preserve">Threads</t>
  </si>
  <si>
    <t xml:space="preserve">Story</t>
  </si>
  <si>
    <t xml:space="preserve">Book a call</t>
  </si>
  <si>
    <t xml:space="preserve">Client</t>
  </si>
  <si>
    <t xml:space="preserve">A check-in call or email. Ask what changed.</t>
  </si>
  <si>
    <t xml:space="preserve">Voice note</t>
  </si>
  <si>
    <t xml:space="preserve">Facebook</t>
  </si>
  <si>
    <t xml:space="preserve">Live</t>
  </si>
  <si>
    <t xml:space="preserve">Buy</t>
  </si>
  <si>
    <t xml:space="preserve">Advocate</t>
  </si>
  <si>
    <t xml:space="preserve">Thank them. Ask who else should hear about this.</t>
  </si>
  <si>
    <t xml:space="preserve">Met in person</t>
  </si>
  <si>
    <t xml:space="preserve">Newsletter</t>
  </si>
  <si>
    <t xml:space="preserve">Share it</t>
  </si>
  <si>
    <t xml:space="preserve">Leave it. A kind note in six months if they said so.</t>
  </si>
  <si>
    <t xml:space="preserve">Gift or card</t>
  </si>
  <si>
    <t xml:space="preserve">Podcast</t>
  </si>
  <si>
    <t xml:space="preserve">Article</t>
  </si>
  <si>
    <t xml:space="preserve">Blog</t>
  </si>
  <si>
    <t xml:space="preserve">Episode</t>
  </si>
  <si>
    <t xml:space="preserve">Other</t>
  </si>
  <si>
    <t xml:space="preserve">Date</t>
  </si>
  <si>
    <t xml:space="preserve">Channel</t>
  </si>
  <si>
    <t xml:space="preserve">Format</t>
  </si>
  <si>
    <t xml:space="preserve">Topic</t>
  </si>
  <si>
    <t xml:space="preserve">Hook (the first line)</t>
  </si>
  <si>
    <t xml:space="preserve">Ask</t>
  </si>
  <si>
    <t xml:space="preserve">Link</t>
  </si>
  <si>
    <t xml:space="preserve">Minutes to make</t>
  </si>
  <si>
    <t xml:space="preserve">Likes</t>
  </si>
  <si>
    <t xml:space="preserve">Comments</t>
  </si>
  <si>
    <t xml:space="preserve">Shares</t>
  </si>
  <si>
    <t xml:space="preserve">Link clicks</t>
  </si>
  <si>
    <t xml:space="preserve">DMs it started</t>
  </si>
  <si>
    <t xml:space="preserve">Results typed on</t>
  </si>
  <si>
    <t xml:space="preserve">Notes</t>
  </si>
  <si>
    <t xml:space="preserve">money habits</t>
  </si>
  <si>
    <t xml:space="preserve">The one number nobody checks</t>
  </si>
  <si>
    <t xml:space="preserve">EXAMPLE</t>
  </si>
  <si>
    <t xml:space="preserve">client story</t>
  </si>
  <si>
    <t xml:space="preserve">What a client asked me this week</t>
  </si>
  <si>
    <t xml:space="preserve">how to</t>
  </si>
  <si>
    <t xml:space="preserve">The spreadsheet that runs my life</t>
  </si>
  <si>
    <t xml:space="preserve">https://example.com/video</t>
  </si>
  <si>
    <t xml:space="preserve">a mistake I made</t>
  </si>
  <si>
    <t xml:space="preserve">I did this wrong for ten years</t>
  </si>
  <si>
    <t xml:space="preserve">Why your emergency fund is the wrong size</t>
  </si>
  <si>
    <t xml:space="preserve">behind the scenes</t>
  </si>
  <si>
    <t xml:space="preserve">Three minutes on the thing you keep putting off</t>
  </si>
  <si>
    <t xml:space="preserve">Sunday planning, live</t>
  </si>
  <si>
    <t xml:space="preserve">Stop budgeting. Do this instead.</t>
  </si>
  <si>
    <t xml:space="preserve">Company</t>
  </si>
  <si>
    <t xml:space="preserve">Role</t>
  </si>
  <si>
    <t xml:space="preserve">Phone</t>
  </si>
  <si>
    <t xml:space="preserve">Platform</t>
  </si>
  <si>
    <t xml:space="preserve">Handle or link</t>
  </si>
  <si>
    <t xml:space="preserve">How we met</t>
  </si>
  <si>
    <t xml:space="preserve">Became a lead on</t>
  </si>
  <si>
    <t xml:space="preserve">Call booked on</t>
  </si>
  <si>
    <t xml:space="preserve">Became a client on</t>
  </si>
  <si>
    <t xml:space="preserve">Paid ($)</t>
  </si>
  <si>
    <t xml:space="preserve">Contact them on</t>
  </si>
  <si>
    <t xml:space="preserve">Tags</t>
  </si>
  <si>
    <t xml:space="preserve">Came from this post</t>
  </si>
  <si>
    <t xml:space="preserve">Added on</t>
  </si>
  <si>
    <t xml:space="preserve">Last touch</t>
  </si>
  <si>
    <t xml:space="preserve">Rhythm (days)</t>
  </si>
  <si>
    <t xml:space="preserve">How to reach out</t>
  </si>
  <si>
    <t xml:space="preserve">sort key</t>
  </si>
  <si>
    <t xml:space="preserve">Ada Okafor</t>
  </si>
  <si>
    <t xml:space="preserve">Northwind Studio</t>
  </si>
  <si>
    <t xml:space="preserve">Founder</t>
  </si>
  <si>
    <t xml:space="preserve">ada@example.com</t>
  </si>
  <si>
    <t xml:space="preserve">@ada.demo</t>
  </si>
  <si>
    <t xml:space="preserve">small business</t>
  </si>
  <si>
    <t xml:space="preserve">Ben Sato</t>
  </si>
  <si>
    <t xml:space="preserve">Bramble &amp; Co</t>
  </si>
  <si>
    <t xml:space="preserve">Owner</t>
  </si>
  <si>
    <t xml:space="preserve">ben@example.com</t>
  </si>
  <si>
    <t xml:space="preserve">Cleo Marsh</t>
  </si>
  <si>
    <t xml:space="preserve">Halcyon Physio</t>
  </si>
  <si>
    <t xml:space="preserve">cleo@example.com</t>
  </si>
  <si>
    <t xml:space="preserve">555-0100</t>
  </si>
  <si>
    <t xml:space="preserve">parent</t>
  </si>
  <si>
    <t xml:space="preserve">Dev Patel</t>
  </si>
  <si>
    <t xml:space="preserve">dev@example.com</t>
  </si>
  <si>
    <t xml:space="preserve">@dev.demo</t>
  </si>
  <si>
    <t xml:space="preserve">Esme Haddad</t>
  </si>
  <si>
    <t xml:space="preserve">Ferro Fitness</t>
  </si>
  <si>
    <t xml:space="preserve">Coach</t>
  </si>
  <si>
    <t xml:space="preserve">esme@example.com</t>
  </si>
  <si>
    <t xml:space="preserve">Femi Lindqvist</t>
  </si>
  <si>
    <t xml:space="preserve">Oak Lane Dental</t>
  </si>
  <si>
    <t xml:space="preserve">femi@example.com</t>
  </si>
  <si>
    <t xml:space="preserve">Person</t>
  </si>
  <si>
    <t xml:space="preserve">Kind</t>
  </si>
  <si>
    <t xml:space="preserve">Lane</t>
  </si>
  <si>
    <t xml:space="preserve">Who started it</t>
  </si>
  <si>
    <t xml:space="preserve">Note</t>
  </si>
  <si>
    <t xml:space="preserve">Asked about the carousel</t>
  </si>
  <si>
    <t xml:space="preserve">Sent the worksheet</t>
  </si>
  <si>
    <t xml:space="preserve">Offered a call</t>
  </si>
  <si>
    <t xml:space="preserve">Thursday 10am</t>
  </si>
  <si>
    <t xml:space="preserve">Six sessions</t>
  </si>
  <si>
    <t xml:space="preserve">Commented "yes" on the post</t>
  </si>
  <si>
    <t xml:space="preserve">Second try</t>
  </si>
  <si>
    <t xml:space="preserve">The last twelve weeks</t>
  </si>
  <si>
    <t xml:space="preserve">One row a week, newest at the bottom. The streak counts weeks in a row on the posting target.</t>
  </si>
  <si>
    <t xml:space="preserve">On target?</t>
  </si>
  <si>
    <t xml:space="preserve">Streak</t>
  </si>
  <si>
    <t xml:space="preserve">Streak now</t>
  </si>
  <si>
    <t xml:space="preserve">weeks in a row (this week counts once it is on target)</t>
  </si>
</sst>
</file>

<file path=xl/styles.xml><?xml version="1.0" encoding="utf-8"?>
<styleSheet xmlns="http://schemas.openxmlformats.org/spreadsheetml/2006/main">
  <numFmts count="12">
    <numFmt numFmtId="164" formatCode="General"/>
    <numFmt numFmtId="165" formatCode="yyyy\-mm\-dd"/>
    <numFmt numFmtId="166" formatCode="0%"/>
    <numFmt numFmtId="167" formatCode="General"/>
    <numFmt numFmtId="168" formatCode="0.0"/>
    <numFmt numFmtId="169" formatCode="0"/>
    <numFmt numFmtId="170" formatCode="\+0;\-0;0"/>
    <numFmt numFmtId="171" formatCode="\+0%;\-0%;0%"/>
    <numFmt numFmtId="172" formatCode="#,##0"/>
    <numFmt numFmtId="173" formatCode="0.0%"/>
    <numFmt numFmtId="174" formatCode="\$#,##0"/>
    <numFmt numFmtId="175" formatCode="0.00"/>
  </numFmts>
  <fonts count="17">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1"/>
      <name val="Arial"/>
      <family val="0"/>
      <charset val="1"/>
    </font>
    <font>
      <b val="true"/>
      <sz val="12"/>
      <name val="Arial"/>
      <family val="0"/>
      <charset val="1"/>
    </font>
    <font>
      <sz val="11"/>
      <color theme="1"/>
      <name val="Arial"/>
      <family val="0"/>
      <charset val="1"/>
    </font>
    <font>
      <i val="true"/>
      <sz val="11"/>
      <color rgb="FF555555"/>
      <name val="Arial"/>
      <family val="0"/>
      <charset val="1"/>
    </font>
    <font>
      <b val="true"/>
      <sz val="11"/>
      <name val="Arial"/>
      <family val="0"/>
      <charset val="1"/>
    </font>
    <font>
      <sz val="11"/>
      <color rgb="FF0000FF"/>
      <name val="Arial"/>
      <family val="0"/>
      <charset val="1"/>
    </font>
    <font>
      <sz val="9"/>
      <color rgb="FF555555"/>
      <name val="Arial"/>
      <family val="0"/>
      <charset val="1"/>
    </font>
    <font>
      <b val="true"/>
      <sz val="11"/>
      <color rgb="FFFFFFFF"/>
      <name val="Arial"/>
      <family val="0"/>
      <charset val="1"/>
    </font>
    <font>
      <sz val="10"/>
      <name val="Arial"/>
      <family val="2"/>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FFF8DC"/>
        <bgColor rgb="FFFFF2CC"/>
      </patternFill>
    </fill>
    <fill>
      <patternFill patternType="solid">
        <fgColor rgb="FFEEF2F7"/>
        <bgColor rgb="FFF9F9F9"/>
      </patternFill>
    </fill>
    <fill>
      <patternFill patternType="solid">
        <fgColor rgb="FFDCE6F2"/>
        <bgColor rgb="FFD9EAD3"/>
      </patternFill>
    </fill>
    <fill>
      <patternFill patternType="solid">
        <fgColor rgb="FF1F3A5F"/>
        <bgColor rgb="FF333399"/>
      </patternFill>
    </fill>
  </fills>
  <borders count="2">
    <border diagonalUp="false" diagonalDown="false">
      <left/>
      <right/>
      <top/>
      <bottom/>
      <diagonal/>
    </border>
    <border diagonalUp="false" diagonalDown="false">
      <left/>
      <right/>
      <top/>
      <bottom style="thin">
        <color rgb="FFC9D1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3"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6" fontId="5" fillId="3"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7" fontId="5" fillId="3" borderId="0" xfId="0" applyFont="true" applyBorder="false" applyAlignment="false" applyProtection="false">
      <alignment horizontal="general" vertical="bottom" textRotation="0" wrapText="false" indent="0" shrinkToFit="false"/>
      <protection locked="true" hidden="false"/>
    </xf>
    <xf numFmtId="168" fontId="5"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9" fontId="5" fillId="3" borderId="0" xfId="0" applyFont="true" applyBorder="false" applyAlignment="false" applyProtection="false">
      <alignment horizontal="general" vertical="bottom" textRotation="0" wrapText="false" indent="0" shrinkToFit="false"/>
      <protection locked="true" hidden="false"/>
    </xf>
    <xf numFmtId="170" fontId="5" fillId="3" borderId="0" xfId="0" applyFont="true" applyBorder="false" applyAlignment="false" applyProtection="false">
      <alignment horizontal="general" vertical="bottom" textRotation="0" wrapText="false" indent="0" shrinkToFit="false"/>
      <protection locked="true" hidden="false"/>
    </xf>
    <xf numFmtId="171" fontId="5" fillId="3"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2" fontId="5" fillId="3" borderId="0" xfId="0" applyFont="true" applyBorder="false" applyAlignment="false" applyProtection="false">
      <alignment horizontal="general" vertical="bottom" textRotation="0" wrapText="false" indent="0" shrinkToFit="false"/>
      <protection locked="true" hidden="false"/>
    </xf>
    <xf numFmtId="173" fontId="5" fillId="3" borderId="0" xfId="0" applyFont="true" applyBorder="false" applyAlignment="false" applyProtection="false">
      <alignment horizontal="general" vertical="bottom" textRotation="0" wrapText="false" indent="0" shrinkToFit="false"/>
      <protection locked="true" hidden="false"/>
    </xf>
    <xf numFmtId="174" fontId="5" fillId="3" borderId="0" xfId="0" applyFont="true" applyBorder="false" applyAlignment="false" applyProtection="false">
      <alignment horizontal="general" vertical="bottom" textRotation="0" wrapText="false" indent="0" shrinkToFit="false"/>
      <protection locked="true" hidden="false"/>
    </xf>
    <xf numFmtId="175" fontId="5" fillId="3" borderId="0" xfId="0" applyFont="true" applyBorder="false" applyAlignment="false" applyProtection="false">
      <alignment horizontal="general" vertical="bottom" textRotation="0" wrapText="false" indent="0" shrinkToFit="false"/>
      <protection locked="true" hidden="false"/>
    </xf>
    <xf numFmtId="164" fontId="12" fillId="5" borderId="0" xfId="0" applyFont="true" applyBorder="false" applyAlignment="true" applyProtection="false">
      <alignment horizontal="general" vertical="center" textRotation="0" wrapText="tru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bgColor rgb="FFD9EAD3"/>
        </patternFill>
      </fill>
    </dxf>
    <dxf>
      <fill>
        <patternFill>
          <bgColor rgb="FFFFF2CC"/>
        </patternFill>
      </fill>
    </dxf>
    <dxf>
      <fill>
        <patternFill>
          <bgColor rgb="FFF4CCCC"/>
        </patternFill>
      </fill>
    </dxf>
    <dxf>
      <fill>
        <patternFill patternType="solid">
          <fgColor rgb="FF1F3A5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EF2F7"/>
          <bgColor rgb="FF000000"/>
        </patternFill>
      </fill>
    </dxf>
    <dxf>
      <fill>
        <patternFill patternType="solid">
          <fgColor rgb="FFF4CCCC"/>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BE4B48"/>
      <rgbColor rgb="FFFFF8DC"/>
      <rgbColor rgb="FFEEF2F7"/>
      <rgbColor rgb="FF660066"/>
      <rgbColor rgb="FFFF8080"/>
      <rgbColor rgb="FF0066CC"/>
      <rgbColor rgb="FFC9D1DB"/>
      <rgbColor rgb="FF000080"/>
      <rgbColor rgb="FFFF00FF"/>
      <rgbColor rgb="FFFFFF00"/>
      <rgbColor rgb="FF00FFFF"/>
      <rgbColor rgb="FF800080"/>
      <rgbColor rgb="FF800000"/>
      <rgbColor rgb="FF008080"/>
      <rgbColor rgb="FF0000FF"/>
      <rgbColor rgb="FF00CCFF"/>
      <rgbColor rgb="FFDCE6F2"/>
      <rgbColor rgb="FFD9EAD3"/>
      <rgbColor rgb="FFFFF2CC"/>
      <rgbColor rgb="FFF9F9F9"/>
      <rgbColor rgb="FFFF99CC"/>
      <rgbColor rgb="FFCC99FF"/>
      <rgbColor rgb="FFF4CCCC"/>
      <rgbColor rgb="FF3366FF"/>
      <rgbColor rgb="FF33CCCC"/>
      <rgbColor rgb="FF9BBB59"/>
      <rgbColor rgb="FFFFCC00"/>
      <rgbColor rgb="FFFF9900"/>
      <rgbColor rgb="FFFF6600"/>
      <rgbColor rgb="FF4F81BD"/>
      <rgbColor rgb="FF969696"/>
      <rgbColor rgb="FF1F3A5F"/>
      <rgbColor rgb="FF339966"/>
      <rgbColor rgb="FF003300"/>
      <rgbColor rgb="FF333300"/>
      <rgbColor rgb="FF993300"/>
      <rgbColor rgb="FFC0504D"/>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Posts a week</a:t>
            </a:r>
          </a:p>
        </c:rich>
      </c:tx>
      <c:overlay val="0"/>
      <c:spPr>
        <a:noFill/>
        <a:ln w="0">
          <a:noFill/>
        </a:ln>
      </c:spPr>
    </c:title>
    <c:autoTitleDeleted val="0"/>
    <c:plotArea>
      <c:barChart>
        <c:barDir val="col"/>
        <c:grouping val="clustered"/>
        <c:varyColors val="0"/>
        <c:ser>
          <c:idx val="0"/>
          <c:order val="0"/>
          <c:tx>
            <c:strRef>
              <c:f>Weekly!B4</c:f>
              <c:strCache>
                <c:ptCount val="1"/>
                <c:pt idx="0">
                  <c:v>Posts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Weekly!$A$5:$A$16</c:f>
              <c:strCache>
                <c:ptCount val="12"/>
                <c:pt idx="0">
                  <c:v>2026-07-06</c:v>
                </c:pt>
                <c:pt idx="1">
                  <c:v>2026-07-13</c:v>
                </c:pt>
                <c:pt idx="2">
                  <c:v>2026-07-20</c:v>
                </c:pt>
                <c:pt idx="3">
                  <c:v>2026-07-27</c:v>
                </c:pt>
                <c:pt idx="4">
                  <c:v>2026-08-03</c:v>
                </c:pt>
                <c:pt idx="5">
                  <c:v>2026-08-10</c:v>
                </c:pt>
                <c:pt idx="6">
                  <c:v>2026-08-17</c:v>
                </c:pt>
                <c:pt idx="7">
                  <c:v>2026-08-24</c:v>
                </c:pt>
                <c:pt idx="8">
                  <c:v>2026-08-31</c:v>
                </c:pt>
                <c:pt idx="9">
                  <c:v>2026-09-07</c:v>
                </c:pt>
                <c:pt idx="10">
                  <c:v>2026-09-14</c:v>
                </c:pt>
                <c:pt idx="11">
                  <c:v>2026-09-21</c:v>
                </c:pt>
              </c:strCache>
            </c:strRef>
          </c:cat>
          <c:val>
            <c:numRef>
              <c:f>Weekly!$B$5:$B$16</c:f>
              <c:numCache>
                <c:formatCode>0</c:formatCode>
                <c:ptCount val="12"/>
                <c:pt idx="0">
                  <c:v>0</c:v>
                </c:pt>
                <c:pt idx="1">
                  <c:v>0</c:v>
                </c:pt>
                <c:pt idx="2">
                  <c:v>0</c:v>
                </c:pt>
                <c:pt idx="3">
                  <c:v>0</c:v>
                </c:pt>
                <c:pt idx="4">
                  <c:v>0</c:v>
                </c:pt>
                <c:pt idx="5">
                  <c:v>0</c:v>
                </c:pt>
                <c:pt idx="6">
                  <c:v>0</c:v>
                </c:pt>
                <c:pt idx="7">
                  <c:v>0</c:v>
                </c:pt>
                <c:pt idx="8">
                  <c:v>1</c:v>
                </c:pt>
                <c:pt idx="9">
                  <c:v>2</c:v>
                </c:pt>
                <c:pt idx="10">
                  <c:v>3</c:v>
                </c:pt>
                <c:pt idx="11">
                  <c:v>2</c:v>
                </c:pt>
              </c:numCache>
            </c:numRef>
          </c:val>
        </c:ser>
        <c:gapWidth val="150"/>
        <c:overlap val="0"/>
        <c:axId val="50369590"/>
        <c:axId val="11479168"/>
      </c:barChart>
      <c:catAx>
        <c:axId val="50369590"/>
        <c:scaling>
          <c:orientation val="minMax"/>
        </c:scaling>
        <c:delete val="0"/>
        <c:axPos val="b"/>
        <c:numFmt formatCode="yyyy\-mm\-dd"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479168"/>
        <c:crosses val="autoZero"/>
        <c:auto val="1"/>
        <c:lblAlgn val="ctr"/>
        <c:lblOffset val="100"/>
        <c:noMultiLvlLbl val="0"/>
      </c:catAx>
      <c:valAx>
        <c:axId val="1147916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Posts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36959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Reach a week</a:t>
            </a:r>
          </a:p>
        </c:rich>
      </c:tx>
      <c:overlay val="0"/>
      <c:spPr>
        <a:noFill/>
        <a:ln w="0">
          <a:noFill/>
        </a:ln>
      </c:spPr>
    </c:title>
    <c:autoTitleDeleted val="0"/>
    <c:plotArea>
      <c:lineChart>
        <c:grouping val="standard"/>
        <c:varyColors val="0"/>
        <c:ser>
          <c:idx val="0"/>
          <c:order val="0"/>
          <c:tx>
            <c:strRef>
              <c:f>Weekly!C4</c:f>
              <c:strCache>
                <c:ptCount val="1"/>
                <c:pt idx="0">
                  <c:v>Reach</c:v>
                </c:pt>
              </c:strCache>
            </c:strRef>
          </c:tx>
          <c:spPr>
            <a:solidFill>
              <a:srgbClr val="be4b48"/>
            </a:solidFill>
            <a:ln w="475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Weekly!$A$5:$A$16</c:f>
              <c:strCache>
                <c:ptCount val="12"/>
                <c:pt idx="0">
                  <c:v>2026-07-06</c:v>
                </c:pt>
                <c:pt idx="1">
                  <c:v>2026-07-13</c:v>
                </c:pt>
                <c:pt idx="2">
                  <c:v>2026-07-20</c:v>
                </c:pt>
                <c:pt idx="3">
                  <c:v>2026-07-27</c:v>
                </c:pt>
                <c:pt idx="4">
                  <c:v>2026-08-03</c:v>
                </c:pt>
                <c:pt idx="5">
                  <c:v>2026-08-10</c:v>
                </c:pt>
                <c:pt idx="6">
                  <c:v>2026-08-17</c:v>
                </c:pt>
                <c:pt idx="7">
                  <c:v>2026-08-24</c:v>
                </c:pt>
                <c:pt idx="8">
                  <c:v>2026-08-31</c:v>
                </c:pt>
                <c:pt idx="9">
                  <c:v>2026-09-07</c:v>
                </c:pt>
                <c:pt idx="10">
                  <c:v>2026-09-14</c:v>
                </c:pt>
                <c:pt idx="11">
                  <c:v>2026-09-21</c:v>
                </c:pt>
              </c:strCache>
            </c:strRef>
          </c:cat>
          <c:val>
            <c:numRef>
              <c:f>Weekly!$C$5:$C$16</c:f>
              <c:numCache>
                <c:formatCode>#,##0</c:formatCode>
                <c:ptCount val="12"/>
                <c:pt idx="8">
                  <c:v>1840</c:v>
                </c:pt>
                <c:pt idx="9">
                  <c:v>3170</c:v>
                </c:pt>
                <c:pt idx="10">
                  <c:v>5060</c:v>
                </c:pt>
              </c:numCache>
            </c:numRef>
          </c:val>
          <c:smooth val="1"/>
        </c:ser>
        <c:hiLowLines>
          <c:spPr>
            <a:ln w="0">
              <a:noFill/>
            </a:ln>
          </c:spPr>
        </c:hiLowLines>
        <c:marker val="0"/>
        <c:axId val="17291189"/>
        <c:axId val="48440265"/>
      </c:lineChart>
      <c:catAx>
        <c:axId val="17291189"/>
        <c:scaling>
          <c:orientation val="minMax"/>
        </c:scaling>
        <c:delete val="0"/>
        <c:axPos val="b"/>
        <c:numFmt formatCode="yyyy\-mm\-dd"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440265"/>
        <c:crosses val="autoZero"/>
        <c:auto val="1"/>
        <c:lblAlgn val="ctr"/>
        <c:lblOffset val="100"/>
        <c:noMultiLvlLbl val="0"/>
      </c:catAx>
      <c:valAx>
        <c:axId val="48440265"/>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291189"/>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Reach-outs, conversations, leads</a:t>
            </a:r>
          </a:p>
        </c:rich>
      </c:tx>
      <c:overlay val="0"/>
      <c:spPr>
        <a:noFill/>
        <a:ln w="0">
          <a:noFill/>
        </a:ln>
      </c:spPr>
    </c:title>
    <c:autoTitleDeleted val="0"/>
    <c:plotArea>
      <c:barChart>
        <c:barDir val="col"/>
        <c:grouping val="clustered"/>
        <c:varyColors val="0"/>
        <c:ser>
          <c:idx val="0"/>
          <c:order val="0"/>
          <c:tx>
            <c:strRef>
              <c:f>Weekly!F4</c:f>
              <c:strCache>
                <c:ptCount val="1"/>
                <c:pt idx="0">
                  <c:v>Reach-outs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Weekly!$A$5:$A$16</c:f>
              <c:strCache>
                <c:ptCount val="12"/>
                <c:pt idx="0">
                  <c:v>2026-07-06</c:v>
                </c:pt>
                <c:pt idx="1">
                  <c:v>2026-07-13</c:v>
                </c:pt>
                <c:pt idx="2">
                  <c:v>2026-07-20</c:v>
                </c:pt>
                <c:pt idx="3">
                  <c:v>2026-07-27</c:v>
                </c:pt>
                <c:pt idx="4">
                  <c:v>2026-08-03</c:v>
                </c:pt>
                <c:pt idx="5">
                  <c:v>2026-08-10</c:v>
                </c:pt>
                <c:pt idx="6">
                  <c:v>2026-08-17</c:v>
                </c:pt>
                <c:pt idx="7">
                  <c:v>2026-08-24</c:v>
                </c:pt>
                <c:pt idx="8">
                  <c:v>2026-08-31</c:v>
                </c:pt>
                <c:pt idx="9">
                  <c:v>2026-09-07</c:v>
                </c:pt>
                <c:pt idx="10">
                  <c:v>2026-09-14</c:v>
                </c:pt>
                <c:pt idx="11">
                  <c:v>2026-09-21</c:v>
                </c:pt>
              </c:strCache>
            </c:strRef>
          </c:cat>
          <c:val>
            <c:numRef>
              <c:f>Weekly!$F$5:$F$16</c:f>
              <c:numCache>
                <c:formatCode>0</c:formatCode>
                <c:ptCount val="12"/>
                <c:pt idx="0">
                  <c:v>0</c:v>
                </c:pt>
                <c:pt idx="1">
                  <c:v>0</c:v>
                </c:pt>
                <c:pt idx="2">
                  <c:v>0</c:v>
                </c:pt>
                <c:pt idx="3">
                  <c:v>0</c:v>
                </c:pt>
                <c:pt idx="4">
                  <c:v>0</c:v>
                </c:pt>
                <c:pt idx="5">
                  <c:v>0</c:v>
                </c:pt>
                <c:pt idx="6">
                  <c:v>0</c:v>
                </c:pt>
                <c:pt idx="7">
                  <c:v>0</c:v>
                </c:pt>
                <c:pt idx="8">
                  <c:v>1</c:v>
                </c:pt>
                <c:pt idx="9">
                  <c:v>1</c:v>
                </c:pt>
                <c:pt idx="10">
                  <c:v>3</c:v>
                </c:pt>
                <c:pt idx="11">
                  <c:v>2</c:v>
                </c:pt>
              </c:numCache>
            </c:numRef>
          </c:val>
        </c:ser>
        <c:ser>
          <c:idx val="1"/>
          <c:order val="1"/>
          <c:tx>
            <c:strRef>
              <c:f>Weekly!G4</c:f>
              <c:strCache>
                <c:ptCount val="1"/>
                <c:pt idx="0">
                  <c:v>Conversations</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Weekly!$A$5:$A$16</c:f>
              <c:strCache>
                <c:ptCount val="12"/>
                <c:pt idx="0">
                  <c:v>2026-07-06</c:v>
                </c:pt>
                <c:pt idx="1">
                  <c:v>2026-07-13</c:v>
                </c:pt>
                <c:pt idx="2">
                  <c:v>2026-07-20</c:v>
                </c:pt>
                <c:pt idx="3">
                  <c:v>2026-07-27</c:v>
                </c:pt>
                <c:pt idx="4">
                  <c:v>2026-08-03</c:v>
                </c:pt>
                <c:pt idx="5">
                  <c:v>2026-08-10</c:v>
                </c:pt>
                <c:pt idx="6">
                  <c:v>2026-08-17</c:v>
                </c:pt>
                <c:pt idx="7">
                  <c:v>2026-08-24</c:v>
                </c:pt>
                <c:pt idx="8">
                  <c:v>2026-08-31</c:v>
                </c:pt>
                <c:pt idx="9">
                  <c:v>2026-09-07</c:v>
                </c:pt>
                <c:pt idx="10">
                  <c:v>2026-09-14</c:v>
                </c:pt>
                <c:pt idx="11">
                  <c:v>2026-09-21</c:v>
                </c:pt>
              </c:strCache>
            </c:strRef>
          </c:cat>
          <c:val>
            <c:numRef>
              <c:f>Weekly!$G$5:$G$16</c:f>
              <c:numCache>
                <c:formatCode>0</c:formatCode>
                <c:ptCount val="12"/>
                <c:pt idx="0">
                  <c:v>0</c:v>
                </c:pt>
                <c:pt idx="1">
                  <c:v>0</c:v>
                </c:pt>
                <c:pt idx="2">
                  <c:v>0</c:v>
                </c:pt>
                <c:pt idx="3">
                  <c:v>0</c:v>
                </c:pt>
                <c:pt idx="4">
                  <c:v>0</c:v>
                </c:pt>
                <c:pt idx="5">
                  <c:v>0</c:v>
                </c:pt>
                <c:pt idx="6">
                  <c:v>0</c:v>
                </c:pt>
                <c:pt idx="7">
                  <c:v>0</c:v>
                </c:pt>
                <c:pt idx="8">
                  <c:v>0</c:v>
                </c:pt>
                <c:pt idx="9">
                  <c:v>2</c:v>
                </c:pt>
                <c:pt idx="10">
                  <c:v>2</c:v>
                </c:pt>
                <c:pt idx="11">
                  <c:v>0</c:v>
                </c:pt>
              </c:numCache>
            </c:numRef>
          </c:val>
        </c:ser>
        <c:ser>
          <c:idx val="2"/>
          <c:order val="2"/>
          <c:tx>
            <c:strRef>
              <c:f>Weekly!H4</c:f>
              <c:strCache>
                <c:ptCount val="1"/>
                <c:pt idx="0">
                  <c:v>Leads</c:v>
                </c:pt>
              </c:strCache>
            </c:strRef>
          </c:tx>
          <c:spPr>
            <a:solidFill>
              <a:srgbClr val="9bbb59"/>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Weekly!$A$5:$A$16</c:f>
              <c:strCache>
                <c:ptCount val="12"/>
                <c:pt idx="0">
                  <c:v>2026-07-06</c:v>
                </c:pt>
                <c:pt idx="1">
                  <c:v>2026-07-13</c:v>
                </c:pt>
                <c:pt idx="2">
                  <c:v>2026-07-20</c:v>
                </c:pt>
                <c:pt idx="3">
                  <c:v>2026-07-27</c:v>
                </c:pt>
                <c:pt idx="4">
                  <c:v>2026-08-03</c:v>
                </c:pt>
                <c:pt idx="5">
                  <c:v>2026-08-10</c:v>
                </c:pt>
                <c:pt idx="6">
                  <c:v>2026-08-17</c:v>
                </c:pt>
                <c:pt idx="7">
                  <c:v>2026-08-24</c:v>
                </c:pt>
                <c:pt idx="8">
                  <c:v>2026-08-31</c:v>
                </c:pt>
                <c:pt idx="9">
                  <c:v>2026-09-07</c:v>
                </c:pt>
                <c:pt idx="10">
                  <c:v>2026-09-14</c:v>
                </c:pt>
                <c:pt idx="11">
                  <c:v>2026-09-21</c:v>
                </c:pt>
              </c:strCache>
            </c:strRef>
          </c:cat>
          <c:val>
            <c:numRef>
              <c:f>Weekly!$H$5:$H$16</c:f>
              <c:numCache>
                <c:formatCode>0</c:formatCode>
                <c:ptCount val="12"/>
                <c:pt idx="0">
                  <c:v>0</c:v>
                </c:pt>
                <c:pt idx="1">
                  <c:v>0</c:v>
                </c:pt>
                <c:pt idx="2">
                  <c:v>0</c:v>
                </c:pt>
                <c:pt idx="3">
                  <c:v>0</c:v>
                </c:pt>
                <c:pt idx="4">
                  <c:v>0</c:v>
                </c:pt>
                <c:pt idx="5">
                  <c:v>0</c:v>
                </c:pt>
                <c:pt idx="6">
                  <c:v>1</c:v>
                </c:pt>
                <c:pt idx="7">
                  <c:v>0</c:v>
                </c:pt>
                <c:pt idx="8">
                  <c:v>0</c:v>
                </c:pt>
                <c:pt idx="9">
                  <c:v>0</c:v>
                </c:pt>
                <c:pt idx="10">
                  <c:v>2</c:v>
                </c:pt>
                <c:pt idx="11">
                  <c:v>0</c:v>
                </c:pt>
              </c:numCache>
            </c:numRef>
          </c:val>
        </c:ser>
        <c:gapWidth val="150"/>
        <c:overlap val="0"/>
        <c:axId val="28804581"/>
        <c:axId val="39766500"/>
      </c:barChart>
      <c:catAx>
        <c:axId val="28804581"/>
        <c:scaling>
          <c:orientation val="minMax"/>
        </c:scaling>
        <c:delete val="0"/>
        <c:axPos val="b"/>
        <c:numFmt formatCode="yyyy\-mm\-dd"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766500"/>
        <c:crosses val="autoZero"/>
        <c:auto val="1"/>
        <c:lblAlgn val="ctr"/>
        <c:lblOffset val="100"/>
        <c:noMultiLvlLbl val="0"/>
      </c:catAx>
      <c:valAx>
        <c:axId val="39766500"/>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80458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4.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18</xdr:row>
      <xdr:rowOff>130680</xdr:rowOff>
    </xdr:from>
    <xdr:to>
      <xdr:col>5</xdr:col>
      <xdr:colOff>870120</xdr:colOff>
      <xdr:row>31</xdr:row>
      <xdr:rowOff>173880</xdr:rowOff>
    </xdr:to>
    <xdr:graphicFrame>
      <xdr:nvGraphicFramePr>
        <xdr:cNvPr id="0" name="Chart 1"/>
        <xdr:cNvGraphicFramePr/>
      </xdr:nvGraphicFramePr>
      <xdr:xfrm>
        <a:off x="0" y="3809880"/>
        <a:ext cx="575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18</xdr:row>
      <xdr:rowOff>130680</xdr:rowOff>
    </xdr:from>
    <xdr:to>
      <xdr:col>9</xdr:col>
      <xdr:colOff>781200</xdr:colOff>
      <xdr:row>31</xdr:row>
      <xdr:rowOff>173880</xdr:rowOff>
    </xdr:to>
    <xdr:graphicFrame>
      <xdr:nvGraphicFramePr>
        <xdr:cNvPr id="1" name="Chart 2"/>
        <xdr:cNvGraphicFramePr/>
      </xdr:nvGraphicFramePr>
      <xdr:xfrm>
        <a:off x="3822840" y="3809880"/>
        <a:ext cx="575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33</xdr:row>
      <xdr:rowOff>131040</xdr:rowOff>
    </xdr:from>
    <xdr:to>
      <xdr:col>5</xdr:col>
      <xdr:colOff>870120</xdr:colOff>
      <xdr:row>46</xdr:row>
      <xdr:rowOff>173880</xdr:rowOff>
    </xdr:to>
    <xdr:graphicFrame>
      <xdr:nvGraphicFramePr>
        <xdr:cNvPr id="2" name="Chart 3"/>
        <xdr:cNvGraphicFramePr/>
      </xdr:nvGraphicFramePr>
      <xdr:xfrm>
        <a:off x="0" y="6667560"/>
        <a:ext cx="5759640" cy="25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xml"/><Relationship Id="rId3"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3.xml"/><Relationship Id="rId3"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1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6.85" hidden="false" customHeight="false" outlineLevel="0" collapsed="false">
      <c r="A5" s="2" t="s">
        <v>3</v>
      </c>
    </row>
    <row r="6" customFormat="false" ht="26.85" hidden="false" customHeight="false" outlineLevel="0" collapsed="false">
      <c r="A6" s="2" t="s">
        <v>4</v>
      </c>
    </row>
    <row r="7" customFormat="false" ht="15" hidden="false" customHeight="false" outlineLevel="0" collapsed="false">
      <c r="A7" s="2" t="s">
        <v>5</v>
      </c>
    </row>
    <row r="8" customFormat="false" ht="26.8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row>
    <row r="12" customFormat="false" ht="15" hidden="false" customHeight="false" outlineLevel="0" collapsed="false">
      <c r="A12" s="3"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row>
    <row r="18" customFormat="false" ht="15" hidden="false" customHeight="false" outlineLevel="0" collapsed="false">
      <c r="A18" s="3"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t="s">
        <v>17</v>
      </c>
    </row>
    <row r="22" customFormat="false" ht="15" hidden="false" customHeight="false" outlineLevel="0" collapsed="false">
      <c r="A22" s="2" t="s">
        <v>18</v>
      </c>
    </row>
    <row r="23" customFormat="false" ht="15" hidden="false" customHeight="false" outlineLevel="0" collapsed="false">
      <c r="A23" s="2" t="s">
        <v>19</v>
      </c>
    </row>
    <row r="24" customFormat="false" ht="15" hidden="false" customHeight="false" outlineLevel="0" collapsed="false">
      <c r="A24" s="2"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8" min="2" style="0" width="16"/>
  </cols>
  <sheetData>
    <row r="1" customFormat="false" ht="19.7" hidden="false" customHeight="false" outlineLevel="0" collapsed="false">
      <c r="A1" s="4" t="s">
        <v>0</v>
      </c>
      <c r="B1" s="5"/>
      <c r="C1" s="5"/>
      <c r="D1" s="5"/>
      <c r="E1" s="5"/>
      <c r="F1" s="5"/>
      <c r="G1" s="5"/>
    </row>
    <row r="2" customFormat="false" ht="15" hidden="false" customHeight="false" outlineLevel="0" collapsed="false">
      <c r="A2" s="6" t="s">
        <v>21</v>
      </c>
      <c r="B2" s="5"/>
      <c r="C2" s="5"/>
      <c r="D2" s="5"/>
      <c r="E2" s="5"/>
      <c r="F2" s="5"/>
      <c r="G2" s="5"/>
    </row>
    <row r="3" customFormat="false" ht="15" hidden="false" customHeight="false" outlineLevel="0" collapsed="false">
      <c r="A3" s="5"/>
      <c r="B3" s="5"/>
      <c r="C3" s="5"/>
      <c r="D3" s="5"/>
      <c r="E3" s="5"/>
      <c r="F3" s="5"/>
      <c r="G3" s="5"/>
    </row>
    <row r="4" customFormat="false" ht="15" hidden="false" customHeight="false" outlineLevel="0" collapsed="false">
      <c r="A4" s="7" t="s">
        <v>22</v>
      </c>
      <c r="B4" s="8" t="n">
        <f aca="true">TODAY()-29</f>
        <v>46262</v>
      </c>
      <c r="C4" s="9" t="s">
        <v>23</v>
      </c>
      <c r="D4" s="5"/>
      <c r="E4" s="5"/>
      <c r="F4" s="5"/>
      <c r="G4" s="5"/>
    </row>
    <row r="5" customFormat="false" ht="15" hidden="false" customHeight="false" outlineLevel="0" collapsed="false">
      <c r="A5" s="7" t="s">
        <v>24</v>
      </c>
      <c r="B5" s="8" t="n">
        <f aca="true">TODAY()</f>
        <v>46291</v>
      </c>
      <c r="C5" s="5"/>
      <c r="D5" s="5"/>
      <c r="E5" s="5"/>
      <c r="F5" s="5"/>
      <c r="G5" s="5"/>
    </row>
    <row r="6" customFormat="false" ht="15" hidden="false" customHeight="false" outlineLevel="0" collapsed="false">
      <c r="A6" s="9" t="s">
        <v>25</v>
      </c>
      <c r="B6" s="10" t="n">
        <f aca="false">B4-(B5-B4+1)</f>
        <v>46232</v>
      </c>
      <c r="C6" s="9" t="s">
        <v>26</v>
      </c>
      <c r="D6" s="10" t="n">
        <f aca="false">B4-1</f>
        <v>46261</v>
      </c>
      <c r="E6" s="5"/>
      <c r="F6" s="5"/>
      <c r="G6" s="5"/>
    </row>
    <row r="7" customFormat="false" ht="15" hidden="false" customHeight="false" outlineLevel="0" collapsed="false">
      <c r="A7" s="5"/>
      <c r="B7" s="5"/>
      <c r="C7" s="5"/>
      <c r="D7" s="5"/>
      <c r="E7" s="5"/>
      <c r="F7" s="5"/>
      <c r="G7" s="5"/>
    </row>
    <row r="8" customFormat="false" ht="15" hidden="false" customHeight="false" outlineLevel="0" collapsed="false">
      <c r="A8" s="11" t="s">
        <v>27</v>
      </c>
      <c r="B8" s="12"/>
      <c r="C8" s="12"/>
      <c r="D8" s="12"/>
      <c r="E8" s="12"/>
      <c r="F8" s="12"/>
      <c r="G8" s="5"/>
    </row>
    <row r="9" customFormat="false" ht="15" hidden="false" customHeight="false" outlineLevel="0" collapsed="false">
      <c r="A9" s="7" t="s">
        <v>28</v>
      </c>
      <c r="B9" s="10" t="n">
        <f aca="true">TODAY()-WEEKDAY(TODAY(),2)+1</f>
        <v>46286</v>
      </c>
      <c r="C9" s="9" t="s">
        <v>26</v>
      </c>
      <c r="D9" s="10" t="n">
        <f aca="false">B9+6</f>
        <v>46292</v>
      </c>
      <c r="E9" s="9" t="s">
        <v>29</v>
      </c>
      <c r="F9" s="13" t="n">
        <f aca="true">(TODAY()-B9+1)/7</f>
        <v>0.857142857142857</v>
      </c>
      <c r="G9" s="5"/>
    </row>
    <row r="10" customFormat="false" ht="15" hidden="false" customHeight="false" outlineLevel="0" collapsed="false">
      <c r="A10" s="14"/>
      <c r="B10" s="14" t="s">
        <v>30</v>
      </c>
      <c r="C10" s="14" t="s">
        <v>31</v>
      </c>
      <c r="D10" s="14" t="s">
        <v>32</v>
      </c>
      <c r="E10" s="14" t="s">
        <v>33</v>
      </c>
      <c r="F10" s="14" t="s">
        <v>34</v>
      </c>
      <c r="G10" s="5"/>
    </row>
    <row r="11" customFormat="false" ht="15" hidden="false" customHeight="false" outlineLevel="0" collapsed="false">
      <c r="A11" s="9" t="s">
        <v>35</v>
      </c>
      <c r="B11" s="15" t="n">
        <f aca="false">Lists!$E$5</f>
        <v>5</v>
      </c>
      <c r="C11" s="15" t="n">
        <f aca="false">COUNTIFS(Posts!$A$2:$A$251,"&gt;="&amp;$B$9,Posts!$A$2:$A$251,"&lt;="&amp;$D$9)</f>
        <v>2</v>
      </c>
      <c r="D11" s="16" t="n">
        <f aca="false">ROUND(B11*$F$9,1)</f>
        <v>4.3</v>
      </c>
      <c r="E11" s="15" t="n">
        <f aca="false">MAX(0,B11-C11)</f>
        <v>3</v>
      </c>
      <c r="F11" s="17" t="str">
        <f aca="false">IF(C11&gt;=B11,"Hit",IF(C11&gt;=D11,"On pace",IF(C11&gt;=D11*0.6,"A little behind","Behind")))</f>
        <v>Behind</v>
      </c>
      <c r="G11" s="5"/>
    </row>
    <row r="12" customFormat="false" ht="15" hidden="false" customHeight="false" outlineLevel="0" collapsed="false">
      <c r="A12" s="9" t="s">
        <v>36</v>
      </c>
      <c r="B12" s="15" t="n">
        <f aca="false">Lists!$E$6</f>
        <v>25</v>
      </c>
      <c r="C12" s="15" t="n">
        <f aca="false">COUNTIFS(Touches!$A$2:$A$501,"&gt;="&amp;$B$9,Touches!$A$2:$A$501,"&lt;="&amp;$D$9,Touches!$E$2:$E$501,"Me")</f>
        <v>2</v>
      </c>
      <c r="D12" s="16" t="n">
        <f aca="false">ROUND(B12*$F$9,1)</f>
        <v>21.4</v>
      </c>
      <c r="E12" s="15" t="n">
        <f aca="false">MAX(0,B12-C12)</f>
        <v>23</v>
      </c>
      <c r="F12" s="17" t="str">
        <f aca="false">IF(C12&gt;=B12,"Hit",IF(C12&gt;=D12,"On pace",IF(C12&gt;=D12*0.6,"A little behind","Behind")))</f>
        <v>Behind</v>
      </c>
      <c r="G12" s="5"/>
    </row>
    <row r="13" customFormat="false" ht="15" hidden="false" customHeight="false" outlineLevel="0" collapsed="false">
      <c r="A13" s="9" t="s">
        <v>37</v>
      </c>
      <c r="B13" s="15" t="n">
        <f aca="false">Lists!$E$7</f>
        <v>10</v>
      </c>
      <c r="C13" s="15" t="n">
        <f aca="false">COUNTIFS(Touches!$A$2:$A$501,"&gt;="&amp;$B$9,Touches!$A$2:$A$501,"&lt;="&amp;$D$9,Touches!$E$2:$E$501,"Them")+COUNTIFS(Touches!$A$2:$A$501,"&gt;="&amp;$B$9,Touches!$A$2:$A$501,"&lt;="&amp;$D$9,Touches!$E$2:$E$501,"Me",Touches!$F$2:$F$501,"They replied")</f>
        <v>0</v>
      </c>
      <c r="D13" s="16" t="n">
        <f aca="false">ROUND(B13*$F$9,1)</f>
        <v>8.6</v>
      </c>
      <c r="E13" s="15" t="n">
        <f aca="false">MAX(0,B13-C13)</f>
        <v>10</v>
      </c>
      <c r="F13" s="17" t="str">
        <f aca="false">IF(C13&gt;=B13,"Hit",IF(C13&gt;=D13,"On pace",IF(C13&gt;=D13*0.6,"A little behind","Behind")))</f>
        <v>Behind</v>
      </c>
      <c r="G13" s="5"/>
    </row>
    <row r="14" customFormat="false" ht="15" hidden="false" customHeight="false" outlineLevel="0" collapsed="false">
      <c r="A14" s="9" t="s">
        <v>38</v>
      </c>
      <c r="B14" s="15" t="n">
        <f aca="false">Lists!$E$8</f>
        <v>3</v>
      </c>
      <c r="C14" s="15" t="n">
        <f aca="false">COUNTIFS(People!$J$2:$J$151,"&gt;="&amp;$B$9,People!$J$2:$J$151,"&lt;="&amp;$D$9)</f>
        <v>0</v>
      </c>
      <c r="D14" s="16" t="n">
        <f aca="false">ROUND(B14*$F$9,1)</f>
        <v>2.6</v>
      </c>
      <c r="E14" s="15" t="n">
        <f aca="false">MAX(0,B14-C14)</f>
        <v>3</v>
      </c>
      <c r="F14" s="17" t="str">
        <f aca="false">IF(C14&gt;=B14,"Hit",IF(C14&gt;=D14,"On pace",IF(C14&gt;=D14*0.6,"A little behind","Behind")))</f>
        <v>Behind</v>
      </c>
      <c r="G14" s="5"/>
    </row>
    <row r="15" customFormat="false" ht="15" hidden="false" customHeight="false" outlineLevel="0" collapsed="false">
      <c r="A15" s="9" t="s">
        <v>39</v>
      </c>
      <c r="B15" s="15" t="n">
        <f aca="false">Lists!$E$9</f>
        <v>2</v>
      </c>
      <c r="C15" s="15" t="n">
        <f aca="false">COUNTIFS(People!$K$2:$K$151,"&gt;="&amp;$B$9,People!$K$2:$K$151,"&lt;="&amp;$D$9)</f>
        <v>1</v>
      </c>
      <c r="D15" s="16" t="n">
        <f aca="false">ROUND(B15*$F$9,1)</f>
        <v>1.7</v>
      </c>
      <c r="E15" s="15" t="n">
        <f aca="false">MAX(0,B15-C15)</f>
        <v>1</v>
      </c>
      <c r="F15" s="17" t="str">
        <f aca="false">IF(C15&gt;=B15,"Hit",IF(C15&gt;=D15,"On pace",IF(C15&gt;=D15*0.6,"A little behind","Behind")))</f>
        <v>Behind</v>
      </c>
      <c r="G15" s="5"/>
    </row>
    <row r="16" customFormat="false" ht="15" hidden="false" customHeight="false" outlineLevel="0" collapsed="false">
      <c r="A16" s="5"/>
      <c r="B16" s="5"/>
      <c r="C16" s="5"/>
      <c r="D16" s="5"/>
      <c r="E16" s="5"/>
      <c r="F16" s="5"/>
      <c r="G16" s="5"/>
    </row>
    <row r="17" customFormat="false" ht="15" hidden="false" customHeight="false" outlineLevel="0" collapsed="false">
      <c r="A17" s="11" t="s">
        <v>40</v>
      </c>
      <c r="B17" s="12"/>
      <c r="C17" s="12"/>
      <c r="D17" s="12"/>
      <c r="E17" s="12"/>
      <c r="F17" s="12"/>
      <c r="G17" s="5"/>
    </row>
    <row r="18" customFormat="false" ht="15" hidden="false" customHeight="false" outlineLevel="0" collapsed="false">
      <c r="A18" s="14"/>
      <c r="B18" s="14" t="s">
        <v>41</v>
      </c>
      <c r="C18" s="14" t="s">
        <v>42</v>
      </c>
      <c r="D18" s="14" t="s">
        <v>43</v>
      </c>
      <c r="E18" s="14" t="s">
        <v>44</v>
      </c>
      <c r="F18" s="14" t="s">
        <v>45</v>
      </c>
      <c r="G18" s="5"/>
    </row>
    <row r="19" customFormat="false" ht="15" hidden="false" customHeight="false" outlineLevel="0" collapsed="false">
      <c r="A19" s="9" t="s">
        <v>35</v>
      </c>
      <c r="B19" s="18" t="n">
        <f aca="false">COUNTIFS(Posts!$A$2:$A$251,"&gt;="&amp;$B$4,Posts!$A$2:$A$251,"&lt;="&amp;$B$5)</f>
        <v>8</v>
      </c>
      <c r="C19" s="18" t="n">
        <f aca="false">COUNTIFS(Posts!$A$2:$A$251,"&gt;="&amp;$B$6,Posts!$A$2:$A$251,"&lt;="&amp;$D$6)</f>
        <v>0</v>
      </c>
      <c r="D19" s="19" t="n">
        <f aca="false">IF(OR(B19="",C19=""),"",B19-C19)</f>
        <v>8</v>
      </c>
      <c r="E19" s="20" t="str">
        <f aca="false">IF(OR(B19="",C19="",C19=0),"",(B19-C19)/ABS(C19))</f>
        <v/>
      </c>
      <c r="F19" s="21" t="s">
        <v>46</v>
      </c>
      <c r="G19" s="5"/>
    </row>
    <row r="20" customFormat="false" ht="15" hidden="false" customHeight="false" outlineLevel="0" collapsed="false">
      <c r="A20" s="9" t="s">
        <v>47</v>
      </c>
      <c r="B20" s="18" t="n">
        <f aca="false">COUNTIFS(Posts!$I$2:$I$251,"&lt;&gt;",Posts!$A$2:$A$251,"&gt;="&amp;$B$4,Posts!$A$2:$A$251,"&lt;="&amp;$B$5)</f>
        <v>6</v>
      </c>
      <c r="C20" s="18" t="n">
        <f aca="false">COUNTIFS(Posts!$I$2:$I$251,"&lt;&gt;",Posts!$A$2:$A$251,"&gt;="&amp;$B$6,Posts!$A$2:$A$251,"&lt;="&amp;$D$6)</f>
        <v>0</v>
      </c>
      <c r="D20" s="19" t="n">
        <f aca="false">IF(OR(B20="",C20=""),"",B20-C20)</f>
        <v>6</v>
      </c>
      <c r="E20" s="20" t="str">
        <f aca="false">IF(OR(B20="",C20="",C20=0),"",(B20-C20)/ABS(C20))</f>
        <v/>
      </c>
      <c r="F20" s="21" t="s">
        <v>48</v>
      </c>
      <c r="G20" s="5"/>
    </row>
    <row r="21" customFormat="false" ht="15" hidden="false" customHeight="false" outlineLevel="0" collapsed="false">
      <c r="A21" s="9" t="s">
        <v>49</v>
      </c>
      <c r="B21" s="22" t="n">
        <f aca="false">IF(COUNTIFS(Posts!$I$2:$I$251,"&lt;&gt;",Posts!$A$2:$A$251,"&gt;="&amp;$B$4,Posts!$A$2:$A$251,"&lt;="&amp;$B$5)=0,"",SUMIFS(Posts!$I$2:$I$251,Posts!$A$2:$A$251,"&gt;="&amp;$B$4,Posts!$A$2:$A$251,"&lt;="&amp;$B$5))</f>
        <v>10070</v>
      </c>
      <c r="C21" s="22" t="str">
        <f aca="false">IF(COUNTIFS(Posts!$I$2:$I$251,"&lt;&gt;",Posts!$A$2:$A$251,"&gt;="&amp;$B$6,Posts!$A$2:$A$251,"&lt;="&amp;$D$6)=0,"",SUMIFS(Posts!$I$2:$I$251,Posts!$A$2:$A$251,"&gt;="&amp;$B$6,Posts!$A$2:$A$251,"&lt;="&amp;$D$6))</f>
        <v/>
      </c>
      <c r="D21" s="22" t="str">
        <f aca="false">IF(OR(B21="",C21=""),"",B21-C21)</f>
        <v/>
      </c>
      <c r="E21" s="20" t="str">
        <f aca="false">IF(OR(B21="",C21="",C21=0),"",(B21-C21)/ABS(C21))</f>
        <v/>
      </c>
      <c r="F21" s="21" t="s">
        <v>50</v>
      </c>
      <c r="G21" s="5"/>
    </row>
    <row r="22" customFormat="false" ht="15" hidden="false" customHeight="false" outlineLevel="0" collapsed="false">
      <c r="A22" s="9" t="s">
        <v>51</v>
      </c>
      <c r="B22" s="22" t="n">
        <f aca="false">IF(COUNTIFS(Posts!$T$2:$T$251,"&lt;&gt;",Posts!$A$2:$A$251,"&gt;="&amp;$B$4,Posts!$A$2:$A$251,"&lt;="&amp;$B$5)=0,"",SUMIFS(Posts!$T$2:$T$251,Posts!$A$2:$A$251,"&gt;="&amp;$B$4,Posts!$A$2:$A$251,"&lt;="&amp;$B$5))</f>
        <v>736</v>
      </c>
      <c r="C22" s="22" t="str">
        <f aca="false">IF(COUNTIFS(Posts!$T$2:$T$251,"&lt;&gt;",Posts!$A$2:$A$251,"&gt;="&amp;$B$6,Posts!$A$2:$A$251,"&lt;="&amp;$D$6)=0,"",SUMIFS(Posts!$T$2:$T$251,Posts!$A$2:$A$251,"&gt;="&amp;$B$6,Posts!$A$2:$A$251,"&lt;="&amp;$D$6))</f>
        <v/>
      </c>
      <c r="D22" s="22" t="str">
        <f aca="false">IF(OR(B22="",C22=""),"",B22-C22)</f>
        <v/>
      </c>
      <c r="E22" s="20" t="str">
        <f aca="false">IF(OR(B22="",C22="",C22=0),"",(B22-C22)/ABS(C22))</f>
        <v/>
      </c>
      <c r="F22" s="21" t="s">
        <v>52</v>
      </c>
      <c r="G22" s="5"/>
    </row>
    <row r="23" customFormat="false" ht="15" hidden="false" customHeight="false" outlineLevel="0" collapsed="false">
      <c r="A23" s="9" t="s">
        <v>53</v>
      </c>
      <c r="B23" s="23" t="n">
        <f aca="false">IF(OR(B22="",B21="",B21=0),"",B22/B21)</f>
        <v>0.0730883813306852</v>
      </c>
      <c r="C23" s="23" t="str">
        <f aca="false">IF(OR(C22="",C21="",C21=0),"",C22/C21)</f>
        <v/>
      </c>
      <c r="D23" s="23" t="str">
        <f aca="false">IF(OR(B23="",C23=""),"",B23-C23)</f>
        <v/>
      </c>
      <c r="E23" s="20" t="str">
        <f aca="false">IF(OR(B23="",C23="",C23=0),"",(B23-C23)/ABS(C23))</f>
        <v/>
      </c>
      <c r="F23" s="21" t="s">
        <v>54</v>
      </c>
      <c r="G23" s="5"/>
    </row>
    <row r="24" customFormat="false" ht="15" hidden="false" customHeight="false" outlineLevel="0" collapsed="false">
      <c r="A24" s="9" t="s">
        <v>55</v>
      </c>
      <c r="B24" s="22" t="n">
        <f aca="false">IF(COUNTIFS(Posts!$M$2:$M$251,"&lt;&gt;",Posts!$A$2:$A$251,"&gt;="&amp;$B$4,Posts!$A$2:$A$251,"&lt;="&amp;$B$5)=0,"",SUMIFS(Posts!$M$2:$M$251,Posts!$A$2:$A$251,"&gt;="&amp;$B$4,Posts!$A$2:$A$251,"&lt;="&amp;$B$5))</f>
        <v>111</v>
      </c>
      <c r="C24" s="22" t="str">
        <f aca="false">IF(COUNTIFS(Posts!$M$2:$M$251,"&lt;&gt;",Posts!$A$2:$A$251,"&gt;="&amp;$B$6,Posts!$A$2:$A$251,"&lt;="&amp;$D$6)=0,"",SUMIFS(Posts!$M$2:$M$251,Posts!$A$2:$A$251,"&gt;="&amp;$B$6,Posts!$A$2:$A$251,"&lt;="&amp;$D$6))</f>
        <v/>
      </c>
      <c r="D24" s="22" t="str">
        <f aca="false">IF(OR(B24="",C24=""),"",B24-C24)</f>
        <v/>
      </c>
      <c r="E24" s="20" t="str">
        <f aca="false">IF(OR(B24="",C24="",C24=0),"",(B24-C24)/ABS(C24))</f>
        <v/>
      </c>
      <c r="F24" s="21" t="s">
        <v>56</v>
      </c>
      <c r="G24" s="5"/>
    </row>
    <row r="25" customFormat="false" ht="15" hidden="false" customHeight="false" outlineLevel="0" collapsed="false">
      <c r="A25" s="9" t="s">
        <v>57</v>
      </c>
      <c r="B25" s="22" t="n">
        <f aca="false">IF(COUNTIFS(Posts!$P$2:$P$251,"&lt;&gt;",Posts!$A$2:$A$251,"&gt;="&amp;$B$4,Posts!$A$2:$A$251,"&lt;="&amp;$B$5)=0,"",SUMIFS(Posts!$P$2:$P$251,Posts!$A$2:$A$251,"&gt;="&amp;$B$4,Posts!$A$2:$A$251,"&lt;="&amp;$B$5))</f>
        <v>75</v>
      </c>
      <c r="C25" s="22" t="str">
        <f aca="false">IF(COUNTIFS(Posts!$P$2:$P$251,"&lt;&gt;",Posts!$A$2:$A$251,"&gt;="&amp;$B$6,Posts!$A$2:$A$251,"&lt;="&amp;$D$6)=0,"",SUMIFS(Posts!$P$2:$P$251,Posts!$A$2:$A$251,"&gt;="&amp;$B$6,Posts!$A$2:$A$251,"&lt;="&amp;$D$6))</f>
        <v/>
      </c>
      <c r="D25" s="22" t="str">
        <f aca="false">IF(OR(B25="",C25=""),"",B25-C25)</f>
        <v/>
      </c>
      <c r="E25" s="20" t="str">
        <f aca="false">IF(OR(B25="",C25="",C25=0),"",(B25-C25)/ABS(C25))</f>
        <v/>
      </c>
      <c r="F25" s="21" t="s">
        <v>58</v>
      </c>
      <c r="G25" s="5"/>
    </row>
    <row r="26" customFormat="false" ht="15" hidden="false" customHeight="false" outlineLevel="0" collapsed="false">
      <c r="A26" s="9" t="s">
        <v>59</v>
      </c>
      <c r="B26" s="18" t="n">
        <f aca="false">IF(COUNTIFS(Posts!$Q$2:$Q$251,"&lt;&gt;",Posts!$A$2:$A$251,"&gt;="&amp;$B$4,Posts!$A$2:$A$251,"&lt;="&amp;$B$5)=0,"",SUMIFS(Posts!$Q$2:$Q$251,Posts!$A$2:$A$251,"&gt;="&amp;$B$4,Posts!$A$2:$A$251,"&lt;="&amp;$B$5))</f>
        <v>6</v>
      </c>
      <c r="C26" s="18" t="str">
        <f aca="false">IF(COUNTIFS(Posts!$Q$2:$Q$251,"&lt;&gt;",Posts!$A$2:$A$251,"&gt;="&amp;$B$6,Posts!$A$2:$A$251,"&lt;="&amp;$D$6)=0,"",SUMIFS(Posts!$Q$2:$Q$251,Posts!$A$2:$A$251,"&gt;="&amp;$B$6,Posts!$A$2:$A$251,"&lt;="&amp;$D$6))</f>
        <v/>
      </c>
      <c r="D26" s="19" t="str">
        <f aca="false">IF(OR(B26="",C26=""),"",B26-C26)</f>
        <v/>
      </c>
      <c r="E26" s="20" t="str">
        <f aca="false">IF(OR(B26="",C26="",C26=0),"",(B26-C26)/ABS(C26))</f>
        <v/>
      </c>
      <c r="F26" s="21" t="s">
        <v>60</v>
      </c>
      <c r="G26" s="5"/>
    </row>
    <row r="27" customFormat="false" ht="15" hidden="false" customHeight="false" outlineLevel="0" collapsed="false">
      <c r="A27" s="9" t="s">
        <v>61</v>
      </c>
      <c r="B27" s="16" t="n">
        <f aca="false">IF(COUNTIFS(Posts!$H$2:$H$251,"&lt;&gt;",Posts!$A$2:$A$251,"&gt;="&amp;$B$4,Posts!$A$2:$A$251,"&lt;="&amp;$B$5)=0,"",SUMIFS(Posts!$H$2:$H$251,Posts!$A$2:$A$251,"&gt;="&amp;$B$4,Posts!$A$2:$A$251,"&lt;="&amp;$B$5)/60)</f>
        <v>9</v>
      </c>
      <c r="C27" s="16" t="str">
        <f aca="false">IF(COUNTIFS(Posts!$H$2:$H$251,"&lt;&gt;",Posts!$A$2:$A$251,"&gt;="&amp;$B$6,Posts!$A$2:$A$251,"&lt;="&amp;$D$6)=0,"",SUMIFS(Posts!$H$2:$H$251,Posts!$A$2:$A$251,"&gt;="&amp;$B$6,Posts!$A$2:$A$251,"&lt;="&amp;$D$6)/60)</f>
        <v/>
      </c>
      <c r="D27" s="16" t="str">
        <f aca="false">IF(OR(B27="",C27=""),"",B27-C27)</f>
        <v/>
      </c>
      <c r="E27" s="20" t="str">
        <f aca="false">IF(OR(B27="",C27="",C27=0),"",(B27-C27)/ABS(C27))</f>
        <v/>
      </c>
      <c r="F27" s="21" t="s">
        <v>62</v>
      </c>
      <c r="G27" s="5"/>
    </row>
    <row r="28" customFormat="false" ht="15" hidden="false" customHeight="false" outlineLevel="0" collapsed="false">
      <c r="A28" s="9" t="s">
        <v>63</v>
      </c>
      <c r="B28" s="18" t="n">
        <f aca="false">COUNTIFS(Touches!$A$2:$A$501,"&gt;="&amp;$B$4,Touches!$A$2:$A$501,"&lt;="&amp;$B$5,Touches!$E$2:$E$501,"Me")</f>
        <v>7</v>
      </c>
      <c r="C28" s="18" t="n">
        <f aca="false">COUNTIFS(Touches!$A$2:$A$501,"&gt;="&amp;$B$6,Touches!$A$2:$A$501,"&lt;="&amp;$D$6,Touches!$E$2:$E$501,"Me")</f>
        <v>0</v>
      </c>
      <c r="D28" s="19" t="n">
        <f aca="false">IF(OR(B28="",C28=""),"",B28-C28)</f>
        <v>7</v>
      </c>
      <c r="E28" s="20" t="str">
        <f aca="false">IF(OR(B28="",C28="",C28=0),"",(B28-C28)/ABS(C28))</f>
        <v/>
      </c>
      <c r="F28" s="21" t="s">
        <v>64</v>
      </c>
      <c r="G28" s="5"/>
    </row>
    <row r="29" customFormat="false" ht="15" hidden="false" customHeight="false" outlineLevel="0" collapsed="false">
      <c r="A29" s="9" t="s">
        <v>65</v>
      </c>
      <c r="B29" s="18" t="n">
        <f aca="false">COUNTIFS(Touches!$A$2:$A$501,"&gt;="&amp;$B$4,Touches!$A$2:$A$501,"&lt;="&amp;$B$5,Touches!$E$2:$E$501,"Them")+COUNTIFS(Touches!$A$2:$A$501,"&gt;="&amp;$B$4,Touches!$A$2:$A$501,"&lt;="&amp;$B$5,Touches!$E$2:$E$501,"Me",Touches!$F$2:$F$501,"They replied")</f>
        <v>4</v>
      </c>
      <c r="C29" s="18" t="n">
        <f aca="false">COUNTIFS(Touches!$A$2:$A$501,"&gt;="&amp;$B$6,Touches!$A$2:$A$501,"&lt;="&amp;$D$6,Touches!$E$2:$E$501,"Them")+COUNTIFS(Touches!$A$2:$A$501,"&gt;="&amp;$B$6,Touches!$A$2:$A$501,"&lt;="&amp;$D$6,Touches!$E$2:$E$501,"Me",Touches!$F$2:$F$501,"They replied")</f>
        <v>0</v>
      </c>
      <c r="D29" s="19" t="n">
        <f aca="false">IF(OR(B29="",C29=""),"",B29-C29)</f>
        <v>4</v>
      </c>
      <c r="E29" s="20" t="str">
        <f aca="false">IF(OR(B29="",C29="",C29=0),"",(B29-C29)/ABS(C29))</f>
        <v/>
      </c>
      <c r="F29" s="21" t="s">
        <v>66</v>
      </c>
      <c r="G29" s="5"/>
    </row>
    <row r="30" customFormat="false" ht="15" hidden="false" customHeight="false" outlineLevel="0" collapsed="false">
      <c r="A30" s="9" t="s">
        <v>67</v>
      </c>
      <c r="B30" s="23" t="n">
        <f aca="false">IF(OR(B29="",B28="",B28=0),"",B29/B28)</f>
        <v>0.571428571428571</v>
      </c>
      <c r="C30" s="23" t="str">
        <f aca="false">IF(OR(C29="",C28="",C28=0),"",C29/C28)</f>
        <v/>
      </c>
      <c r="D30" s="23" t="str">
        <f aca="false">IF(OR(B30="",C30=""),"",B30-C30)</f>
        <v/>
      </c>
      <c r="E30" s="20" t="str">
        <f aca="false">IF(OR(B30="",C30="",C30=0),"",(B30-C30)/ABS(C30))</f>
        <v/>
      </c>
      <c r="F30" s="21" t="s">
        <v>68</v>
      </c>
      <c r="G30" s="5"/>
    </row>
    <row r="31" customFormat="false" ht="15" hidden="false" customHeight="false" outlineLevel="0" collapsed="false">
      <c r="A31" s="9" t="s">
        <v>69</v>
      </c>
      <c r="B31" s="18" t="n">
        <f aca="false">COUNTIFS(People!$J$2:$J$151,"&gt;="&amp;$B$4,People!$J$2:$J$151,"&lt;="&amp;$B$5)</f>
        <v>2</v>
      </c>
      <c r="C31" s="18" t="n">
        <f aca="false">COUNTIFS(People!$J$2:$J$151,"&gt;="&amp;$B$6,People!$J$2:$J$151,"&lt;="&amp;$D$6)</f>
        <v>1</v>
      </c>
      <c r="D31" s="19" t="n">
        <f aca="false">IF(OR(B31="",C31=""),"",B31-C31)</f>
        <v>1</v>
      </c>
      <c r="E31" s="20" t="n">
        <f aca="false">IF(OR(B31="",C31="",C31=0),"",(B31-C31)/ABS(C31))</f>
        <v>1</v>
      </c>
      <c r="F31" s="21" t="s">
        <v>70</v>
      </c>
      <c r="G31" s="5"/>
    </row>
    <row r="32" customFormat="false" ht="15" hidden="false" customHeight="false" outlineLevel="0" collapsed="false">
      <c r="A32" s="9" t="s">
        <v>71</v>
      </c>
      <c r="B32" s="18" t="n">
        <f aca="false">COUNTIFS(People!$K$2:$K$151,"&gt;="&amp;$B$4,People!$K$2:$K$151,"&lt;="&amp;$B$5)</f>
        <v>1</v>
      </c>
      <c r="C32" s="18" t="n">
        <f aca="false">COUNTIFS(People!$K$2:$K$151,"&gt;="&amp;$B$6,People!$K$2:$K$151,"&lt;="&amp;$D$6)</f>
        <v>1</v>
      </c>
      <c r="D32" s="19" t="n">
        <f aca="false">IF(OR(B32="",C32=""),"",B32-C32)</f>
        <v>0</v>
      </c>
      <c r="E32" s="20" t="n">
        <f aca="false">IF(OR(B32="",C32="",C32=0),"",(B32-C32)/ABS(C32))</f>
        <v>0</v>
      </c>
      <c r="F32" s="21" t="s">
        <v>72</v>
      </c>
      <c r="G32" s="5"/>
    </row>
    <row r="33" customFormat="false" ht="15" hidden="false" customHeight="false" outlineLevel="0" collapsed="false">
      <c r="A33" s="9" t="s">
        <v>73</v>
      </c>
      <c r="B33" s="18" t="n">
        <f aca="false">COUNTIFS(People!$L$2:$L$151,"&gt;="&amp;$B$4,People!$L$2:$L$151,"&lt;="&amp;$B$5)</f>
        <v>1</v>
      </c>
      <c r="C33" s="18" t="n">
        <f aca="false">COUNTIFS(People!$L$2:$L$151,"&gt;="&amp;$B$6,People!$L$2:$L$151,"&lt;="&amp;$D$6)</f>
        <v>0</v>
      </c>
      <c r="D33" s="19" t="n">
        <f aca="false">IF(OR(B33="",C33=""),"",B33-C33)</f>
        <v>1</v>
      </c>
      <c r="E33" s="20" t="str">
        <f aca="false">IF(OR(B33="",C33="",C33=0),"",(B33-C33)/ABS(C33))</f>
        <v/>
      </c>
      <c r="F33" s="21" t="s">
        <v>74</v>
      </c>
      <c r="G33" s="5"/>
    </row>
    <row r="34" customFormat="false" ht="15" hidden="false" customHeight="false" outlineLevel="0" collapsed="false">
      <c r="A34" s="9" t="s">
        <v>75</v>
      </c>
      <c r="B34" s="24" t="n">
        <f aca="false">IF(COUNTIFS(People!$L$2:$L$151,"&gt;="&amp;$B$4,People!$L$2:$L$151,"&lt;="&amp;$B$5)=0,"",SUMIFS(People!$M$2:$M$151,People!$L$2:$L$151,"&gt;="&amp;$B$4,People!$L$2:$L$151,"&lt;="&amp;$B$5))</f>
        <v>2500</v>
      </c>
      <c r="C34" s="24" t="str">
        <f aca="false">IF(COUNTIFS(People!$L$2:$L$151,"&gt;="&amp;$B$6,People!$L$2:$L$151,"&lt;="&amp;$D$6)=0,"",SUMIFS(People!$M$2:$M$151,People!$L$2:$L$151,"&gt;="&amp;$B$6,People!$L$2:$L$151,"&lt;="&amp;$D$6))</f>
        <v/>
      </c>
      <c r="D34" s="24" t="str">
        <f aca="false">IF(OR(B34="",C34=""),"",B34-C34)</f>
        <v/>
      </c>
      <c r="E34" s="20" t="str">
        <f aca="false">IF(OR(B34="",C34="",C34=0),"",(B34-C34)/ABS(C34))</f>
        <v/>
      </c>
      <c r="F34" s="21" t="s">
        <v>76</v>
      </c>
      <c r="G34" s="5"/>
    </row>
    <row r="35" customFormat="false" ht="15" hidden="false" customHeight="false" outlineLevel="0" collapsed="false">
      <c r="A35" s="9" t="s">
        <v>77</v>
      </c>
      <c r="B35" s="16" t="n">
        <f aca="false">IF(OR(B27="",B31=0),"",B27/B31)</f>
        <v>4.5</v>
      </c>
      <c r="C35" s="16" t="str">
        <f aca="false">IF(OR(C27="",C31=0),"",C27/C31)</f>
        <v/>
      </c>
      <c r="D35" s="16" t="str">
        <f aca="false">IF(OR(B35="",C35=""),"",B35-C35)</f>
        <v/>
      </c>
      <c r="E35" s="20" t="str">
        <f aca="false">IF(OR(B35="",C35="",C35=0),"",(B35-C35)/ABS(C35))</f>
        <v/>
      </c>
      <c r="F35" s="21" t="s">
        <v>78</v>
      </c>
      <c r="G35" s="5"/>
    </row>
    <row r="36" customFormat="false" ht="15" hidden="false" customHeight="false" outlineLevel="0" collapsed="false">
      <c r="A36" s="5"/>
      <c r="B36" s="5"/>
      <c r="C36" s="5"/>
      <c r="D36" s="5"/>
      <c r="E36" s="5"/>
      <c r="F36" s="5"/>
      <c r="G36" s="5"/>
    </row>
    <row r="37" customFormat="false" ht="15" hidden="false" customHeight="false" outlineLevel="0" collapsed="false">
      <c r="A37" s="11" t="s">
        <v>79</v>
      </c>
      <c r="B37" s="12"/>
      <c r="C37" s="12"/>
      <c r="D37" s="12"/>
      <c r="E37" s="12"/>
      <c r="F37" s="12"/>
      <c r="G37" s="5"/>
    </row>
    <row r="38" customFormat="false" ht="15" hidden="false" customHeight="false" outlineLevel="0" collapsed="false">
      <c r="A38" s="14"/>
      <c r="B38" s="14" t="s">
        <v>41</v>
      </c>
      <c r="C38" s="14" t="s">
        <v>80</v>
      </c>
      <c r="D38" s="5"/>
      <c r="E38" s="5"/>
      <c r="F38" s="5"/>
      <c r="G38" s="5"/>
    </row>
    <row r="39" customFormat="false" ht="15" hidden="false" customHeight="false" outlineLevel="0" collapsed="false">
      <c r="A39" s="9" t="s">
        <v>81</v>
      </c>
      <c r="B39" s="22" t="n">
        <f aca="false">B21</f>
        <v>10070</v>
      </c>
      <c r="C39" s="5"/>
      <c r="D39" s="5"/>
      <c r="E39" s="5"/>
      <c r="F39" s="5"/>
      <c r="G39" s="5"/>
    </row>
    <row r="40" customFormat="false" ht="15" hidden="false" customHeight="false" outlineLevel="0" collapsed="false">
      <c r="A40" s="9" t="s">
        <v>82</v>
      </c>
      <c r="B40" s="22" t="n">
        <f aca="false">B22</f>
        <v>736</v>
      </c>
      <c r="C40" s="23" t="n">
        <f aca="false">IF(OR(B40="",B39="",B39=0),"",B40/B39)</f>
        <v>0.0730883813306852</v>
      </c>
      <c r="D40" s="5"/>
      <c r="E40" s="5"/>
      <c r="F40" s="5"/>
      <c r="G40" s="5"/>
    </row>
    <row r="41" customFormat="false" ht="15" hidden="false" customHeight="false" outlineLevel="0" collapsed="false">
      <c r="A41" s="9" t="s">
        <v>83</v>
      </c>
      <c r="B41" s="22" t="n">
        <f aca="false">B25</f>
        <v>75</v>
      </c>
      <c r="C41" s="23" t="n">
        <f aca="false">IF(OR(B41="",B40="",B40=0),"",B41/B40)</f>
        <v>0.101902173913043</v>
      </c>
      <c r="D41" s="5"/>
      <c r="E41" s="5"/>
      <c r="F41" s="5"/>
      <c r="G41" s="5"/>
    </row>
    <row r="42" customFormat="false" ht="15" hidden="false" customHeight="false" outlineLevel="0" collapsed="false">
      <c r="A42" s="9" t="s">
        <v>84</v>
      </c>
      <c r="B42" s="22" t="n">
        <f aca="false">B29</f>
        <v>4</v>
      </c>
      <c r="C42" s="23" t="n">
        <f aca="false">IF(OR(B42="",B41="",B41=0),"",B42/B41)</f>
        <v>0.0533333333333333</v>
      </c>
      <c r="D42" s="5"/>
      <c r="E42" s="5"/>
      <c r="F42" s="5"/>
      <c r="G42" s="5"/>
    </row>
    <row r="43" customFormat="false" ht="15" hidden="false" customHeight="false" outlineLevel="0" collapsed="false">
      <c r="A43" s="9" t="s">
        <v>85</v>
      </c>
      <c r="B43" s="22" t="n">
        <f aca="false">B31</f>
        <v>2</v>
      </c>
      <c r="C43" s="23" t="n">
        <f aca="false">IF(OR(B43="",B42="",B42=0),"",B43/B42)</f>
        <v>0.5</v>
      </c>
      <c r="D43" s="5"/>
      <c r="E43" s="5"/>
      <c r="F43" s="5"/>
      <c r="G43" s="5"/>
    </row>
    <row r="44" customFormat="false" ht="15" hidden="false" customHeight="false" outlineLevel="0" collapsed="false">
      <c r="A44" s="9" t="s">
        <v>86</v>
      </c>
      <c r="B44" s="22" t="n">
        <f aca="false">B32</f>
        <v>1</v>
      </c>
      <c r="C44" s="23" t="n">
        <f aca="false">IF(OR(B44="",B43="",B43=0),"",B44/B43)</f>
        <v>0.5</v>
      </c>
      <c r="D44" s="5"/>
      <c r="E44" s="5"/>
      <c r="F44" s="5"/>
      <c r="G44" s="5"/>
    </row>
    <row r="45" customFormat="false" ht="15" hidden="false" customHeight="false" outlineLevel="0" collapsed="false">
      <c r="A45" s="9" t="s">
        <v>87</v>
      </c>
      <c r="B45" s="22" t="n">
        <f aca="false">B33</f>
        <v>1</v>
      </c>
      <c r="C45" s="23" t="n">
        <f aca="false">IF(OR(B45="",B44="",B44=0),"",B45/B44)</f>
        <v>1</v>
      </c>
      <c r="D45" s="5"/>
      <c r="E45" s="5"/>
      <c r="F45" s="5"/>
      <c r="G45" s="5"/>
    </row>
    <row r="46" customFormat="false" ht="15" hidden="false" customHeight="false" outlineLevel="0" collapsed="false">
      <c r="A46" s="5"/>
      <c r="B46" s="5"/>
      <c r="C46" s="5"/>
      <c r="D46" s="5"/>
      <c r="E46" s="5"/>
      <c r="F46" s="5"/>
      <c r="G46" s="5"/>
    </row>
    <row r="47" customFormat="false" ht="15" hidden="false" customHeight="false" outlineLevel="0" collapsed="false">
      <c r="A47" s="11" t="s">
        <v>88</v>
      </c>
      <c r="B47" s="12"/>
      <c r="C47" s="12"/>
      <c r="D47" s="12"/>
      <c r="E47" s="12"/>
      <c r="F47" s="12"/>
      <c r="G47" s="12"/>
    </row>
    <row r="48" customFormat="false" ht="15" hidden="false" customHeight="false" outlineLevel="0" collapsed="false">
      <c r="A48" s="14"/>
      <c r="B48" s="14" t="s">
        <v>35</v>
      </c>
      <c r="C48" s="14" t="s">
        <v>49</v>
      </c>
      <c r="D48" s="14" t="s">
        <v>53</v>
      </c>
      <c r="E48" s="14" t="s">
        <v>57</v>
      </c>
      <c r="F48" s="14" t="s">
        <v>69</v>
      </c>
      <c r="G48" s="14" t="s">
        <v>89</v>
      </c>
    </row>
    <row r="49" customFormat="false" ht="15" hidden="false" customHeight="false" outlineLevel="0" collapsed="false">
      <c r="A49" s="9" t="str">
        <f aca="false">IF(Lists!$A$5="","",Lists!$A$5)</f>
        <v>Instagram</v>
      </c>
      <c r="B49" s="18" t="n">
        <f aca="false">IF($A49="","",COUNTIFS(Posts!$B$2:$B$251,$A49,Posts!$A$2:$A$251,"&gt;="&amp;$B$4,Posts!$A$2:$A$251,"&lt;="&amp;$B$5))</f>
        <v>3</v>
      </c>
      <c r="C49" s="22" t="n">
        <f aca="false">IF(OR($A49="",COUNTIFS(Posts!$I$2:$I$251,"&lt;&gt;",Posts!$B$2:$B$251,$A49,Posts!$A$2:$A$251,"&gt;="&amp;$B$4,Posts!$A$2:$A$251,"&lt;="&amp;$B$5)=0),"",SUMIFS(Posts!$I$2:$I$251,Posts!$B$2:$B$251,$A49,Posts!$A$2:$A$251,"&gt;="&amp;$B$4,Posts!$A$2:$A$251,"&lt;="&amp;$B$5))</f>
        <v>4960</v>
      </c>
      <c r="D49" s="23" t="n">
        <f aca="false">IF(OR(C49="",C49=0,COUNTIFS(Posts!$T$2:$T$251,"&lt;&gt;",Posts!$B$2:$B$251,$A49,Posts!$A$2:$A$251,"&gt;="&amp;$B$4,Posts!$A$2:$A$251,"&lt;="&amp;$B$5)=0),"",SUMIFS(Posts!$T$2:$T$251,Posts!$B$2:$B$251,$A49,Posts!$A$2:$A$251,"&gt;="&amp;$B$4,Posts!$A$2:$A$251,"&lt;="&amp;$B$5)/C49)</f>
        <v>0.0756048387096774</v>
      </c>
      <c r="E49" s="22" t="n">
        <f aca="false">IF(OR($A49="",COUNTIFS(Posts!$P$2:$P$251,"&lt;&gt;",Posts!$B$2:$B$251,$A49,Posts!$A$2:$A$251,"&gt;="&amp;$B$4,Posts!$A$2:$A$251,"&lt;="&amp;$B$5)=0),"",SUMIFS(Posts!$P$2:$P$251,Posts!$B$2:$B$251,$A49,Posts!$A$2:$A$251,"&gt;="&amp;$B$4,Posts!$A$2:$A$251,"&lt;="&amp;$B$5))</f>
        <v>43</v>
      </c>
      <c r="F49" s="18" t="n">
        <f aca="false">IF(OR($A49="",COUNTIFS(Posts!$Q$2:$Q$251,"&lt;&gt;",Posts!$B$2:$B$251,$A49,Posts!$A$2:$A$251,"&gt;="&amp;$B$4,Posts!$A$2:$A$251,"&lt;="&amp;$B$5)=0),"",SUMIFS(Posts!$Q$2:$Q$251,Posts!$B$2:$B$251,$A49,Posts!$A$2:$A$251,"&gt;="&amp;$B$4,Posts!$A$2:$A$251,"&lt;="&amp;$B$5))</f>
        <v>1</v>
      </c>
      <c r="G49" s="25" t="n">
        <f aca="false">IF(OR(F49="",B49=0),"",F49/B49)</f>
        <v>0.333333333333333</v>
      </c>
    </row>
    <row r="50" customFormat="false" ht="15" hidden="false" customHeight="false" outlineLevel="0" collapsed="false">
      <c r="A50" s="9" t="str">
        <f aca="false">IF(Lists!$A$6="","",Lists!$A$6)</f>
        <v>TikTok</v>
      </c>
      <c r="B50" s="18" t="n">
        <f aca="false">IF($A50="","",COUNTIFS(Posts!$B$2:$B$251,$A50,Posts!$A$2:$A$251,"&gt;="&amp;$B$4,Posts!$A$2:$A$251,"&lt;="&amp;$B$5))</f>
        <v>1</v>
      </c>
      <c r="C50" s="22" t="str">
        <f aca="false">IF(OR($A50="",COUNTIFS(Posts!$I$2:$I$251,"&lt;&gt;",Posts!$B$2:$B$251,$A50,Posts!$A$2:$A$251,"&gt;="&amp;$B$4,Posts!$A$2:$A$251,"&lt;="&amp;$B$5)=0),"",SUMIFS(Posts!$I$2:$I$251,Posts!$B$2:$B$251,$A50,Posts!$A$2:$A$251,"&gt;="&amp;$B$4,Posts!$A$2:$A$251,"&lt;="&amp;$B$5))</f>
        <v/>
      </c>
      <c r="D50" s="23" t="str">
        <f aca="false">IF(OR(C50="",C50=0,COUNTIFS(Posts!$T$2:$T$251,"&lt;&gt;",Posts!$B$2:$B$251,$A50,Posts!$A$2:$A$251,"&gt;="&amp;$B$4,Posts!$A$2:$A$251,"&lt;="&amp;$B$5)=0),"",SUMIFS(Posts!$T$2:$T$251,Posts!$B$2:$B$251,$A50,Posts!$A$2:$A$251,"&gt;="&amp;$B$4,Posts!$A$2:$A$251,"&lt;="&amp;$B$5)/C50)</f>
        <v/>
      </c>
      <c r="E50" s="22" t="str">
        <f aca="false">IF(OR($A50="",COUNTIFS(Posts!$P$2:$P$251,"&lt;&gt;",Posts!$B$2:$B$251,$A50,Posts!$A$2:$A$251,"&gt;="&amp;$B$4,Posts!$A$2:$A$251,"&lt;="&amp;$B$5)=0),"",SUMIFS(Posts!$P$2:$P$251,Posts!$B$2:$B$251,$A50,Posts!$A$2:$A$251,"&gt;="&amp;$B$4,Posts!$A$2:$A$251,"&lt;="&amp;$B$5))</f>
        <v/>
      </c>
      <c r="F50" s="18" t="str">
        <f aca="false">IF(OR($A50="",COUNTIFS(Posts!$Q$2:$Q$251,"&lt;&gt;",Posts!$B$2:$B$251,$A50,Posts!$A$2:$A$251,"&gt;="&amp;$B$4,Posts!$A$2:$A$251,"&lt;="&amp;$B$5)=0),"",SUMIFS(Posts!$Q$2:$Q$251,Posts!$B$2:$B$251,$A50,Posts!$A$2:$A$251,"&gt;="&amp;$B$4,Posts!$A$2:$A$251,"&lt;="&amp;$B$5))</f>
        <v/>
      </c>
      <c r="G50" s="25" t="str">
        <f aca="false">IF(OR(F50="",B50=0),"",F50/B50)</f>
        <v/>
      </c>
    </row>
    <row r="51" customFormat="false" ht="15" hidden="false" customHeight="false" outlineLevel="0" collapsed="false">
      <c r="A51" s="9" t="str">
        <f aca="false">IF(Lists!$A$7="","",Lists!$A$7)</f>
        <v>YouTube</v>
      </c>
      <c r="B51" s="18" t="n">
        <f aca="false">IF($A51="","",COUNTIFS(Posts!$B$2:$B$251,$A51,Posts!$A$2:$A$251,"&gt;="&amp;$B$4,Posts!$A$2:$A$251,"&lt;="&amp;$B$5))</f>
        <v>1</v>
      </c>
      <c r="C51" s="22" t="n">
        <f aca="false">IF(OR($A51="",COUNTIFS(Posts!$I$2:$I$251,"&lt;&gt;",Posts!$B$2:$B$251,$A51,Posts!$A$2:$A$251,"&gt;="&amp;$B$4,Posts!$A$2:$A$251,"&lt;="&amp;$B$5)=0),"",SUMIFS(Posts!$I$2:$I$251,Posts!$B$2:$B$251,$A51,Posts!$A$2:$A$251,"&gt;="&amp;$B$4,Posts!$A$2:$A$251,"&lt;="&amp;$B$5))</f>
        <v>960</v>
      </c>
      <c r="D51" s="23" t="n">
        <f aca="false">IF(OR(C51="",C51=0,COUNTIFS(Posts!$T$2:$T$251,"&lt;&gt;",Posts!$B$2:$B$251,$A51,Posts!$A$2:$A$251,"&gt;="&amp;$B$4,Posts!$A$2:$A$251,"&lt;="&amp;$B$5)=0),"",SUMIFS(Posts!$T$2:$T$251,Posts!$B$2:$B$251,$A51,Posts!$A$2:$A$251,"&gt;="&amp;$B$4,Posts!$A$2:$A$251,"&lt;="&amp;$B$5)/C51)</f>
        <v>0.0666666666666667</v>
      </c>
      <c r="E51" s="22" t="n">
        <f aca="false">IF(OR($A51="",COUNTIFS(Posts!$P$2:$P$251,"&lt;&gt;",Posts!$B$2:$B$251,$A51,Posts!$A$2:$A$251,"&gt;="&amp;$B$4,Posts!$A$2:$A$251,"&lt;="&amp;$B$5)=0),"",SUMIFS(Posts!$P$2:$P$251,Posts!$B$2:$B$251,$A51,Posts!$A$2:$A$251,"&gt;="&amp;$B$4,Posts!$A$2:$A$251,"&lt;="&amp;$B$5))</f>
        <v>9</v>
      </c>
      <c r="F51" s="18" t="n">
        <f aca="false">IF(OR($A51="",COUNTIFS(Posts!$Q$2:$Q$251,"&lt;&gt;",Posts!$B$2:$B$251,$A51,Posts!$A$2:$A$251,"&gt;="&amp;$B$4,Posts!$A$2:$A$251,"&lt;="&amp;$B$5)=0),"",SUMIFS(Posts!$Q$2:$Q$251,Posts!$B$2:$B$251,$A51,Posts!$A$2:$A$251,"&gt;="&amp;$B$4,Posts!$A$2:$A$251,"&lt;="&amp;$B$5))</f>
        <v>1</v>
      </c>
      <c r="G51" s="25" t="n">
        <f aca="false">IF(OR(F51="",B51=0),"",F51/B51)</f>
        <v>1</v>
      </c>
    </row>
    <row r="52" customFormat="false" ht="15" hidden="false" customHeight="false" outlineLevel="0" collapsed="false">
      <c r="A52" s="9" t="str">
        <f aca="false">IF(Lists!$A$8="","",Lists!$A$8)</f>
        <v>LinkedIn</v>
      </c>
      <c r="B52" s="18" t="n">
        <f aca="false">IF($A52="","",COUNTIFS(Posts!$B$2:$B$251,$A52,Posts!$A$2:$A$251,"&gt;="&amp;$B$4,Posts!$A$2:$A$251,"&lt;="&amp;$B$5))</f>
        <v>2</v>
      </c>
      <c r="C52" s="22" t="n">
        <f aca="false">IF(OR($A52="",COUNTIFS(Posts!$I$2:$I$251,"&lt;&gt;",Posts!$B$2:$B$251,$A52,Posts!$A$2:$A$251,"&gt;="&amp;$B$4,Posts!$A$2:$A$251,"&lt;="&amp;$B$5)=0),"",SUMIFS(Posts!$I$2:$I$251,Posts!$B$2:$B$251,$A52,Posts!$A$2:$A$251,"&gt;="&amp;$B$4,Posts!$A$2:$A$251,"&lt;="&amp;$B$5))</f>
        <v>3740</v>
      </c>
      <c r="D52" s="23" t="n">
        <f aca="false">IF(OR(C52="",C52=0,COUNTIFS(Posts!$T$2:$T$251,"&lt;&gt;",Posts!$B$2:$B$251,$A52,Posts!$A$2:$A$251,"&gt;="&amp;$B$4,Posts!$A$2:$A$251,"&lt;="&amp;$B$5)=0),"",SUMIFS(Posts!$T$2:$T$251,Posts!$B$2:$B$251,$A52,Posts!$A$2:$A$251,"&gt;="&amp;$B$4,Posts!$A$2:$A$251,"&lt;="&amp;$B$5)/C52)</f>
        <v>0.0783422459893048</v>
      </c>
      <c r="E52" s="22" t="n">
        <f aca="false">IF(OR($A52="",COUNTIFS(Posts!$P$2:$P$251,"&lt;&gt;",Posts!$B$2:$B$251,$A52,Posts!$A$2:$A$251,"&gt;="&amp;$B$4,Posts!$A$2:$A$251,"&lt;="&amp;$B$5)=0),"",SUMIFS(Posts!$P$2:$P$251,Posts!$B$2:$B$251,$A52,Posts!$A$2:$A$251,"&gt;="&amp;$B$4,Posts!$A$2:$A$251,"&lt;="&amp;$B$5))</f>
        <v>23</v>
      </c>
      <c r="F52" s="18" t="n">
        <f aca="false">IF(OR($A52="",COUNTIFS(Posts!$Q$2:$Q$251,"&lt;&gt;",Posts!$B$2:$B$251,$A52,Posts!$A$2:$A$251,"&gt;="&amp;$B$4,Posts!$A$2:$A$251,"&lt;="&amp;$B$5)=0),"",SUMIFS(Posts!$Q$2:$Q$251,Posts!$B$2:$B$251,$A52,Posts!$A$2:$A$251,"&gt;="&amp;$B$4,Posts!$A$2:$A$251,"&lt;="&amp;$B$5))</f>
        <v>2</v>
      </c>
      <c r="G52" s="25" t="n">
        <f aca="false">IF(OR(F52="",B52=0),"",F52/B52)</f>
        <v>1</v>
      </c>
    </row>
    <row r="53" customFormat="false" ht="15" hidden="false" customHeight="false" outlineLevel="0" collapsed="false">
      <c r="A53" s="9" t="str">
        <f aca="false">IF(Lists!$A$9="","",Lists!$A$9)</f>
        <v>X</v>
      </c>
      <c r="B53" s="18" t="n">
        <f aca="false">IF($A53="","",COUNTIFS(Posts!$B$2:$B$251,$A53,Posts!$A$2:$A$251,"&gt;="&amp;$B$4,Posts!$A$2:$A$251,"&lt;="&amp;$B$5))</f>
        <v>0</v>
      </c>
      <c r="C53" s="22" t="str">
        <f aca="false">IF(OR($A53="",COUNTIFS(Posts!$I$2:$I$251,"&lt;&gt;",Posts!$B$2:$B$251,$A53,Posts!$A$2:$A$251,"&gt;="&amp;$B$4,Posts!$A$2:$A$251,"&lt;="&amp;$B$5)=0),"",SUMIFS(Posts!$I$2:$I$251,Posts!$B$2:$B$251,$A53,Posts!$A$2:$A$251,"&gt;="&amp;$B$4,Posts!$A$2:$A$251,"&lt;="&amp;$B$5))</f>
        <v/>
      </c>
      <c r="D53" s="23" t="str">
        <f aca="false">IF(OR(C53="",C53=0,COUNTIFS(Posts!$T$2:$T$251,"&lt;&gt;",Posts!$B$2:$B$251,$A53,Posts!$A$2:$A$251,"&gt;="&amp;$B$4,Posts!$A$2:$A$251,"&lt;="&amp;$B$5)=0),"",SUMIFS(Posts!$T$2:$T$251,Posts!$B$2:$B$251,$A53,Posts!$A$2:$A$251,"&gt;="&amp;$B$4,Posts!$A$2:$A$251,"&lt;="&amp;$B$5)/C53)</f>
        <v/>
      </c>
      <c r="E53" s="22" t="str">
        <f aca="false">IF(OR($A53="",COUNTIFS(Posts!$P$2:$P$251,"&lt;&gt;",Posts!$B$2:$B$251,$A53,Posts!$A$2:$A$251,"&gt;="&amp;$B$4,Posts!$A$2:$A$251,"&lt;="&amp;$B$5)=0),"",SUMIFS(Posts!$P$2:$P$251,Posts!$B$2:$B$251,$A53,Posts!$A$2:$A$251,"&gt;="&amp;$B$4,Posts!$A$2:$A$251,"&lt;="&amp;$B$5))</f>
        <v/>
      </c>
      <c r="F53" s="18" t="str">
        <f aca="false">IF(OR($A53="",COUNTIFS(Posts!$Q$2:$Q$251,"&lt;&gt;",Posts!$B$2:$B$251,$A53,Posts!$A$2:$A$251,"&gt;="&amp;$B$4,Posts!$A$2:$A$251,"&lt;="&amp;$B$5)=0),"",SUMIFS(Posts!$Q$2:$Q$251,Posts!$B$2:$B$251,$A53,Posts!$A$2:$A$251,"&gt;="&amp;$B$4,Posts!$A$2:$A$251,"&lt;="&amp;$B$5))</f>
        <v/>
      </c>
      <c r="G53" s="25" t="str">
        <f aca="false">IF(OR(F53="",B53=0),"",F53/B53)</f>
        <v/>
      </c>
    </row>
    <row r="54" customFormat="false" ht="15" hidden="false" customHeight="false" outlineLevel="0" collapsed="false">
      <c r="A54" s="9" t="str">
        <f aca="false">IF(Lists!$A$10="","",Lists!$A$10)</f>
        <v>Threads</v>
      </c>
      <c r="B54" s="18" t="n">
        <f aca="false">IF($A54="","",COUNTIFS(Posts!$B$2:$B$251,$A54,Posts!$A$2:$A$251,"&gt;="&amp;$B$4,Posts!$A$2:$A$251,"&lt;="&amp;$B$5))</f>
        <v>0</v>
      </c>
      <c r="C54" s="22" t="str">
        <f aca="false">IF(OR($A54="",COUNTIFS(Posts!$I$2:$I$251,"&lt;&gt;",Posts!$B$2:$B$251,$A54,Posts!$A$2:$A$251,"&gt;="&amp;$B$4,Posts!$A$2:$A$251,"&lt;="&amp;$B$5)=0),"",SUMIFS(Posts!$I$2:$I$251,Posts!$B$2:$B$251,$A54,Posts!$A$2:$A$251,"&gt;="&amp;$B$4,Posts!$A$2:$A$251,"&lt;="&amp;$B$5))</f>
        <v/>
      </c>
      <c r="D54" s="23" t="str">
        <f aca="false">IF(OR(C54="",C54=0,COUNTIFS(Posts!$T$2:$T$251,"&lt;&gt;",Posts!$B$2:$B$251,$A54,Posts!$A$2:$A$251,"&gt;="&amp;$B$4,Posts!$A$2:$A$251,"&lt;="&amp;$B$5)=0),"",SUMIFS(Posts!$T$2:$T$251,Posts!$B$2:$B$251,$A54,Posts!$A$2:$A$251,"&gt;="&amp;$B$4,Posts!$A$2:$A$251,"&lt;="&amp;$B$5)/C54)</f>
        <v/>
      </c>
      <c r="E54" s="22" t="str">
        <f aca="false">IF(OR($A54="",COUNTIFS(Posts!$P$2:$P$251,"&lt;&gt;",Posts!$B$2:$B$251,$A54,Posts!$A$2:$A$251,"&gt;="&amp;$B$4,Posts!$A$2:$A$251,"&lt;="&amp;$B$5)=0),"",SUMIFS(Posts!$P$2:$P$251,Posts!$B$2:$B$251,$A54,Posts!$A$2:$A$251,"&gt;="&amp;$B$4,Posts!$A$2:$A$251,"&lt;="&amp;$B$5))</f>
        <v/>
      </c>
      <c r="F54" s="18" t="str">
        <f aca="false">IF(OR($A54="",COUNTIFS(Posts!$Q$2:$Q$251,"&lt;&gt;",Posts!$B$2:$B$251,$A54,Posts!$A$2:$A$251,"&gt;="&amp;$B$4,Posts!$A$2:$A$251,"&lt;="&amp;$B$5)=0),"",SUMIFS(Posts!$Q$2:$Q$251,Posts!$B$2:$B$251,$A54,Posts!$A$2:$A$251,"&gt;="&amp;$B$4,Posts!$A$2:$A$251,"&lt;="&amp;$B$5))</f>
        <v/>
      </c>
      <c r="G54" s="25" t="str">
        <f aca="false">IF(OR(F54="",B54=0),"",F54/B54)</f>
        <v/>
      </c>
    </row>
    <row r="55" customFormat="false" ht="15" hidden="false" customHeight="false" outlineLevel="0" collapsed="false">
      <c r="A55" s="9" t="str">
        <f aca="false">IF(Lists!$A$11="","",Lists!$A$11)</f>
        <v>Facebook</v>
      </c>
      <c r="B55" s="18" t="n">
        <f aca="false">IF($A55="","",COUNTIFS(Posts!$B$2:$B$251,$A55,Posts!$A$2:$A$251,"&gt;="&amp;$B$4,Posts!$A$2:$A$251,"&lt;="&amp;$B$5))</f>
        <v>0</v>
      </c>
      <c r="C55" s="22" t="str">
        <f aca="false">IF(OR($A55="",COUNTIFS(Posts!$I$2:$I$251,"&lt;&gt;",Posts!$B$2:$B$251,$A55,Posts!$A$2:$A$251,"&gt;="&amp;$B$4,Posts!$A$2:$A$251,"&lt;="&amp;$B$5)=0),"",SUMIFS(Posts!$I$2:$I$251,Posts!$B$2:$B$251,$A55,Posts!$A$2:$A$251,"&gt;="&amp;$B$4,Posts!$A$2:$A$251,"&lt;="&amp;$B$5))</f>
        <v/>
      </c>
      <c r="D55" s="23" t="str">
        <f aca="false">IF(OR(C55="",C55=0,COUNTIFS(Posts!$T$2:$T$251,"&lt;&gt;",Posts!$B$2:$B$251,$A55,Posts!$A$2:$A$251,"&gt;="&amp;$B$4,Posts!$A$2:$A$251,"&lt;="&amp;$B$5)=0),"",SUMIFS(Posts!$T$2:$T$251,Posts!$B$2:$B$251,$A55,Posts!$A$2:$A$251,"&gt;="&amp;$B$4,Posts!$A$2:$A$251,"&lt;="&amp;$B$5)/C55)</f>
        <v/>
      </c>
      <c r="E55" s="22" t="str">
        <f aca="false">IF(OR($A55="",COUNTIFS(Posts!$P$2:$P$251,"&lt;&gt;",Posts!$B$2:$B$251,$A55,Posts!$A$2:$A$251,"&gt;="&amp;$B$4,Posts!$A$2:$A$251,"&lt;="&amp;$B$5)=0),"",SUMIFS(Posts!$P$2:$P$251,Posts!$B$2:$B$251,$A55,Posts!$A$2:$A$251,"&gt;="&amp;$B$4,Posts!$A$2:$A$251,"&lt;="&amp;$B$5))</f>
        <v/>
      </c>
      <c r="F55" s="18" t="str">
        <f aca="false">IF(OR($A55="",COUNTIFS(Posts!$Q$2:$Q$251,"&lt;&gt;",Posts!$B$2:$B$251,$A55,Posts!$A$2:$A$251,"&gt;="&amp;$B$4,Posts!$A$2:$A$251,"&lt;="&amp;$B$5)=0),"",SUMIFS(Posts!$Q$2:$Q$251,Posts!$B$2:$B$251,$A55,Posts!$A$2:$A$251,"&gt;="&amp;$B$4,Posts!$A$2:$A$251,"&lt;="&amp;$B$5))</f>
        <v/>
      </c>
      <c r="G55" s="25" t="str">
        <f aca="false">IF(OR(F55="",B55=0),"",F55/B55)</f>
        <v/>
      </c>
    </row>
    <row r="56" customFormat="false" ht="15" hidden="false" customHeight="false" outlineLevel="0" collapsed="false">
      <c r="A56" s="9" t="str">
        <f aca="false">IF(Lists!$A$12="","",Lists!$A$12)</f>
        <v>Newsletter</v>
      </c>
      <c r="B56" s="18" t="n">
        <f aca="false">IF($A56="","",COUNTIFS(Posts!$B$2:$B$251,$A56,Posts!$A$2:$A$251,"&gt;="&amp;$B$4,Posts!$A$2:$A$251,"&lt;="&amp;$B$5))</f>
        <v>1</v>
      </c>
      <c r="C56" s="22" t="n">
        <f aca="false">IF(OR($A56="",COUNTIFS(Posts!$I$2:$I$251,"&lt;&gt;",Posts!$B$2:$B$251,$A56,Posts!$A$2:$A$251,"&gt;="&amp;$B$4,Posts!$A$2:$A$251,"&lt;="&amp;$B$5)=0),"",SUMIFS(Posts!$I$2:$I$251,Posts!$B$2:$B$251,$A56,Posts!$A$2:$A$251,"&gt;="&amp;$B$4,Posts!$A$2:$A$251,"&lt;="&amp;$B$5))</f>
        <v>410</v>
      </c>
      <c r="D56" s="23" t="n">
        <f aca="false">IF(OR(C56="",C56=0,COUNTIFS(Posts!$T$2:$T$251,"&lt;&gt;",Posts!$B$2:$B$251,$A56,Posts!$A$2:$A$251,"&gt;="&amp;$B$4,Posts!$A$2:$A$251,"&lt;="&amp;$B$5)=0),"",SUMIFS(Posts!$T$2:$T$251,Posts!$B$2:$B$251,$A56,Posts!$A$2:$A$251,"&gt;="&amp;$B$4,Posts!$A$2:$A$251,"&lt;="&amp;$B$5)/C56)</f>
        <v>0.00975609756097561</v>
      </c>
      <c r="E56" s="22" t="str">
        <f aca="false">IF(OR($A56="",COUNTIFS(Posts!$P$2:$P$251,"&lt;&gt;",Posts!$B$2:$B$251,$A56,Posts!$A$2:$A$251,"&gt;="&amp;$B$4,Posts!$A$2:$A$251,"&lt;="&amp;$B$5)=0),"",SUMIFS(Posts!$P$2:$P$251,Posts!$B$2:$B$251,$A56,Posts!$A$2:$A$251,"&gt;="&amp;$B$4,Posts!$A$2:$A$251,"&lt;="&amp;$B$5))</f>
        <v/>
      </c>
      <c r="F56" s="18" t="n">
        <f aca="false">IF(OR($A56="",COUNTIFS(Posts!$Q$2:$Q$251,"&lt;&gt;",Posts!$B$2:$B$251,$A56,Posts!$A$2:$A$251,"&gt;="&amp;$B$4,Posts!$A$2:$A$251,"&lt;="&amp;$B$5)=0),"",SUMIFS(Posts!$Q$2:$Q$251,Posts!$B$2:$B$251,$A56,Posts!$A$2:$A$251,"&gt;="&amp;$B$4,Posts!$A$2:$A$251,"&lt;="&amp;$B$5))</f>
        <v>2</v>
      </c>
      <c r="G56" s="25" t="n">
        <f aca="false">IF(OR(F56="",B56=0),"",F56/B56)</f>
        <v>2</v>
      </c>
    </row>
    <row r="57" customFormat="false" ht="15" hidden="false" customHeight="false" outlineLevel="0" collapsed="false">
      <c r="A57" s="9" t="str">
        <f aca="false">IF(Lists!$A$13="","",Lists!$A$13)</f>
        <v>Podcast</v>
      </c>
      <c r="B57" s="18" t="n">
        <f aca="false">IF($A57="","",COUNTIFS(Posts!$B$2:$B$251,$A57,Posts!$A$2:$A$251,"&gt;="&amp;$B$4,Posts!$A$2:$A$251,"&lt;="&amp;$B$5))</f>
        <v>0</v>
      </c>
      <c r="C57" s="22" t="str">
        <f aca="false">IF(OR($A57="",COUNTIFS(Posts!$I$2:$I$251,"&lt;&gt;",Posts!$B$2:$B$251,$A57,Posts!$A$2:$A$251,"&gt;="&amp;$B$4,Posts!$A$2:$A$251,"&lt;="&amp;$B$5)=0),"",SUMIFS(Posts!$I$2:$I$251,Posts!$B$2:$B$251,$A57,Posts!$A$2:$A$251,"&gt;="&amp;$B$4,Posts!$A$2:$A$251,"&lt;="&amp;$B$5))</f>
        <v/>
      </c>
      <c r="D57" s="23" t="str">
        <f aca="false">IF(OR(C57="",C57=0,COUNTIFS(Posts!$T$2:$T$251,"&lt;&gt;",Posts!$B$2:$B$251,$A57,Posts!$A$2:$A$251,"&gt;="&amp;$B$4,Posts!$A$2:$A$251,"&lt;="&amp;$B$5)=0),"",SUMIFS(Posts!$T$2:$T$251,Posts!$B$2:$B$251,$A57,Posts!$A$2:$A$251,"&gt;="&amp;$B$4,Posts!$A$2:$A$251,"&lt;="&amp;$B$5)/C57)</f>
        <v/>
      </c>
      <c r="E57" s="22" t="str">
        <f aca="false">IF(OR($A57="",COUNTIFS(Posts!$P$2:$P$251,"&lt;&gt;",Posts!$B$2:$B$251,$A57,Posts!$A$2:$A$251,"&gt;="&amp;$B$4,Posts!$A$2:$A$251,"&lt;="&amp;$B$5)=0),"",SUMIFS(Posts!$P$2:$P$251,Posts!$B$2:$B$251,$A57,Posts!$A$2:$A$251,"&gt;="&amp;$B$4,Posts!$A$2:$A$251,"&lt;="&amp;$B$5))</f>
        <v/>
      </c>
      <c r="F57" s="18" t="str">
        <f aca="false">IF(OR($A57="",COUNTIFS(Posts!$Q$2:$Q$251,"&lt;&gt;",Posts!$B$2:$B$251,$A57,Posts!$A$2:$A$251,"&gt;="&amp;$B$4,Posts!$A$2:$A$251,"&lt;="&amp;$B$5)=0),"",SUMIFS(Posts!$Q$2:$Q$251,Posts!$B$2:$B$251,$A57,Posts!$A$2:$A$251,"&gt;="&amp;$B$4,Posts!$A$2:$A$251,"&lt;="&amp;$B$5))</f>
        <v/>
      </c>
      <c r="G57" s="25" t="str">
        <f aca="false">IF(OR(F57="",B57=0),"",F57/B57)</f>
        <v/>
      </c>
    </row>
    <row r="58" customFormat="false" ht="15" hidden="false" customHeight="false" outlineLevel="0" collapsed="false">
      <c r="A58" s="9" t="str">
        <f aca="false">IF(Lists!$A$14="","",Lists!$A$14)</f>
        <v>Blog</v>
      </c>
      <c r="B58" s="18" t="n">
        <f aca="false">IF($A58="","",COUNTIFS(Posts!$B$2:$B$251,$A58,Posts!$A$2:$A$251,"&gt;="&amp;$B$4,Posts!$A$2:$A$251,"&lt;="&amp;$B$5))</f>
        <v>0</v>
      </c>
      <c r="C58" s="22" t="str">
        <f aca="false">IF(OR($A58="",COUNTIFS(Posts!$I$2:$I$251,"&lt;&gt;",Posts!$B$2:$B$251,$A58,Posts!$A$2:$A$251,"&gt;="&amp;$B$4,Posts!$A$2:$A$251,"&lt;="&amp;$B$5)=0),"",SUMIFS(Posts!$I$2:$I$251,Posts!$B$2:$B$251,$A58,Posts!$A$2:$A$251,"&gt;="&amp;$B$4,Posts!$A$2:$A$251,"&lt;="&amp;$B$5))</f>
        <v/>
      </c>
      <c r="D58" s="23" t="str">
        <f aca="false">IF(OR(C58="",C58=0,COUNTIFS(Posts!$T$2:$T$251,"&lt;&gt;",Posts!$B$2:$B$251,$A58,Posts!$A$2:$A$251,"&gt;="&amp;$B$4,Posts!$A$2:$A$251,"&lt;="&amp;$B$5)=0),"",SUMIFS(Posts!$T$2:$T$251,Posts!$B$2:$B$251,$A58,Posts!$A$2:$A$251,"&gt;="&amp;$B$4,Posts!$A$2:$A$251,"&lt;="&amp;$B$5)/C58)</f>
        <v/>
      </c>
      <c r="E58" s="22" t="str">
        <f aca="false">IF(OR($A58="",COUNTIFS(Posts!$P$2:$P$251,"&lt;&gt;",Posts!$B$2:$B$251,$A58,Posts!$A$2:$A$251,"&gt;="&amp;$B$4,Posts!$A$2:$A$251,"&lt;="&amp;$B$5)=0),"",SUMIFS(Posts!$P$2:$P$251,Posts!$B$2:$B$251,$A58,Posts!$A$2:$A$251,"&gt;="&amp;$B$4,Posts!$A$2:$A$251,"&lt;="&amp;$B$5))</f>
        <v/>
      </c>
      <c r="F58" s="18" t="str">
        <f aca="false">IF(OR($A58="",COUNTIFS(Posts!$Q$2:$Q$251,"&lt;&gt;",Posts!$B$2:$B$251,$A58,Posts!$A$2:$A$251,"&gt;="&amp;$B$4,Posts!$A$2:$A$251,"&lt;="&amp;$B$5)=0),"",SUMIFS(Posts!$Q$2:$Q$251,Posts!$B$2:$B$251,$A58,Posts!$A$2:$A$251,"&gt;="&amp;$B$4,Posts!$A$2:$A$251,"&lt;="&amp;$B$5))</f>
        <v/>
      </c>
      <c r="G58" s="25" t="str">
        <f aca="false">IF(OR(F58="",B58=0),"",F58/B58)</f>
        <v/>
      </c>
    </row>
    <row r="59" customFormat="false" ht="15" hidden="false" customHeight="false" outlineLevel="0" collapsed="false">
      <c r="A59" s="9" t="str">
        <f aca="false">IF(Lists!$A$15="","",Lists!$A$15)</f>
        <v>Other</v>
      </c>
      <c r="B59" s="18" t="n">
        <f aca="false">IF($A59="","",COUNTIFS(Posts!$B$2:$B$251,$A59,Posts!$A$2:$A$251,"&gt;="&amp;$B$4,Posts!$A$2:$A$251,"&lt;="&amp;$B$5))</f>
        <v>0</v>
      </c>
      <c r="C59" s="22" t="str">
        <f aca="false">IF(OR($A59="",COUNTIFS(Posts!$I$2:$I$251,"&lt;&gt;",Posts!$B$2:$B$251,$A59,Posts!$A$2:$A$251,"&gt;="&amp;$B$4,Posts!$A$2:$A$251,"&lt;="&amp;$B$5)=0),"",SUMIFS(Posts!$I$2:$I$251,Posts!$B$2:$B$251,$A59,Posts!$A$2:$A$251,"&gt;="&amp;$B$4,Posts!$A$2:$A$251,"&lt;="&amp;$B$5))</f>
        <v/>
      </c>
      <c r="D59" s="23" t="str">
        <f aca="false">IF(OR(C59="",C59=0,COUNTIFS(Posts!$T$2:$T$251,"&lt;&gt;",Posts!$B$2:$B$251,$A59,Posts!$A$2:$A$251,"&gt;="&amp;$B$4,Posts!$A$2:$A$251,"&lt;="&amp;$B$5)=0),"",SUMIFS(Posts!$T$2:$T$251,Posts!$B$2:$B$251,$A59,Posts!$A$2:$A$251,"&gt;="&amp;$B$4,Posts!$A$2:$A$251,"&lt;="&amp;$B$5)/C59)</f>
        <v/>
      </c>
      <c r="E59" s="22" t="str">
        <f aca="false">IF(OR($A59="",COUNTIFS(Posts!$P$2:$P$251,"&lt;&gt;",Posts!$B$2:$B$251,$A59,Posts!$A$2:$A$251,"&gt;="&amp;$B$4,Posts!$A$2:$A$251,"&lt;="&amp;$B$5)=0),"",SUMIFS(Posts!$P$2:$P$251,Posts!$B$2:$B$251,$A59,Posts!$A$2:$A$251,"&gt;="&amp;$B$4,Posts!$A$2:$A$251,"&lt;="&amp;$B$5))</f>
        <v/>
      </c>
      <c r="F59" s="18" t="str">
        <f aca="false">IF(OR($A59="",COUNTIFS(Posts!$Q$2:$Q$251,"&lt;&gt;",Posts!$B$2:$B$251,$A59,Posts!$A$2:$A$251,"&gt;="&amp;$B$4,Posts!$A$2:$A$251,"&lt;="&amp;$B$5)=0),"",SUMIFS(Posts!$Q$2:$Q$251,Posts!$B$2:$B$251,$A59,Posts!$A$2:$A$251,"&gt;="&amp;$B$4,Posts!$A$2:$A$251,"&lt;="&amp;$B$5))</f>
        <v/>
      </c>
      <c r="G59" s="25" t="str">
        <f aca="false">IF(OR(F59="",B59=0),"",F59/B59)</f>
        <v/>
      </c>
    </row>
    <row r="60" customFormat="false" ht="15" hidden="false" customHeight="false" outlineLevel="0" collapsed="false">
      <c r="A60" s="5"/>
      <c r="B60" s="5"/>
      <c r="C60" s="5"/>
      <c r="D60" s="5"/>
      <c r="E60" s="5"/>
      <c r="F60" s="5"/>
      <c r="G60" s="5"/>
    </row>
    <row r="61" customFormat="false" ht="15" hidden="false" customHeight="false" outlineLevel="0" collapsed="false">
      <c r="A61" s="11" t="s">
        <v>90</v>
      </c>
      <c r="B61" s="12"/>
      <c r="C61" s="12"/>
      <c r="D61" s="12"/>
      <c r="E61" s="12"/>
      <c r="F61" s="12"/>
      <c r="G61" s="12"/>
    </row>
    <row r="62" customFormat="false" ht="15" hidden="false" customHeight="false" outlineLevel="0" collapsed="false">
      <c r="A62" s="14"/>
      <c r="B62" s="14" t="s">
        <v>35</v>
      </c>
      <c r="C62" s="14" t="s">
        <v>49</v>
      </c>
      <c r="D62" s="14" t="s">
        <v>53</v>
      </c>
      <c r="E62" s="14" t="s">
        <v>57</v>
      </c>
      <c r="F62" s="14" t="s">
        <v>69</v>
      </c>
      <c r="G62" s="14" t="s">
        <v>89</v>
      </c>
    </row>
    <row r="63" customFormat="false" ht="15" hidden="false" customHeight="false" outlineLevel="0" collapsed="false">
      <c r="A63" s="9" t="str">
        <f aca="false">IF(Lists!$C$5="","",Lists!$C$5)</f>
        <v>No ask</v>
      </c>
      <c r="B63" s="18" t="n">
        <f aca="false">IF($A63="","",COUNTIFS(Posts!$F$2:$F$251,$A63,Posts!$A$2:$A$251,"&gt;="&amp;$B$4,Posts!$A$2:$A$251,"&lt;="&amp;$B$5))</f>
        <v>1</v>
      </c>
      <c r="C63" s="22" t="n">
        <f aca="false">IF(OR($A63="",COUNTIFS(Posts!$I$2:$I$251,"&lt;&gt;",Posts!$F$2:$F$251,$A63,Posts!$A$2:$A$251,"&gt;="&amp;$B$4,Posts!$A$2:$A$251,"&lt;="&amp;$B$5)=0),"",SUMIFS(Posts!$I$2:$I$251,Posts!$F$2:$F$251,$A63,Posts!$A$2:$A$251,"&gt;="&amp;$B$4,Posts!$A$2:$A$251,"&lt;="&amp;$B$5))</f>
        <v>1530</v>
      </c>
      <c r="D63" s="23" t="n">
        <f aca="false">IF(OR(C63="",C63=0,COUNTIFS(Posts!$T$2:$T$251,"&lt;&gt;",Posts!$F$2:$F$251,$A63,Posts!$A$2:$A$251,"&gt;="&amp;$B$4,Posts!$A$2:$A$251,"&lt;="&amp;$B$5)=0),"",SUMIFS(Posts!$T$2:$T$251,Posts!$F$2:$F$251,$A63,Posts!$A$2:$A$251,"&gt;="&amp;$B$4,Posts!$A$2:$A$251,"&lt;="&amp;$B$5)/C63)</f>
        <v>0.0803921568627451</v>
      </c>
      <c r="E63" s="22" t="n">
        <f aca="false">IF(OR($A63="",COUNTIFS(Posts!$P$2:$P$251,"&lt;&gt;",Posts!$F$2:$F$251,$A63,Posts!$A$2:$A$251,"&gt;="&amp;$B$4,Posts!$A$2:$A$251,"&lt;="&amp;$B$5)=0),"",SUMIFS(Posts!$P$2:$P$251,Posts!$F$2:$F$251,$A63,Posts!$A$2:$A$251,"&gt;="&amp;$B$4,Posts!$A$2:$A$251,"&lt;="&amp;$B$5))</f>
        <v>8</v>
      </c>
      <c r="F63" s="18" t="n">
        <f aca="false">IF(OR($A63="",COUNTIFS(Posts!$Q$2:$Q$251,"&lt;&gt;",Posts!$F$2:$F$251,$A63,Posts!$A$2:$A$251,"&gt;="&amp;$B$4,Posts!$A$2:$A$251,"&lt;="&amp;$B$5)=0),"",SUMIFS(Posts!$Q$2:$Q$251,Posts!$F$2:$F$251,$A63,Posts!$A$2:$A$251,"&gt;="&amp;$B$4,Posts!$A$2:$A$251,"&lt;="&amp;$B$5))</f>
        <v>0</v>
      </c>
      <c r="G63" s="25" t="n">
        <f aca="false">IF(OR(F63="",B63=0),"",F63/B63)</f>
        <v>0</v>
      </c>
    </row>
    <row r="64" customFormat="false" ht="15" hidden="false" customHeight="false" outlineLevel="0" collapsed="false">
      <c r="A64" s="9" t="str">
        <f aca="false">IF(Lists!$C$6="","",Lists!$C$6)</f>
        <v>Follow</v>
      </c>
      <c r="B64" s="18" t="n">
        <f aca="false">IF($A64="","",COUNTIFS(Posts!$F$2:$F$251,$A64,Posts!$A$2:$A$251,"&gt;="&amp;$B$4,Posts!$A$2:$A$251,"&lt;="&amp;$B$5))</f>
        <v>2</v>
      </c>
      <c r="C64" s="22" t="n">
        <f aca="false">IF(OR($A64="",COUNTIFS(Posts!$I$2:$I$251,"&lt;&gt;",Posts!$F$2:$F$251,$A64,Posts!$A$2:$A$251,"&gt;="&amp;$B$4,Posts!$A$2:$A$251,"&lt;="&amp;$B$5)=0),"",SUMIFS(Posts!$I$2:$I$251,Posts!$F$2:$F$251,$A64,Posts!$A$2:$A$251,"&gt;="&amp;$B$4,Posts!$A$2:$A$251,"&lt;="&amp;$B$5))</f>
        <v>3120</v>
      </c>
      <c r="D64" s="23" t="n">
        <f aca="false">IF(OR(C64="",C64=0,COUNTIFS(Posts!$T$2:$T$251,"&lt;&gt;",Posts!$F$2:$F$251,$A64,Posts!$A$2:$A$251,"&gt;="&amp;$B$4,Posts!$A$2:$A$251,"&lt;="&amp;$B$5)=0),"",SUMIFS(Posts!$T$2:$T$251,Posts!$F$2:$F$251,$A64,Posts!$A$2:$A$251,"&gt;="&amp;$B$4,Posts!$A$2:$A$251,"&lt;="&amp;$B$5)/C64)</f>
        <v>0.0721153846153846</v>
      </c>
      <c r="E64" s="22" t="n">
        <f aca="false">IF(OR($A64="",COUNTIFS(Posts!$P$2:$P$251,"&lt;&gt;",Posts!$F$2:$F$251,$A64,Posts!$A$2:$A$251,"&gt;="&amp;$B$4,Posts!$A$2:$A$251,"&lt;="&amp;$B$5)=0),"",SUMIFS(Posts!$P$2:$P$251,Posts!$F$2:$F$251,$A64,Posts!$A$2:$A$251,"&gt;="&amp;$B$4,Posts!$A$2:$A$251,"&lt;="&amp;$B$5))</f>
        <v>31</v>
      </c>
      <c r="F64" s="18" t="n">
        <f aca="false">IF(OR($A64="",COUNTIFS(Posts!$Q$2:$Q$251,"&lt;&gt;",Posts!$F$2:$F$251,$A64,Posts!$A$2:$A$251,"&gt;="&amp;$B$4,Posts!$A$2:$A$251,"&lt;="&amp;$B$5)=0),"",SUMIFS(Posts!$Q$2:$Q$251,Posts!$F$2:$F$251,$A64,Posts!$A$2:$A$251,"&gt;="&amp;$B$4,Posts!$A$2:$A$251,"&lt;="&amp;$B$5))</f>
        <v>0</v>
      </c>
      <c r="G64" s="25" t="n">
        <f aca="false">IF(OR(F64="",B64=0),"",F64/B64)</f>
        <v>0</v>
      </c>
    </row>
    <row r="65" customFormat="false" ht="15" hidden="false" customHeight="false" outlineLevel="0" collapsed="false">
      <c r="A65" s="9" t="str">
        <f aca="false">IF(Lists!$C$7="","",Lists!$C$7)</f>
        <v>Comment a word</v>
      </c>
      <c r="B65" s="18" t="n">
        <f aca="false">IF($A65="","",COUNTIFS(Posts!$F$2:$F$251,$A65,Posts!$A$2:$A$251,"&gt;="&amp;$B$4,Posts!$A$2:$A$251,"&lt;="&amp;$B$5))</f>
        <v>1</v>
      </c>
      <c r="C65" s="22" t="n">
        <f aca="false">IF(OR($A65="",COUNTIFS(Posts!$I$2:$I$251,"&lt;&gt;",Posts!$F$2:$F$251,$A65,Posts!$A$2:$A$251,"&gt;="&amp;$B$4,Posts!$A$2:$A$251,"&lt;="&amp;$B$5)=0),"",SUMIFS(Posts!$I$2:$I$251,Posts!$F$2:$F$251,$A65,Posts!$A$2:$A$251,"&gt;="&amp;$B$4,Posts!$A$2:$A$251,"&lt;="&amp;$B$5))</f>
        <v>1840</v>
      </c>
      <c r="D65" s="23" t="n">
        <f aca="false">IF(OR(C65="",C65=0,COUNTIFS(Posts!$T$2:$T$251,"&lt;&gt;",Posts!$F$2:$F$251,$A65,Posts!$A$2:$A$251,"&gt;="&amp;$B$4,Posts!$A$2:$A$251,"&lt;="&amp;$B$5)=0),"",SUMIFS(Posts!$T$2:$T$251,Posts!$F$2:$F$251,$A65,Posts!$A$2:$A$251,"&gt;="&amp;$B$4,Posts!$A$2:$A$251,"&lt;="&amp;$B$5)/C65)</f>
        <v>0.0815217391304348</v>
      </c>
      <c r="E65" s="22" t="n">
        <f aca="false">IF(OR($A65="",COUNTIFS(Posts!$P$2:$P$251,"&lt;&gt;",Posts!$F$2:$F$251,$A65,Posts!$A$2:$A$251,"&gt;="&amp;$B$4,Posts!$A$2:$A$251,"&lt;="&amp;$B$5)=0),"",SUMIFS(Posts!$P$2:$P$251,Posts!$F$2:$F$251,$A65,Posts!$A$2:$A$251,"&gt;="&amp;$B$4,Posts!$A$2:$A$251,"&lt;="&amp;$B$5))</f>
        <v>12</v>
      </c>
      <c r="F65" s="18" t="n">
        <f aca="false">IF(OR($A65="",COUNTIFS(Posts!$Q$2:$Q$251,"&lt;&gt;",Posts!$F$2:$F$251,$A65,Posts!$A$2:$A$251,"&gt;="&amp;$B$4,Posts!$A$2:$A$251,"&lt;="&amp;$B$5)=0),"",SUMIFS(Posts!$Q$2:$Q$251,Posts!$F$2:$F$251,$A65,Posts!$A$2:$A$251,"&gt;="&amp;$B$4,Posts!$A$2:$A$251,"&lt;="&amp;$B$5))</f>
        <v>1</v>
      </c>
      <c r="G65" s="25" t="n">
        <f aca="false">IF(OR(F65="",B65=0),"",F65/B65)</f>
        <v>1</v>
      </c>
    </row>
    <row r="66" customFormat="false" ht="15" hidden="false" customHeight="false" outlineLevel="0" collapsed="false">
      <c r="A66" s="9" t="str">
        <f aca="false">IF(Lists!$C$8="","",Lists!$C$8)</f>
        <v>DM me</v>
      </c>
      <c r="B66" s="18" t="n">
        <f aca="false">IF($A66="","",COUNTIFS(Posts!$F$2:$F$251,$A66,Posts!$A$2:$A$251,"&gt;="&amp;$B$4,Posts!$A$2:$A$251,"&lt;="&amp;$B$5))</f>
        <v>2</v>
      </c>
      <c r="C66" s="22" t="n">
        <f aca="false">IF(OR($A66="",COUNTIFS(Posts!$I$2:$I$251,"&lt;&gt;",Posts!$F$2:$F$251,$A66,Posts!$A$2:$A$251,"&gt;="&amp;$B$4,Posts!$A$2:$A$251,"&lt;="&amp;$B$5)=0),"",SUMIFS(Posts!$I$2:$I$251,Posts!$F$2:$F$251,$A66,Posts!$A$2:$A$251,"&gt;="&amp;$B$4,Posts!$A$2:$A$251,"&lt;="&amp;$B$5))</f>
        <v>2210</v>
      </c>
      <c r="D66" s="23" t="n">
        <f aca="false">IF(OR(C66="",C66=0,COUNTIFS(Posts!$T$2:$T$251,"&lt;&gt;",Posts!$F$2:$F$251,$A66,Posts!$A$2:$A$251,"&gt;="&amp;$B$4,Posts!$A$2:$A$251,"&lt;="&amp;$B$5)=0),"",SUMIFS(Posts!$T$2:$T$251,Posts!$F$2:$F$251,$A66,Posts!$A$2:$A$251,"&gt;="&amp;$B$4,Posts!$A$2:$A$251,"&lt;="&amp;$B$5)/C66)</f>
        <v>0.0769230769230769</v>
      </c>
      <c r="E66" s="22" t="n">
        <f aca="false">IF(OR($A66="",COUNTIFS(Posts!$P$2:$P$251,"&lt;&gt;",Posts!$F$2:$F$251,$A66,Posts!$A$2:$A$251,"&gt;="&amp;$B$4,Posts!$A$2:$A$251,"&lt;="&amp;$B$5)=0),"",SUMIFS(Posts!$P$2:$P$251,Posts!$F$2:$F$251,$A66,Posts!$A$2:$A$251,"&gt;="&amp;$B$4,Posts!$A$2:$A$251,"&lt;="&amp;$B$5))</f>
        <v>15</v>
      </c>
      <c r="F66" s="18" t="n">
        <f aca="false">IF(OR($A66="",COUNTIFS(Posts!$Q$2:$Q$251,"&lt;&gt;",Posts!$F$2:$F$251,$A66,Posts!$A$2:$A$251,"&gt;="&amp;$B$4,Posts!$A$2:$A$251,"&lt;="&amp;$B$5)=0),"",SUMIFS(Posts!$Q$2:$Q$251,Posts!$F$2:$F$251,$A66,Posts!$A$2:$A$251,"&gt;="&amp;$B$4,Posts!$A$2:$A$251,"&lt;="&amp;$B$5))</f>
        <v>2</v>
      </c>
      <c r="G66" s="25" t="n">
        <f aca="false">IF(OR(F66="",B66=0),"",F66/B66)</f>
        <v>1</v>
      </c>
    </row>
    <row r="67" customFormat="false" ht="15" hidden="false" customHeight="false" outlineLevel="0" collapsed="false">
      <c r="A67" s="9" t="str">
        <f aca="false">IF(Lists!$C$9="","",Lists!$C$9)</f>
        <v>Click the link</v>
      </c>
      <c r="B67" s="18" t="n">
        <f aca="false">IF($A67="","",COUNTIFS(Posts!$F$2:$F$251,$A67,Posts!$A$2:$A$251,"&gt;="&amp;$B$4,Posts!$A$2:$A$251,"&lt;="&amp;$B$5))</f>
        <v>1</v>
      </c>
      <c r="C67" s="22" t="n">
        <f aca="false">IF(OR($A67="",COUNTIFS(Posts!$I$2:$I$251,"&lt;&gt;",Posts!$F$2:$F$251,$A67,Posts!$A$2:$A$251,"&gt;="&amp;$B$4,Posts!$A$2:$A$251,"&lt;="&amp;$B$5)=0),"",SUMIFS(Posts!$I$2:$I$251,Posts!$F$2:$F$251,$A67,Posts!$A$2:$A$251,"&gt;="&amp;$B$4,Posts!$A$2:$A$251,"&lt;="&amp;$B$5))</f>
        <v>960</v>
      </c>
      <c r="D67" s="23" t="n">
        <f aca="false">IF(OR(C67="",C67=0,COUNTIFS(Posts!$T$2:$T$251,"&lt;&gt;",Posts!$F$2:$F$251,$A67,Posts!$A$2:$A$251,"&gt;="&amp;$B$4,Posts!$A$2:$A$251,"&lt;="&amp;$B$5)=0),"",SUMIFS(Posts!$T$2:$T$251,Posts!$F$2:$F$251,$A67,Posts!$A$2:$A$251,"&gt;="&amp;$B$4,Posts!$A$2:$A$251,"&lt;="&amp;$B$5)/C67)</f>
        <v>0.0666666666666667</v>
      </c>
      <c r="E67" s="22" t="n">
        <f aca="false">IF(OR($A67="",COUNTIFS(Posts!$P$2:$P$251,"&lt;&gt;",Posts!$F$2:$F$251,$A67,Posts!$A$2:$A$251,"&gt;="&amp;$B$4,Posts!$A$2:$A$251,"&lt;="&amp;$B$5)=0),"",SUMIFS(Posts!$P$2:$P$251,Posts!$F$2:$F$251,$A67,Posts!$A$2:$A$251,"&gt;="&amp;$B$4,Posts!$A$2:$A$251,"&lt;="&amp;$B$5))</f>
        <v>9</v>
      </c>
      <c r="F67" s="18" t="n">
        <f aca="false">IF(OR($A67="",COUNTIFS(Posts!$Q$2:$Q$251,"&lt;&gt;",Posts!$F$2:$F$251,$A67,Posts!$A$2:$A$251,"&gt;="&amp;$B$4,Posts!$A$2:$A$251,"&lt;="&amp;$B$5)=0),"",SUMIFS(Posts!$Q$2:$Q$251,Posts!$F$2:$F$251,$A67,Posts!$A$2:$A$251,"&gt;="&amp;$B$4,Posts!$A$2:$A$251,"&lt;="&amp;$B$5))</f>
        <v>1</v>
      </c>
      <c r="G67" s="25" t="n">
        <f aca="false">IF(OR(F67="",B67=0),"",F67/B67)</f>
        <v>1</v>
      </c>
    </row>
    <row r="68" customFormat="false" ht="15" hidden="false" customHeight="false" outlineLevel="0" collapsed="false">
      <c r="A68" s="9" t="str">
        <f aca="false">IF(Lists!$C$10="","",Lists!$C$10)</f>
        <v>Book a call</v>
      </c>
      <c r="B68" s="18" t="n">
        <f aca="false">IF($A68="","",COUNTIFS(Posts!$F$2:$F$251,$A68,Posts!$A$2:$A$251,"&gt;="&amp;$B$4,Posts!$A$2:$A$251,"&lt;="&amp;$B$5))</f>
        <v>1</v>
      </c>
      <c r="C68" s="22" t="n">
        <f aca="false">IF(OR($A68="",COUNTIFS(Posts!$I$2:$I$251,"&lt;&gt;",Posts!$F$2:$F$251,$A68,Posts!$A$2:$A$251,"&gt;="&amp;$B$4,Posts!$A$2:$A$251,"&lt;="&amp;$B$5)=0),"",SUMIFS(Posts!$I$2:$I$251,Posts!$F$2:$F$251,$A68,Posts!$A$2:$A$251,"&gt;="&amp;$B$4,Posts!$A$2:$A$251,"&lt;="&amp;$B$5))</f>
        <v>410</v>
      </c>
      <c r="D68" s="23" t="n">
        <f aca="false">IF(OR(C68="",C68=0,COUNTIFS(Posts!$T$2:$T$251,"&lt;&gt;",Posts!$F$2:$F$251,$A68,Posts!$A$2:$A$251,"&gt;="&amp;$B$4,Posts!$A$2:$A$251,"&lt;="&amp;$B$5)=0),"",SUMIFS(Posts!$T$2:$T$251,Posts!$F$2:$F$251,$A68,Posts!$A$2:$A$251,"&gt;="&amp;$B$4,Posts!$A$2:$A$251,"&lt;="&amp;$B$5)/C68)</f>
        <v>0.00975609756097561</v>
      </c>
      <c r="E68" s="22" t="str">
        <f aca="false">IF(OR($A68="",COUNTIFS(Posts!$P$2:$P$251,"&lt;&gt;",Posts!$F$2:$F$251,$A68,Posts!$A$2:$A$251,"&gt;="&amp;$B$4,Posts!$A$2:$A$251,"&lt;="&amp;$B$5)=0),"",SUMIFS(Posts!$P$2:$P$251,Posts!$F$2:$F$251,$A68,Posts!$A$2:$A$251,"&gt;="&amp;$B$4,Posts!$A$2:$A$251,"&lt;="&amp;$B$5))</f>
        <v/>
      </c>
      <c r="F68" s="18" t="n">
        <f aca="false">IF(OR($A68="",COUNTIFS(Posts!$Q$2:$Q$251,"&lt;&gt;",Posts!$F$2:$F$251,$A68,Posts!$A$2:$A$251,"&gt;="&amp;$B$4,Posts!$A$2:$A$251,"&lt;="&amp;$B$5)=0),"",SUMIFS(Posts!$Q$2:$Q$251,Posts!$F$2:$F$251,$A68,Posts!$A$2:$A$251,"&gt;="&amp;$B$4,Posts!$A$2:$A$251,"&lt;="&amp;$B$5))</f>
        <v>2</v>
      </c>
      <c r="G68" s="25" t="n">
        <f aca="false">IF(OR(F68="",B68=0),"",F68/B68)</f>
        <v>2</v>
      </c>
    </row>
    <row r="69" customFormat="false" ht="15" hidden="false" customHeight="false" outlineLevel="0" collapsed="false">
      <c r="A69" s="9" t="str">
        <f aca="false">IF(Lists!$C$11="","",Lists!$C$11)</f>
        <v>Buy</v>
      </c>
      <c r="B69" s="18" t="n">
        <f aca="false">IF($A69="","",COUNTIFS(Posts!$F$2:$F$251,$A69,Posts!$A$2:$A$251,"&gt;="&amp;$B$4,Posts!$A$2:$A$251,"&lt;="&amp;$B$5))</f>
        <v>0</v>
      </c>
      <c r="C69" s="22" t="str">
        <f aca="false">IF(OR($A69="",COUNTIFS(Posts!$I$2:$I$251,"&lt;&gt;",Posts!$F$2:$F$251,$A69,Posts!$A$2:$A$251,"&gt;="&amp;$B$4,Posts!$A$2:$A$251,"&lt;="&amp;$B$5)=0),"",SUMIFS(Posts!$I$2:$I$251,Posts!$F$2:$F$251,$A69,Posts!$A$2:$A$251,"&gt;="&amp;$B$4,Posts!$A$2:$A$251,"&lt;="&amp;$B$5))</f>
        <v/>
      </c>
      <c r="D69" s="23" t="str">
        <f aca="false">IF(OR(C69="",C69=0,COUNTIFS(Posts!$T$2:$T$251,"&lt;&gt;",Posts!$F$2:$F$251,$A69,Posts!$A$2:$A$251,"&gt;="&amp;$B$4,Posts!$A$2:$A$251,"&lt;="&amp;$B$5)=0),"",SUMIFS(Posts!$T$2:$T$251,Posts!$F$2:$F$251,$A69,Posts!$A$2:$A$251,"&gt;="&amp;$B$4,Posts!$A$2:$A$251,"&lt;="&amp;$B$5)/C69)</f>
        <v/>
      </c>
      <c r="E69" s="22" t="str">
        <f aca="false">IF(OR($A69="",COUNTIFS(Posts!$P$2:$P$251,"&lt;&gt;",Posts!$F$2:$F$251,$A69,Posts!$A$2:$A$251,"&gt;="&amp;$B$4,Posts!$A$2:$A$251,"&lt;="&amp;$B$5)=0),"",SUMIFS(Posts!$P$2:$P$251,Posts!$F$2:$F$251,$A69,Posts!$A$2:$A$251,"&gt;="&amp;$B$4,Posts!$A$2:$A$251,"&lt;="&amp;$B$5))</f>
        <v/>
      </c>
      <c r="F69" s="18" t="str">
        <f aca="false">IF(OR($A69="",COUNTIFS(Posts!$Q$2:$Q$251,"&lt;&gt;",Posts!$F$2:$F$251,$A69,Posts!$A$2:$A$251,"&gt;="&amp;$B$4,Posts!$A$2:$A$251,"&lt;="&amp;$B$5)=0),"",SUMIFS(Posts!$Q$2:$Q$251,Posts!$F$2:$F$251,$A69,Posts!$A$2:$A$251,"&gt;="&amp;$B$4,Posts!$A$2:$A$251,"&lt;="&amp;$B$5))</f>
        <v/>
      </c>
      <c r="G69" s="25" t="str">
        <f aca="false">IF(OR(F69="",B69=0),"",F69/B69)</f>
        <v/>
      </c>
    </row>
    <row r="70" customFormat="false" ht="15" hidden="false" customHeight="false" outlineLevel="0" collapsed="false">
      <c r="A70" s="9" t="str">
        <f aca="false">IF(Lists!$C$12="","",Lists!$C$12)</f>
        <v>Share it</v>
      </c>
      <c r="B70" s="18" t="n">
        <f aca="false">IF($A70="","",COUNTIFS(Posts!$F$2:$F$251,$A70,Posts!$A$2:$A$251,"&gt;="&amp;$B$4,Posts!$A$2:$A$251,"&lt;="&amp;$B$5))</f>
        <v>0</v>
      </c>
      <c r="C70" s="22" t="str">
        <f aca="false">IF(OR($A70="",COUNTIFS(Posts!$I$2:$I$251,"&lt;&gt;",Posts!$F$2:$F$251,$A70,Posts!$A$2:$A$251,"&gt;="&amp;$B$4,Posts!$A$2:$A$251,"&lt;="&amp;$B$5)=0),"",SUMIFS(Posts!$I$2:$I$251,Posts!$F$2:$F$251,$A70,Posts!$A$2:$A$251,"&gt;="&amp;$B$4,Posts!$A$2:$A$251,"&lt;="&amp;$B$5))</f>
        <v/>
      </c>
      <c r="D70" s="23" t="str">
        <f aca="false">IF(OR(C70="",C70=0,COUNTIFS(Posts!$T$2:$T$251,"&lt;&gt;",Posts!$F$2:$F$251,$A70,Posts!$A$2:$A$251,"&gt;="&amp;$B$4,Posts!$A$2:$A$251,"&lt;="&amp;$B$5)=0),"",SUMIFS(Posts!$T$2:$T$251,Posts!$F$2:$F$251,$A70,Posts!$A$2:$A$251,"&gt;="&amp;$B$4,Posts!$A$2:$A$251,"&lt;="&amp;$B$5)/C70)</f>
        <v/>
      </c>
      <c r="E70" s="22" t="str">
        <f aca="false">IF(OR($A70="",COUNTIFS(Posts!$P$2:$P$251,"&lt;&gt;",Posts!$F$2:$F$251,$A70,Posts!$A$2:$A$251,"&gt;="&amp;$B$4,Posts!$A$2:$A$251,"&lt;="&amp;$B$5)=0),"",SUMIFS(Posts!$P$2:$P$251,Posts!$F$2:$F$251,$A70,Posts!$A$2:$A$251,"&gt;="&amp;$B$4,Posts!$A$2:$A$251,"&lt;="&amp;$B$5))</f>
        <v/>
      </c>
      <c r="F70" s="18" t="str">
        <f aca="false">IF(OR($A70="",COUNTIFS(Posts!$Q$2:$Q$251,"&lt;&gt;",Posts!$F$2:$F$251,$A70,Posts!$A$2:$A$251,"&gt;="&amp;$B$4,Posts!$A$2:$A$251,"&lt;="&amp;$B$5)=0),"",SUMIFS(Posts!$Q$2:$Q$251,Posts!$F$2:$F$251,$A70,Posts!$A$2:$A$251,"&gt;="&amp;$B$4,Posts!$A$2:$A$251,"&lt;="&amp;$B$5))</f>
        <v/>
      </c>
      <c r="G70" s="25" t="str">
        <f aca="false">IF(OR(F70="",B70=0),"",F70/B70)</f>
        <v/>
      </c>
    </row>
    <row r="71" customFormat="false" ht="15" hidden="false" customHeight="false" outlineLevel="0" collapsed="false">
      <c r="A71" s="5"/>
      <c r="B71" s="5"/>
      <c r="C71" s="5"/>
      <c r="D71" s="5"/>
      <c r="E71" s="5"/>
      <c r="F71" s="5"/>
      <c r="G71" s="5"/>
    </row>
    <row r="72" customFormat="false" ht="15" hidden="false" customHeight="false" outlineLevel="0" collapsed="false">
      <c r="A72" s="11" t="s">
        <v>91</v>
      </c>
      <c r="B72" s="12"/>
      <c r="C72" s="12"/>
      <c r="D72" s="12"/>
      <c r="E72" s="12"/>
      <c r="F72" s="12"/>
      <c r="G72" s="12"/>
    </row>
    <row r="73" customFormat="false" ht="15" hidden="false" customHeight="false" outlineLevel="0" collapsed="false">
      <c r="A73" s="14"/>
      <c r="B73" s="14" t="s">
        <v>35</v>
      </c>
      <c r="C73" s="14" t="s">
        <v>49</v>
      </c>
      <c r="D73" s="14" t="s">
        <v>53</v>
      </c>
      <c r="E73" s="14" t="s">
        <v>57</v>
      </c>
      <c r="F73" s="14" t="s">
        <v>69</v>
      </c>
      <c r="G73" s="14" t="s">
        <v>89</v>
      </c>
    </row>
    <row r="74" customFormat="false" ht="15" hidden="false" customHeight="false" outlineLevel="0" collapsed="false">
      <c r="A74" s="9" t="str">
        <f aca="false">IF(Lists!$B$5="","",Lists!$B$5)</f>
        <v>Short video</v>
      </c>
      <c r="B74" s="18" t="n">
        <f aca="false">IF($A74="","",COUNTIFS(Posts!$C$2:$C$251,$A74,Posts!$A$2:$A$251,"&gt;="&amp;$B$4,Posts!$A$2:$A$251,"&lt;="&amp;$B$5))</f>
        <v>2</v>
      </c>
      <c r="C74" s="22" t="n">
        <f aca="false">IF(OR($A74="",COUNTIFS(Posts!$I$2:$I$251,"&lt;&gt;",Posts!$C$2:$C$251,$A74,Posts!$A$2:$A$251,"&gt;="&amp;$B$4,Posts!$A$2:$A$251,"&lt;="&amp;$B$5)=0),"",SUMIFS(Posts!$I$2:$I$251,Posts!$C$2:$C$251,$A74,Posts!$A$2:$A$251,"&gt;="&amp;$B$4,Posts!$A$2:$A$251,"&lt;="&amp;$B$5))</f>
        <v>3120</v>
      </c>
      <c r="D74" s="23" t="n">
        <f aca="false">IF(OR(C74="",C74=0,COUNTIFS(Posts!$T$2:$T$251,"&lt;&gt;",Posts!$C$2:$C$251,$A74,Posts!$A$2:$A$251,"&gt;="&amp;$B$4,Posts!$A$2:$A$251,"&lt;="&amp;$B$5)=0),"",SUMIFS(Posts!$T$2:$T$251,Posts!$C$2:$C$251,$A74,Posts!$A$2:$A$251,"&gt;="&amp;$B$4,Posts!$A$2:$A$251,"&lt;="&amp;$B$5)/C74)</f>
        <v>0.0721153846153846</v>
      </c>
      <c r="E74" s="22" t="n">
        <f aca="false">IF(OR($A74="",COUNTIFS(Posts!$P$2:$P$251,"&lt;&gt;",Posts!$C$2:$C$251,$A74,Posts!$A$2:$A$251,"&gt;="&amp;$B$4,Posts!$A$2:$A$251,"&lt;="&amp;$B$5)=0),"",SUMIFS(Posts!$P$2:$P$251,Posts!$C$2:$C$251,$A74,Posts!$A$2:$A$251,"&gt;="&amp;$B$4,Posts!$A$2:$A$251,"&lt;="&amp;$B$5))</f>
        <v>31</v>
      </c>
      <c r="F74" s="18" t="n">
        <f aca="false">IF(OR($A74="",COUNTIFS(Posts!$Q$2:$Q$251,"&lt;&gt;",Posts!$C$2:$C$251,$A74,Posts!$A$2:$A$251,"&gt;="&amp;$B$4,Posts!$A$2:$A$251,"&lt;="&amp;$B$5)=0),"",SUMIFS(Posts!$Q$2:$Q$251,Posts!$C$2:$C$251,$A74,Posts!$A$2:$A$251,"&gt;="&amp;$B$4,Posts!$A$2:$A$251,"&lt;="&amp;$B$5))</f>
        <v>0</v>
      </c>
      <c r="G74" s="25" t="n">
        <f aca="false">IF(OR(F74="",B74=0),"",F74/B74)</f>
        <v>0</v>
      </c>
    </row>
    <row r="75" customFormat="false" ht="15" hidden="false" customHeight="false" outlineLevel="0" collapsed="false">
      <c r="A75" s="9" t="str">
        <f aca="false">IF(Lists!$B$6="","",Lists!$B$6)</f>
        <v>Long video</v>
      </c>
      <c r="B75" s="18" t="n">
        <f aca="false">IF($A75="","",COUNTIFS(Posts!$C$2:$C$251,$A75,Posts!$A$2:$A$251,"&gt;="&amp;$B$4,Posts!$A$2:$A$251,"&lt;="&amp;$B$5))</f>
        <v>1</v>
      </c>
      <c r="C75" s="22" t="n">
        <f aca="false">IF(OR($A75="",COUNTIFS(Posts!$I$2:$I$251,"&lt;&gt;",Posts!$C$2:$C$251,$A75,Posts!$A$2:$A$251,"&gt;="&amp;$B$4,Posts!$A$2:$A$251,"&lt;="&amp;$B$5)=0),"",SUMIFS(Posts!$I$2:$I$251,Posts!$C$2:$C$251,$A75,Posts!$A$2:$A$251,"&gt;="&amp;$B$4,Posts!$A$2:$A$251,"&lt;="&amp;$B$5))</f>
        <v>960</v>
      </c>
      <c r="D75" s="23" t="n">
        <f aca="false">IF(OR(C75="",C75=0,COUNTIFS(Posts!$T$2:$T$251,"&lt;&gt;",Posts!$C$2:$C$251,$A75,Posts!$A$2:$A$251,"&gt;="&amp;$B$4,Posts!$A$2:$A$251,"&lt;="&amp;$B$5)=0),"",SUMIFS(Posts!$T$2:$T$251,Posts!$C$2:$C$251,$A75,Posts!$A$2:$A$251,"&gt;="&amp;$B$4,Posts!$A$2:$A$251,"&lt;="&amp;$B$5)/C75)</f>
        <v>0.0666666666666667</v>
      </c>
      <c r="E75" s="22" t="n">
        <f aca="false">IF(OR($A75="",COUNTIFS(Posts!$P$2:$P$251,"&lt;&gt;",Posts!$C$2:$C$251,$A75,Posts!$A$2:$A$251,"&gt;="&amp;$B$4,Posts!$A$2:$A$251,"&lt;="&amp;$B$5)=0),"",SUMIFS(Posts!$P$2:$P$251,Posts!$C$2:$C$251,$A75,Posts!$A$2:$A$251,"&gt;="&amp;$B$4,Posts!$A$2:$A$251,"&lt;="&amp;$B$5))</f>
        <v>9</v>
      </c>
      <c r="F75" s="18" t="n">
        <f aca="false">IF(OR($A75="",COUNTIFS(Posts!$Q$2:$Q$251,"&lt;&gt;",Posts!$C$2:$C$251,$A75,Posts!$A$2:$A$251,"&gt;="&amp;$B$4,Posts!$A$2:$A$251,"&lt;="&amp;$B$5)=0),"",SUMIFS(Posts!$Q$2:$Q$251,Posts!$C$2:$C$251,$A75,Posts!$A$2:$A$251,"&gt;="&amp;$B$4,Posts!$A$2:$A$251,"&lt;="&amp;$B$5))</f>
        <v>1</v>
      </c>
      <c r="G75" s="25" t="n">
        <f aca="false">IF(OR(F75="",B75=0),"",F75/B75)</f>
        <v>1</v>
      </c>
    </row>
    <row r="76" customFormat="false" ht="15" hidden="false" customHeight="false" outlineLevel="0" collapsed="false">
      <c r="A76" s="9" t="str">
        <f aca="false">IF(Lists!$B$7="","",Lists!$B$7)</f>
        <v>Carousel</v>
      </c>
      <c r="B76" s="18" t="n">
        <f aca="false">IF($A76="","",COUNTIFS(Posts!$C$2:$C$251,$A76,Posts!$A$2:$A$251,"&gt;="&amp;$B$4,Posts!$A$2:$A$251,"&lt;="&amp;$B$5))</f>
        <v>2</v>
      </c>
      <c r="C76" s="22" t="n">
        <f aca="false">IF(OR($A76="",COUNTIFS(Posts!$I$2:$I$251,"&lt;&gt;",Posts!$C$2:$C$251,$A76,Posts!$A$2:$A$251,"&gt;="&amp;$B$4,Posts!$A$2:$A$251,"&lt;="&amp;$B$5)=0),"",SUMIFS(Posts!$I$2:$I$251,Posts!$C$2:$C$251,$A76,Posts!$A$2:$A$251,"&gt;="&amp;$B$4,Posts!$A$2:$A$251,"&lt;="&amp;$B$5))</f>
        <v>3370</v>
      </c>
      <c r="D76" s="23" t="n">
        <f aca="false">IF(OR(C76="",C76=0,COUNTIFS(Posts!$T$2:$T$251,"&lt;&gt;",Posts!$C$2:$C$251,$A76,Posts!$A$2:$A$251,"&gt;="&amp;$B$4,Posts!$A$2:$A$251,"&lt;="&amp;$B$5)=0),"",SUMIFS(Posts!$T$2:$T$251,Posts!$C$2:$C$251,$A76,Posts!$A$2:$A$251,"&gt;="&amp;$B$4,Posts!$A$2:$A$251,"&lt;="&amp;$B$5)/C76)</f>
        <v>0.0810089020771513</v>
      </c>
      <c r="E76" s="22" t="n">
        <f aca="false">IF(OR($A76="",COUNTIFS(Posts!$P$2:$P$251,"&lt;&gt;",Posts!$C$2:$C$251,$A76,Posts!$A$2:$A$251,"&gt;="&amp;$B$4,Posts!$A$2:$A$251,"&lt;="&amp;$B$5)=0),"",SUMIFS(Posts!$P$2:$P$251,Posts!$C$2:$C$251,$A76,Posts!$A$2:$A$251,"&gt;="&amp;$B$4,Posts!$A$2:$A$251,"&lt;="&amp;$B$5))</f>
        <v>20</v>
      </c>
      <c r="F76" s="18" t="n">
        <f aca="false">IF(OR($A76="",COUNTIFS(Posts!$Q$2:$Q$251,"&lt;&gt;",Posts!$C$2:$C$251,$A76,Posts!$A$2:$A$251,"&gt;="&amp;$B$4,Posts!$A$2:$A$251,"&lt;="&amp;$B$5)=0),"",SUMIFS(Posts!$Q$2:$Q$251,Posts!$C$2:$C$251,$A76,Posts!$A$2:$A$251,"&gt;="&amp;$B$4,Posts!$A$2:$A$251,"&lt;="&amp;$B$5))</f>
        <v>1</v>
      </c>
      <c r="G76" s="25" t="n">
        <f aca="false">IF(OR(F76="",B76=0),"",F76/B76)</f>
        <v>0.5</v>
      </c>
    </row>
    <row r="77" customFormat="false" ht="15" hidden="false" customHeight="false" outlineLevel="0" collapsed="false">
      <c r="A77" s="9" t="str">
        <f aca="false">IF(Lists!$B$8="","",Lists!$B$8)</f>
        <v>Image</v>
      </c>
      <c r="B77" s="18" t="n">
        <f aca="false">IF($A77="","",COUNTIFS(Posts!$C$2:$C$251,$A77,Posts!$A$2:$A$251,"&gt;="&amp;$B$4,Posts!$A$2:$A$251,"&lt;="&amp;$B$5))</f>
        <v>0</v>
      </c>
      <c r="C77" s="22" t="str">
        <f aca="false">IF(OR($A77="",COUNTIFS(Posts!$I$2:$I$251,"&lt;&gt;",Posts!$C$2:$C$251,$A77,Posts!$A$2:$A$251,"&gt;="&amp;$B$4,Posts!$A$2:$A$251,"&lt;="&amp;$B$5)=0),"",SUMIFS(Posts!$I$2:$I$251,Posts!$C$2:$C$251,$A77,Posts!$A$2:$A$251,"&gt;="&amp;$B$4,Posts!$A$2:$A$251,"&lt;="&amp;$B$5))</f>
        <v/>
      </c>
      <c r="D77" s="23" t="str">
        <f aca="false">IF(OR(C77="",C77=0,COUNTIFS(Posts!$T$2:$T$251,"&lt;&gt;",Posts!$C$2:$C$251,$A77,Posts!$A$2:$A$251,"&gt;="&amp;$B$4,Posts!$A$2:$A$251,"&lt;="&amp;$B$5)=0),"",SUMIFS(Posts!$T$2:$T$251,Posts!$C$2:$C$251,$A77,Posts!$A$2:$A$251,"&gt;="&amp;$B$4,Posts!$A$2:$A$251,"&lt;="&amp;$B$5)/C77)</f>
        <v/>
      </c>
      <c r="E77" s="22" t="str">
        <f aca="false">IF(OR($A77="",COUNTIFS(Posts!$P$2:$P$251,"&lt;&gt;",Posts!$C$2:$C$251,$A77,Posts!$A$2:$A$251,"&gt;="&amp;$B$4,Posts!$A$2:$A$251,"&lt;="&amp;$B$5)=0),"",SUMIFS(Posts!$P$2:$P$251,Posts!$C$2:$C$251,$A77,Posts!$A$2:$A$251,"&gt;="&amp;$B$4,Posts!$A$2:$A$251,"&lt;="&amp;$B$5))</f>
        <v/>
      </c>
      <c r="F77" s="18" t="str">
        <f aca="false">IF(OR($A77="",COUNTIFS(Posts!$Q$2:$Q$251,"&lt;&gt;",Posts!$C$2:$C$251,$A77,Posts!$A$2:$A$251,"&gt;="&amp;$B$4,Posts!$A$2:$A$251,"&lt;="&amp;$B$5)=0),"",SUMIFS(Posts!$Q$2:$Q$251,Posts!$C$2:$C$251,$A77,Posts!$A$2:$A$251,"&gt;="&amp;$B$4,Posts!$A$2:$A$251,"&lt;="&amp;$B$5))</f>
        <v/>
      </c>
      <c r="G77" s="25" t="str">
        <f aca="false">IF(OR(F77="",B77=0),"",F77/B77)</f>
        <v/>
      </c>
    </row>
    <row r="78" customFormat="false" ht="15" hidden="false" customHeight="false" outlineLevel="0" collapsed="false">
      <c r="A78" s="9" t="str">
        <f aca="false">IF(Lists!$B$9="","",Lists!$B$9)</f>
        <v>Text post</v>
      </c>
      <c r="B78" s="18" t="n">
        <f aca="false">IF($A78="","",COUNTIFS(Posts!$C$2:$C$251,$A78,Posts!$A$2:$A$251,"&gt;="&amp;$B$4,Posts!$A$2:$A$251,"&lt;="&amp;$B$5))</f>
        <v>1</v>
      </c>
      <c r="C78" s="22" t="n">
        <f aca="false">IF(OR($A78="",COUNTIFS(Posts!$I$2:$I$251,"&lt;&gt;",Posts!$C$2:$C$251,$A78,Posts!$A$2:$A$251,"&gt;="&amp;$B$4,Posts!$A$2:$A$251,"&lt;="&amp;$B$5)=0),"",SUMIFS(Posts!$I$2:$I$251,Posts!$C$2:$C$251,$A78,Posts!$A$2:$A$251,"&gt;="&amp;$B$4,Posts!$A$2:$A$251,"&lt;="&amp;$B$5))</f>
        <v>2210</v>
      </c>
      <c r="D78" s="23" t="n">
        <f aca="false">IF(OR(C78="",C78=0,COUNTIFS(Posts!$T$2:$T$251,"&lt;&gt;",Posts!$C$2:$C$251,$A78,Posts!$A$2:$A$251,"&gt;="&amp;$B$4,Posts!$A$2:$A$251,"&lt;="&amp;$B$5)=0),"",SUMIFS(Posts!$T$2:$T$251,Posts!$C$2:$C$251,$A78,Posts!$A$2:$A$251,"&gt;="&amp;$B$4,Posts!$A$2:$A$251,"&lt;="&amp;$B$5)/C78)</f>
        <v>0.0769230769230769</v>
      </c>
      <c r="E78" s="22" t="n">
        <f aca="false">IF(OR($A78="",COUNTIFS(Posts!$P$2:$P$251,"&lt;&gt;",Posts!$C$2:$C$251,$A78,Posts!$A$2:$A$251,"&gt;="&amp;$B$4,Posts!$A$2:$A$251,"&lt;="&amp;$B$5)=0),"",SUMIFS(Posts!$P$2:$P$251,Posts!$C$2:$C$251,$A78,Posts!$A$2:$A$251,"&gt;="&amp;$B$4,Posts!$A$2:$A$251,"&lt;="&amp;$B$5))</f>
        <v>15</v>
      </c>
      <c r="F78" s="18" t="n">
        <f aca="false">IF(OR($A78="",COUNTIFS(Posts!$Q$2:$Q$251,"&lt;&gt;",Posts!$C$2:$C$251,$A78,Posts!$A$2:$A$251,"&gt;="&amp;$B$4,Posts!$A$2:$A$251,"&lt;="&amp;$B$5)=0),"",SUMIFS(Posts!$Q$2:$Q$251,Posts!$C$2:$C$251,$A78,Posts!$A$2:$A$251,"&gt;="&amp;$B$4,Posts!$A$2:$A$251,"&lt;="&amp;$B$5))</f>
        <v>2</v>
      </c>
      <c r="G78" s="25" t="n">
        <f aca="false">IF(OR(F78="",B78=0),"",F78/B78)</f>
        <v>2</v>
      </c>
    </row>
    <row r="79" customFormat="false" ht="15" hidden="false" customHeight="false" outlineLevel="0" collapsed="false">
      <c r="A79" s="9" t="str">
        <f aca="false">IF(Lists!$B$10="","",Lists!$B$10)</f>
        <v>Story</v>
      </c>
      <c r="B79" s="18" t="n">
        <f aca="false">IF($A79="","",COUNTIFS(Posts!$C$2:$C$251,$A79,Posts!$A$2:$A$251,"&gt;="&amp;$B$4,Posts!$A$2:$A$251,"&lt;="&amp;$B$5))</f>
        <v>1</v>
      </c>
      <c r="C79" s="22" t="str">
        <f aca="false">IF(OR($A79="",COUNTIFS(Posts!$I$2:$I$251,"&lt;&gt;",Posts!$C$2:$C$251,$A79,Posts!$A$2:$A$251,"&gt;="&amp;$B$4,Posts!$A$2:$A$251,"&lt;="&amp;$B$5)=0),"",SUMIFS(Posts!$I$2:$I$251,Posts!$C$2:$C$251,$A79,Posts!$A$2:$A$251,"&gt;="&amp;$B$4,Posts!$A$2:$A$251,"&lt;="&amp;$B$5))</f>
        <v/>
      </c>
      <c r="D79" s="23" t="str">
        <f aca="false">IF(OR(C79="",C79=0,COUNTIFS(Posts!$T$2:$T$251,"&lt;&gt;",Posts!$C$2:$C$251,$A79,Posts!$A$2:$A$251,"&gt;="&amp;$B$4,Posts!$A$2:$A$251,"&lt;="&amp;$B$5)=0),"",SUMIFS(Posts!$T$2:$T$251,Posts!$C$2:$C$251,$A79,Posts!$A$2:$A$251,"&gt;="&amp;$B$4,Posts!$A$2:$A$251,"&lt;="&amp;$B$5)/C79)</f>
        <v/>
      </c>
      <c r="E79" s="22" t="str">
        <f aca="false">IF(OR($A79="",COUNTIFS(Posts!$P$2:$P$251,"&lt;&gt;",Posts!$C$2:$C$251,$A79,Posts!$A$2:$A$251,"&gt;="&amp;$B$4,Posts!$A$2:$A$251,"&lt;="&amp;$B$5)=0),"",SUMIFS(Posts!$P$2:$P$251,Posts!$C$2:$C$251,$A79,Posts!$A$2:$A$251,"&gt;="&amp;$B$4,Posts!$A$2:$A$251,"&lt;="&amp;$B$5))</f>
        <v/>
      </c>
      <c r="F79" s="18" t="str">
        <f aca="false">IF(OR($A79="",COUNTIFS(Posts!$Q$2:$Q$251,"&lt;&gt;",Posts!$C$2:$C$251,$A79,Posts!$A$2:$A$251,"&gt;="&amp;$B$4,Posts!$A$2:$A$251,"&lt;="&amp;$B$5)=0),"",SUMIFS(Posts!$Q$2:$Q$251,Posts!$C$2:$C$251,$A79,Posts!$A$2:$A$251,"&gt;="&amp;$B$4,Posts!$A$2:$A$251,"&lt;="&amp;$B$5))</f>
        <v/>
      </c>
      <c r="G79" s="25" t="str">
        <f aca="false">IF(OR(F79="",B79=0),"",F79/B79)</f>
        <v/>
      </c>
    </row>
    <row r="80" customFormat="false" ht="15" hidden="false" customHeight="false" outlineLevel="0" collapsed="false">
      <c r="A80" s="9" t="str">
        <f aca="false">IF(Lists!$B$11="","",Lists!$B$11)</f>
        <v>Live</v>
      </c>
      <c r="B80" s="18" t="n">
        <f aca="false">IF($A80="","",COUNTIFS(Posts!$C$2:$C$251,$A80,Posts!$A$2:$A$251,"&gt;="&amp;$B$4,Posts!$A$2:$A$251,"&lt;="&amp;$B$5))</f>
        <v>0</v>
      </c>
      <c r="C80" s="22" t="str">
        <f aca="false">IF(OR($A80="",COUNTIFS(Posts!$I$2:$I$251,"&lt;&gt;",Posts!$C$2:$C$251,$A80,Posts!$A$2:$A$251,"&gt;="&amp;$B$4,Posts!$A$2:$A$251,"&lt;="&amp;$B$5)=0),"",SUMIFS(Posts!$I$2:$I$251,Posts!$C$2:$C$251,$A80,Posts!$A$2:$A$251,"&gt;="&amp;$B$4,Posts!$A$2:$A$251,"&lt;="&amp;$B$5))</f>
        <v/>
      </c>
      <c r="D80" s="23" t="str">
        <f aca="false">IF(OR(C80="",C80=0,COUNTIFS(Posts!$T$2:$T$251,"&lt;&gt;",Posts!$C$2:$C$251,$A80,Posts!$A$2:$A$251,"&gt;="&amp;$B$4,Posts!$A$2:$A$251,"&lt;="&amp;$B$5)=0),"",SUMIFS(Posts!$T$2:$T$251,Posts!$C$2:$C$251,$A80,Posts!$A$2:$A$251,"&gt;="&amp;$B$4,Posts!$A$2:$A$251,"&lt;="&amp;$B$5)/C80)</f>
        <v/>
      </c>
      <c r="E80" s="22" t="str">
        <f aca="false">IF(OR($A80="",COUNTIFS(Posts!$P$2:$P$251,"&lt;&gt;",Posts!$C$2:$C$251,$A80,Posts!$A$2:$A$251,"&gt;="&amp;$B$4,Posts!$A$2:$A$251,"&lt;="&amp;$B$5)=0),"",SUMIFS(Posts!$P$2:$P$251,Posts!$C$2:$C$251,$A80,Posts!$A$2:$A$251,"&gt;="&amp;$B$4,Posts!$A$2:$A$251,"&lt;="&amp;$B$5))</f>
        <v/>
      </c>
      <c r="F80" s="18" t="str">
        <f aca="false">IF(OR($A80="",COUNTIFS(Posts!$Q$2:$Q$251,"&lt;&gt;",Posts!$C$2:$C$251,$A80,Posts!$A$2:$A$251,"&gt;="&amp;$B$4,Posts!$A$2:$A$251,"&lt;="&amp;$B$5)=0),"",SUMIFS(Posts!$Q$2:$Q$251,Posts!$C$2:$C$251,$A80,Posts!$A$2:$A$251,"&gt;="&amp;$B$4,Posts!$A$2:$A$251,"&lt;="&amp;$B$5))</f>
        <v/>
      </c>
      <c r="G80" s="25" t="str">
        <f aca="false">IF(OR(F80="",B80=0),"",F80/B80)</f>
        <v/>
      </c>
    </row>
    <row r="81" customFormat="false" ht="15" hidden="false" customHeight="false" outlineLevel="0" collapsed="false">
      <c r="A81" s="9" t="str">
        <f aca="false">IF(Lists!$B$12="","",Lists!$B$12)</f>
        <v>Email</v>
      </c>
      <c r="B81" s="18" t="n">
        <f aca="false">IF($A81="","",COUNTIFS(Posts!$C$2:$C$251,$A81,Posts!$A$2:$A$251,"&gt;="&amp;$B$4,Posts!$A$2:$A$251,"&lt;="&amp;$B$5))</f>
        <v>1</v>
      </c>
      <c r="C81" s="22" t="n">
        <f aca="false">IF(OR($A81="",COUNTIFS(Posts!$I$2:$I$251,"&lt;&gt;",Posts!$C$2:$C$251,$A81,Posts!$A$2:$A$251,"&gt;="&amp;$B$4,Posts!$A$2:$A$251,"&lt;="&amp;$B$5)=0),"",SUMIFS(Posts!$I$2:$I$251,Posts!$C$2:$C$251,$A81,Posts!$A$2:$A$251,"&gt;="&amp;$B$4,Posts!$A$2:$A$251,"&lt;="&amp;$B$5))</f>
        <v>410</v>
      </c>
      <c r="D81" s="23" t="n">
        <f aca="false">IF(OR(C81="",C81=0,COUNTIFS(Posts!$T$2:$T$251,"&lt;&gt;",Posts!$C$2:$C$251,$A81,Posts!$A$2:$A$251,"&gt;="&amp;$B$4,Posts!$A$2:$A$251,"&lt;="&amp;$B$5)=0),"",SUMIFS(Posts!$T$2:$T$251,Posts!$C$2:$C$251,$A81,Posts!$A$2:$A$251,"&gt;="&amp;$B$4,Posts!$A$2:$A$251,"&lt;="&amp;$B$5)/C81)</f>
        <v>0.00975609756097561</v>
      </c>
      <c r="E81" s="22" t="str">
        <f aca="false">IF(OR($A81="",COUNTIFS(Posts!$P$2:$P$251,"&lt;&gt;",Posts!$C$2:$C$251,$A81,Posts!$A$2:$A$251,"&gt;="&amp;$B$4,Posts!$A$2:$A$251,"&lt;="&amp;$B$5)=0),"",SUMIFS(Posts!$P$2:$P$251,Posts!$C$2:$C$251,$A81,Posts!$A$2:$A$251,"&gt;="&amp;$B$4,Posts!$A$2:$A$251,"&lt;="&amp;$B$5))</f>
        <v/>
      </c>
      <c r="F81" s="18" t="n">
        <f aca="false">IF(OR($A81="",COUNTIFS(Posts!$Q$2:$Q$251,"&lt;&gt;",Posts!$C$2:$C$251,$A81,Posts!$A$2:$A$251,"&gt;="&amp;$B$4,Posts!$A$2:$A$251,"&lt;="&amp;$B$5)=0),"",SUMIFS(Posts!$Q$2:$Q$251,Posts!$C$2:$C$251,$A81,Posts!$A$2:$A$251,"&gt;="&amp;$B$4,Posts!$A$2:$A$251,"&lt;="&amp;$B$5))</f>
        <v>2</v>
      </c>
      <c r="G81" s="25" t="n">
        <f aca="false">IF(OR(F81="",B81=0),"",F81/B81)</f>
        <v>2</v>
      </c>
    </row>
    <row r="82" customFormat="false" ht="15" hidden="false" customHeight="false" outlineLevel="0" collapsed="false">
      <c r="A82" s="9" t="str">
        <f aca="false">IF(Lists!$B$13="","",Lists!$B$13)</f>
        <v>Article</v>
      </c>
      <c r="B82" s="18" t="n">
        <f aca="false">IF($A82="","",COUNTIFS(Posts!$C$2:$C$251,$A82,Posts!$A$2:$A$251,"&gt;="&amp;$B$4,Posts!$A$2:$A$251,"&lt;="&amp;$B$5))</f>
        <v>0</v>
      </c>
      <c r="C82" s="22" t="str">
        <f aca="false">IF(OR($A82="",COUNTIFS(Posts!$I$2:$I$251,"&lt;&gt;",Posts!$C$2:$C$251,$A82,Posts!$A$2:$A$251,"&gt;="&amp;$B$4,Posts!$A$2:$A$251,"&lt;="&amp;$B$5)=0),"",SUMIFS(Posts!$I$2:$I$251,Posts!$C$2:$C$251,$A82,Posts!$A$2:$A$251,"&gt;="&amp;$B$4,Posts!$A$2:$A$251,"&lt;="&amp;$B$5))</f>
        <v/>
      </c>
      <c r="D82" s="23" t="str">
        <f aca="false">IF(OR(C82="",C82=0,COUNTIFS(Posts!$T$2:$T$251,"&lt;&gt;",Posts!$C$2:$C$251,$A82,Posts!$A$2:$A$251,"&gt;="&amp;$B$4,Posts!$A$2:$A$251,"&lt;="&amp;$B$5)=0),"",SUMIFS(Posts!$T$2:$T$251,Posts!$C$2:$C$251,$A82,Posts!$A$2:$A$251,"&gt;="&amp;$B$4,Posts!$A$2:$A$251,"&lt;="&amp;$B$5)/C82)</f>
        <v/>
      </c>
      <c r="E82" s="22" t="str">
        <f aca="false">IF(OR($A82="",COUNTIFS(Posts!$P$2:$P$251,"&lt;&gt;",Posts!$C$2:$C$251,$A82,Posts!$A$2:$A$251,"&gt;="&amp;$B$4,Posts!$A$2:$A$251,"&lt;="&amp;$B$5)=0),"",SUMIFS(Posts!$P$2:$P$251,Posts!$C$2:$C$251,$A82,Posts!$A$2:$A$251,"&gt;="&amp;$B$4,Posts!$A$2:$A$251,"&lt;="&amp;$B$5))</f>
        <v/>
      </c>
      <c r="F82" s="18" t="str">
        <f aca="false">IF(OR($A82="",COUNTIFS(Posts!$Q$2:$Q$251,"&lt;&gt;",Posts!$C$2:$C$251,$A82,Posts!$A$2:$A$251,"&gt;="&amp;$B$4,Posts!$A$2:$A$251,"&lt;="&amp;$B$5)=0),"",SUMIFS(Posts!$Q$2:$Q$251,Posts!$C$2:$C$251,$A82,Posts!$A$2:$A$251,"&gt;="&amp;$B$4,Posts!$A$2:$A$251,"&lt;="&amp;$B$5))</f>
        <v/>
      </c>
      <c r="G82" s="25" t="str">
        <f aca="false">IF(OR(F82="",B82=0),"",F82/B82)</f>
        <v/>
      </c>
    </row>
    <row r="83" customFormat="false" ht="15" hidden="false" customHeight="false" outlineLevel="0" collapsed="false">
      <c r="A83" s="9" t="str">
        <f aca="false">IF(Lists!$B$14="","",Lists!$B$14)</f>
        <v>Episode</v>
      </c>
      <c r="B83" s="18" t="n">
        <f aca="false">IF($A83="","",COUNTIFS(Posts!$C$2:$C$251,$A83,Posts!$A$2:$A$251,"&gt;="&amp;$B$4,Posts!$A$2:$A$251,"&lt;="&amp;$B$5))</f>
        <v>0</v>
      </c>
      <c r="C83" s="22" t="str">
        <f aca="false">IF(OR($A83="",COUNTIFS(Posts!$I$2:$I$251,"&lt;&gt;",Posts!$C$2:$C$251,$A83,Posts!$A$2:$A$251,"&gt;="&amp;$B$4,Posts!$A$2:$A$251,"&lt;="&amp;$B$5)=0),"",SUMIFS(Posts!$I$2:$I$251,Posts!$C$2:$C$251,$A83,Posts!$A$2:$A$251,"&gt;="&amp;$B$4,Posts!$A$2:$A$251,"&lt;="&amp;$B$5))</f>
        <v/>
      </c>
      <c r="D83" s="23" t="str">
        <f aca="false">IF(OR(C83="",C83=0,COUNTIFS(Posts!$T$2:$T$251,"&lt;&gt;",Posts!$C$2:$C$251,$A83,Posts!$A$2:$A$251,"&gt;="&amp;$B$4,Posts!$A$2:$A$251,"&lt;="&amp;$B$5)=0),"",SUMIFS(Posts!$T$2:$T$251,Posts!$C$2:$C$251,$A83,Posts!$A$2:$A$251,"&gt;="&amp;$B$4,Posts!$A$2:$A$251,"&lt;="&amp;$B$5)/C83)</f>
        <v/>
      </c>
      <c r="E83" s="22" t="str">
        <f aca="false">IF(OR($A83="",COUNTIFS(Posts!$P$2:$P$251,"&lt;&gt;",Posts!$C$2:$C$251,$A83,Posts!$A$2:$A$251,"&gt;="&amp;$B$4,Posts!$A$2:$A$251,"&lt;="&amp;$B$5)=0),"",SUMIFS(Posts!$P$2:$P$251,Posts!$C$2:$C$251,$A83,Posts!$A$2:$A$251,"&gt;="&amp;$B$4,Posts!$A$2:$A$251,"&lt;="&amp;$B$5))</f>
        <v/>
      </c>
      <c r="F83" s="18" t="str">
        <f aca="false">IF(OR($A83="",COUNTIFS(Posts!$Q$2:$Q$251,"&lt;&gt;",Posts!$C$2:$C$251,$A83,Posts!$A$2:$A$251,"&gt;="&amp;$B$4,Posts!$A$2:$A$251,"&lt;="&amp;$B$5)=0),"",SUMIFS(Posts!$Q$2:$Q$251,Posts!$C$2:$C$251,$A83,Posts!$A$2:$A$251,"&gt;="&amp;$B$4,Posts!$A$2:$A$251,"&lt;="&amp;$B$5))</f>
        <v/>
      </c>
      <c r="G83" s="25" t="str">
        <f aca="false">IF(OR(F83="",B83=0),"",F83/B83)</f>
        <v/>
      </c>
    </row>
    <row r="84" customFormat="false" ht="15" hidden="false" customHeight="false" outlineLevel="0" collapsed="false">
      <c r="A84" s="5"/>
      <c r="B84" s="5"/>
      <c r="C84" s="5"/>
      <c r="D84" s="5"/>
      <c r="E84" s="5"/>
      <c r="F84" s="5"/>
      <c r="G84" s="5"/>
    </row>
    <row r="85" customFormat="false" ht="15" hidden="false" customHeight="false" outlineLevel="0" collapsed="false">
      <c r="A85" s="11" t="s">
        <v>92</v>
      </c>
      <c r="B85" s="12"/>
      <c r="C85" s="12"/>
      <c r="D85" s="12"/>
      <c r="E85" s="12"/>
      <c r="F85" s="12"/>
      <c r="G85" s="5"/>
    </row>
    <row r="86" customFormat="false" ht="15" hidden="false" customHeight="false" outlineLevel="0" collapsed="false">
      <c r="A86" s="14"/>
      <c r="B86" s="14" t="s">
        <v>93</v>
      </c>
      <c r="C86" s="14" t="s">
        <v>69</v>
      </c>
      <c r="D86" s="14" t="s">
        <v>94</v>
      </c>
      <c r="E86" s="14" t="s">
        <v>95</v>
      </c>
      <c r="F86" s="5"/>
      <c r="G86" s="5"/>
    </row>
    <row r="87" customFormat="false" ht="15" hidden="false" customHeight="false" outlineLevel="0" collapsed="false">
      <c r="A87" s="9" t="str">
        <f aca="false">Lists!$J$5</f>
        <v>Warm (they know me)</v>
      </c>
      <c r="B87" s="18" t="n">
        <f aca="false">COUNTIFS(People!$H$2:$H$151,$A87,People!$A$2:$A$151,"&lt;&gt;")</f>
        <v>1</v>
      </c>
      <c r="C87" s="18" t="n">
        <f aca="false">COUNTIFS(People!$H$2:$H$151,$A87,People!$J$2:$J$151,"&gt;="&amp;$B$4,People!$J$2:$J$151,"&lt;="&amp;$B$5)</f>
        <v>0</v>
      </c>
      <c r="D87" s="18" t="n">
        <f aca="false">COUNTIFS(People!$H$2:$H$151,$A87,People!$L$2:$L$151,"&gt;="&amp;$B$4,People!$L$2:$L$151,"&lt;="&amp;$B$5)</f>
        <v>1</v>
      </c>
      <c r="E87" s="24" t="n">
        <f aca="false">IF(D87=0,"",SUMIFS(People!$M$2:$M$151,People!$H$2:$H$151,$A87,People!$L$2:$L$151,"&gt;="&amp;$B$4,People!$L$2:$L$151,"&lt;="&amp;$B$5))</f>
        <v>2500</v>
      </c>
      <c r="F87" s="5"/>
      <c r="G87" s="5"/>
    </row>
    <row r="88" customFormat="false" ht="15" hidden="false" customHeight="false" outlineLevel="0" collapsed="false">
      <c r="A88" s="9" t="str">
        <f aca="false">Lists!$J$6</f>
        <v>Cold (they do not)</v>
      </c>
      <c r="B88" s="18" t="n">
        <f aca="false">COUNTIFS(People!$H$2:$H$151,$A88,People!$A$2:$A$151,"&lt;&gt;")</f>
        <v>1</v>
      </c>
      <c r="C88" s="18" t="n">
        <f aca="false">COUNTIFS(People!$H$2:$H$151,$A88,People!$J$2:$J$151,"&gt;="&amp;$B$4,People!$J$2:$J$151,"&lt;="&amp;$B$5)</f>
        <v>0</v>
      </c>
      <c r="D88" s="18" t="n">
        <f aca="false">COUNTIFS(People!$H$2:$H$151,$A88,People!$L$2:$L$151,"&gt;="&amp;$B$4,People!$L$2:$L$151,"&lt;="&amp;$B$5)</f>
        <v>0</v>
      </c>
      <c r="E88" s="24" t="str">
        <f aca="false">IF(D88=0,"",SUMIFS(People!$M$2:$M$151,People!$H$2:$H$151,$A88,People!$L$2:$L$151,"&gt;="&amp;$B$4,People!$L$2:$L$151,"&lt;="&amp;$B$5))</f>
        <v/>
      </c>
      <c r="F88" s="5"/>
      <c r="G88" s="5"/>
    </row>
    <row r="89" customFormat="false" ht="15" hidden="false" customHeight="false" outlineLevel="0" collapsed="false">
      <c r="A89" s="9" t="str">
        <f aca="false">Lists!$J$7</f>
        <v>From content</v>
      </c>
      <c r="B89" s="18" t="n">
        <f aca="false">COUNTIFS(People!$H$2:$H$151,$A89,People!$A$2:$A$151,"&lt;&gt;")</f>
        <v>2</v>
      </c>
      <c r="C89" s="18" t="n">
        <f aca="false">COUNTIFS(People!$H$2:$H$151,$A89,People!$J$2:$J$151,"&gt;="&amp;$B$4,People!$J$2:$J$151,"&lt;="&amp;$B$5)</f>
        <v>1</v>
      </c>
      <c r="D89" s="18" t="n">
        <f aca="false">COUNTIFS(People!$H$2:$H$151,$A89,People!$L$2:$L$151,"&gt;="&amp;$B$4,People!$L$2:$L$151,"&lt;="&amp;$B$5)</f>
        <v>0</v>
      </c>
      <c r="E89" s="24" t="str">
        <f aca="false">IF(D89=0,"",SUMIFS(People!$M$2:$M$151,People!$H$2:$H$151,$A89,People!$L$2:$L$151,"&gt;="&amp;$B$4,People!$L$2:$L$151,"&lt;="&amp;$B$5))</f>
        <v/>
      </c>
      <c r="F89" s="5"/>
      <c r="G89" s="5"/>
    </row>
    <row r="90" customFormat="false" ht="15" hidden="false" customHeight="false" outlineLevel="0" collapsed="false">
      <c r="A90" s="9" t="str">
        <f aca="false">Lists!$J$8</f>
        <v>Paid</v>
      </c>
      <c r="B90" s="18" t="n">
        <f aca="false">COUNTIFS(People!$H$2:$H$151,$A90,People!$A$2:$A$151,"&lt;&gt;")</f>
        <v>0</v>
      </c>
      <c r="C90" s="18" t="n">
        <f aca="false">COUNTIFS(People!$H$2:$H$151,$A90,People!$J$2:$J$151,"&gt;="&amp;$B$4,People!$J$2:$J$151,"&lt;="&amp;$B$5)</f>
        <v>0</v>
      </c>
      <c r="D90" s="18" t="n">
        <f aca="false">COUNTIFS(People!$H$2:$H$151,$A90,People!$L$2:$L$151,"&gt;="&amp;$B$4,People!$L$2:$L$151,"&lt;="&amp;$B$5)</f>
        <v>0</v>
      </c>
      <c r="E90" s="24" t="str">
        <f aca="false">IF(D90=0,"",SUMIFS(People!$M$2:$M$151,People!$H$2:$H$151,$A90,People!$L$2:$L$151,"&gt;="&amp;$B$4,People!$L$2:$L$151,"&lt;="&amp;$B$5))</f>
        <v/>
      </c>
      <c r="F90" s="5"/>
      <c r="G90" s="5"/>
    </row>
    <row r="91" customFormat="false" ht="15" hidden="false" customHeight="false" outlineLevel="0" collapsed="false">
      <c r="A91" s="9" t="str">
        <f aca="false">Lists!$J$9</f>
        <v>Referral</v>
      </c>
      <c r="B91" s="18" t="n">
        <f aca="false">COUNTIFS(People!$H$2:$H$151,$A91,People!$A$2:$A$151,"&lt;&gt;")</f>
        <v>2</v>
      </c>
      <c r="C91" s="18" t="n">
        <f aca="false">COUNTIFS(People!$H$2:$H$151,$A91,People!$J$2:$J$151,"&gt;="&amp;$B$4,People!$J$2:$J$151,"&lt;="&amp;$B$5)</f>
        <v>1</v>
      </c>
      <c r="D91" s="18" t="n">
        <f aca="false">COUNTIFS(People!$H$2:$H$151,$A91,People!$L$2:$L$151,"&gt;="&amp;$B$4,People!$L$2:$L$151,"&lt;="&amp;$B$5)</f>
        <v>0</v>
      </c>
      <c r="E91" s="24" t="str">
        <f aca="false">IF(D91=0,"",SUMIFS(People!$M$2:$M$151,People!$H$2:$H$151,$A91,People!$L$2:$L$151,"&gt;="&amp;$B$4,People!$L$2:$L$151,"&lt;="&amp;$B$5))</f>
        <v/>
      </c>
      <c r="F91" s="5"/>
      <c r="G91" s="5"/>
    </row>
    <row r="92" customFormat="false" ht="15" hidden="false" customHeight="false" outlineLevel="0" collapsed="false">
      <c r="A92" s="5"/>
      <c r="B92" s="5"/>
      <c r="C92" s="5"/>
      <c r="D92" s="5"/>
      <c r="E92" s="5"/>
      <c r="F92" s="5"/>
      <c r="G92" s="5"/>
    </row>
    <row r="93" customFormat="false" ht="15" hidden="false" customHeight="false" outlineLevel="0" collapsed="false">
      <c r="A93" s="11" t="s">
        <v>96</v>
      </c>
      <c r="B93" s="12"/>
      <c r="C93" s="12"/>
      <c r="D93" s="12"/>
      <c r="E93" s="12"/>
      <c r="F93" s="12"/>
      <c r="G93" s="5"/>
    </row>
    <row r="94" customFormat="false" ht="15" hidden="false" customHeight="false" outlineLevel="0" collapsed="false">
      <c r="A94" s="9" t="s">
        <v>97</v>
      </c>
      <c r="B94" s="18" t="n">
        <f aca="false">COUNTIF(People!$J$2:$J$151,"&lt;&gt;")</f>
        <v>4</v>
      </c>
      <c r="C94" s="5"/>
      <c r="D94" s="5"/>
      <c r="E94" s="5"/>
      <c r="F94" s="5"/>
      <c r="G94" s="5"/>
    </row>
    <row r="95" customFormat="false" ht="15" hidden="false" customHeight="false" outlineLevel="0" collapsed="false">
      <c r="A95" s="9" t="s">
        <v>98</v>
      </c>
      <c r="B95" s="18" t="n">
        <f aca="false">COUNTIFS(People!$J$2:$J$151,"&lt;&gt;",People!$K$2:$K$151,"&lt;&gt;")</f>
        <v>3</v>
      </c>
      <c r="C95" s="13" t="n">
        <f aca="false">IF(B94=0,"",B95/B94)</f>
        <v>0.75</v>
      </c>
      <c r="D95" s="5"/>
      <c r="E95" s="5"/>
      <c r="F95" s="5"/>
      <c r="G95" s="5"/>
    </row>
    <row r="96" customFormat="false" ht="15" hidden="false" customHeight="false" outlineLevel="0" collapsed="false">
      <c r="A96" s="9" t="s">
        <v>99</v>
      </c>
      <c r="B96" s="18" t="n">
        <f aca="false">COUNTIFS(People!$K$2:$K$151,"&lt;&gt;",People!$L$2:$L$151,"&lt;&gt;")</f>
        <v>2</v>
      </c>
      <c r="C96" s="13" t="n">
        <f aca="false">IF(B95=0,"",B96/B95)</f>
        <v>0.666666666666667</v>
      </c>
      <c r="D96" s="5"/>
      <c r="E96" s="5"/>
      <c r="F96" s="5"/>
      <c r="G96" s="5"/>
    </row>
    <row r="97" customFormat="false" ht="15" hidden="false" customHeight="false" outlineLevel="0" collapsed="false">
      <c r="A97" s="9" t="s">
        <v>100</v>
      </c>
      <c r="B97" s="18" t="n">
        <f aca="false">IF(COUNTIFS(People!$J$2:$J$151,"&lt;&gt;",People!$L$2:$L$151,"&lt;&gt;")=0,"",SUMPRODUCT((People!$J$2:$J$151&lt;&gt;"")*(People!$L$2:$L$151&lt;&gt;"")*(People!$L$2:$L$151-People!$J$2:$J$151))/COUNTIFS(People!$J$2:$J$151,"&lt;&gt;",People!$L$2:$L$151,"&lt;&gt;"))</f>
        <v>22</v>
      </c>
      <c r="C97" s="5"/>
      <c r="D97" s="5"/>
      <c r="E97" s="5"/>
      <c r="F97" s="5"/>
      <c r="G97" s="5"/>
    </row>
    <row r="98" customFormat="false" ht="15" hidden="false" customHeight="false" outlineLevel="0" collapsed="false">
      <c r="A98" s="5"/>
      <c r="B98" s="5"/>
      <c r="C98" s="5"/>
      <c r="D98" s="5"/>
      <c r="E98" s="5"/>
      <c r="F98" s="5"/>
      <c r="G98" s="5"/>
    </row>
    <row r="99" customFormat="false" ht="15" hidden="false" customHeight="false" outlineLevel="0" collapsed="false">
      <c r="A99" s="11" t="s">
        <v>101</v>
      </c>
      <c r="B99" s="12"/>
      <c r="C99" s="12"/>
      <c r="D99" s="12"/>
      <c r="E99" s="12"/>
      <c r="F99" s="12"/>
      <c r="G99" s="5"/>
    </row>
    <row r="100" customFormat="false" ht="15" hidden="false" customHeight="false" outlineLevel="0" collapsed="false">
      <c r="A100" s="14" t="s">
        <v>102</v>
      </c>
      <c r="B100" s="14" t="s">
        <v>103</v>
      </c>
      <c r="C100" s="14" t="s">
        <v>104</v>
      </c>
      <c r="D100" s="14" t="s">
        <v>105</v>
      </c>
      <c r="E100" s="14" t="s">
        <v>106</v>
      </c>
      <c r="F100" s="5"/>
      <c r="G100" s="5"/>
    </row>
    <row r="101" customFormat="false" ht="15" hidden="false" customHeight="false" outlineLevel="0" collapsed="false">
      <c r="A101" s="9" t="str">
        <f aca="false">IF(IFERROR(LARGE(People!$Z$2:$Z$151,1),"")="","",INDEX(People!$A$2:$A$151,MATCH(IFERROR(LARGE(People!$Z$2:$Z$151,1),""),People!$Z$2:$Z$151,0)))</f>
        <v>Dev Patel</v>
      </c>
      <c r="B101" s="15" t="str">
        <f aca="false">IF(A101="","",INDEX(People!$I$2:$I$151,MATCH(IFERROR(LARGE(People!$Z$2:$Z$151,1),""),People!$Z$2:$Z$151,0)))</f>
        <v>In conversation</v>
      </c>
      <c r="C101" s="18" t="n">
        <f aca="false">IF(A101="","",INDEX(People!$X$2:$X$151,MATCH(IFERROR(LARGE(People!$Z$2:$Z$151,1),""),People!$Z$2:$Z$151,0)))</f>
        <v>5</v>
      </c>
      <c r="D101" s="10" t="n">
        <f aca="false">IF(A101="","",INDEX(People!$V$2:$V$151,MATCH(IFERROR(LARGE(People!$Z$2:$Z$151,1),""),People!$Z$2:$Z$151,0)))</f>
        <v>46286</v>
      </c>
      <c r="E101" s="15" t="str">
        <f aca="false">IF(A101="","",INDEX(People!$Y$2:$Y$151,MATCH(IFERROR(LARGE(People!$Z$2:$Z$151,1),""),People!$Z$2:$Z$151,0)))</f>
        <v>A DM or a message that asks a question about them.</v>
      </c>
      <c r="F101" s="5"/>
      <c r="G101" s="5"/>
    </row>
    <row r="102" customFormat="false" ht="15" hidden="false" customHeight="false" outlineLevel="0" collapsed="false">
      <c r="A102" s="9" t="str">
        <f aca="false">IF(IFERROR(LARGE(People!$Z$2:$Z$151,2),"")="","",INDEX(People!$A$2:$A$151,MATCH(IFERROR(LARGE(People!$Z$2:$Z$151,2),""),People!$Z$2:$Z$151,0)))</f>
        <v>Ben Sato</v>
      </c>
      <c r="B102" s="15" t="str">
        <f aca="false">IF(A102="","",INDEX(People!$I$2:$I$151,MATCH(IFERROR(LARGE(People!$Z$2:$Z$151,2),""),People!$Z$2:$Z$151,0)))</f>
        <v>Call booked</v>
      </c>
      <c r="C102" s="18" t="n">
        <f aca="false">IF(A102="","",INDEX(People!$X$2:$X$151,MATCH(IFERROR(LARGE(People!$Z$2:$Z$151,2),""),People!$Z$2:$Z$151,0)))</f>
        <v>3</v>
      </c>
      <c r="D102" s="10" t="n">
        <f aca="false">IF(A102="","",INDEX(People!$V$2:$V$151,MATCH(IFERROR(LARGE(People!$Z$2:$Z$151,2),""),People!$Z$2:$Z$151,0)))</f>
        <v>46288</v>
      </c>
      <c r="E102" s="15" t="str">
        <f aca="false">IF(A102="","",INDEX(People!$Y$2:$Y$151,MATCH(IFERROR(LARGE(People!$Z$2:$Z$151,2),""),People!$Z$2:$Z$151,0)))</f>
        <v>Confirm the call the day before. Send what to bring.</v>
      </c>
      <c r="F102" s="5"/>
      <c r="G102" s="5"/>
    </row>
    <row r="103" customFormat="false" ht="15" hidden="false" customHeight="false" outlineLevel="0" collapsed="false">
      <c r="A103" s="9" t="str">
        <f aca="false">IF(IFERROR(LARGE(People!$Z$2:$Z$151,3),"")="","",INDEX(People!$A$2:$A$151,MATCH(IFERROR(LARGE(People!$Z$2:$Z$151,3),""),People!$Z$2:$Z$151,0)))</f>
        <v>Ada Okafor</v>
      </c>
      <c r="B103" s="15" t="str">
        <f aca="false">IF(A103="","",INDEX(People!$I$2:$I$151,MATCH(IFERROR(LARGE(People!$Z$2:$Z$151,3),""),People!$Z$2:$Z$151,0)))</f>
        <v>Lead</v>
      </c>
      <c r="C103" s="18" t="n">
        <f aca="false">IF(A103="","",INDEX(People!$X$2:$X$151,MATCH(IFERROR(LARGE(People!$Z$2:$Z$151,3),""),People!$Z$2:$Z$151,0)))</f>
        <v>3</v>
      </c>
      <c r="D103" s="10" t="n">
        <f aca="false">IF(A103="","",INDEX(People!$V$2:$V$151,MATCH(IFERROR(LARGE(People!$Z$2:$Z$151,3),""),People!$Z$2:$Z$151,0)))</f>
        <v>46288</v>
      </c>
      <c r="E103" s="15" t="str">
        <f aca="false">IF(A103="","",INDEX(People!$Y$2:$Y$151,MATCH(IFERROR(LARGE(People!$Z$2:$Z$151,3),""),People!$Z$2:$Z$151,0)))</f>
        <v>An email or a voice note. Offer the next step plainly.</v>
      </c>
      <c r="F103" s="5"/>
      <c r="G103" s="5"/>
    </row>
    <row r="104" customFormat="false" ht="15" hidden="false" customHeight="false" outlineLevel="0" collapsed="false">
      <c r="A104" s="9" t="str">
        <f aca="false">IF(IFERROR(LARGE(People!$Z$2:$Z$151,4),"")="","",INDEX(People!$A$2:$A$151,MATCH(IFERROR(LARGE(People!$Z$2:$Z$151,4),""),People!$Z$2:$Z$151,0)))</f>
        <v>Femi Lindqvist</v>
      </c>
      <c r="B104" s="15" t="str">
        <f aca="false">IF(A104="","",INDEX(People!$I$2:$I$151,MATCH(IFERROR(LARGE(People!$Z$2:$Z$151,4),""),People!$Z$2:$Z$151,0)))</f>
        <v>Advocate</v>
      </c>
      <c r="C104" s="18" t="n">
        <f aca="false">IF(A104="","",INDEX(People!$X$2:$X$151,MATCH(IFERROR(LARGE(People!$Z$2:$Z$151,4),""),People!$Z$2:$Z$151,0)))</f>
        <v>0</v>
      </c>
      <c r="D104" s="10" t="n">
        <f aca="false">IF(A104="","",INDEX(People!$V$2:$V$151,MATCH(IFERROR(LARGE(People!$Z$2:$Z$151,4),""),People!$Z$2:$Z$151,0)))</f>
        <v>46291</v>
      </c>
      <c r="E104" s="15" t="str">
        <f aca="false">IF(A104="","",INDEX(People!$Y$2:$Y$151,MATCH(IFERROR(LARGE(People!$Z$2:$Z$151,4),""),People!$Z$2:$Z$151,0)))</f>
        <v>Thank them. Ask who else should hear about this.</v>
      </c>
      <c r="F104" s="5"/>
      <c r="G104" s="5"/>
    </row>
    <row r="105" customFormat="false" ht="15" hidden="false" customHeight="false" outlineLevel="0" collapsed="false">
      <c r="A105" s="9" t="str">
        <f aca="false">IF(IFERROR(LARGE(People!$Z$2:$Z$151,5),"")="","",INDEX(People!$A$2:$A$151,MATCH(IFERROR(LARGE(People!$Z$2:$Z$151,5),""),People!$Z$2:$Z$151,0)))</f>
        <v/>
      </c>
      <c r="B105" s="15" t="str">
        <f aca="false">IF(A105="","",INDEX(People!$I$2:$I$151,MATCH(IFERROR(LARGE(People!$Z$2:$Z$151,5),""),People!$Z$2:$Z$151,0)))</f>
        <v/>
      </c>
      <c r="C105" s="18" t="str">
        <f aca="false">IF(A105="","",INDEX(People!$X$2:$X$151,MATCH(IFERROR(LARGE(People!$Z$2:$Z$151,5),""),People!$Z$2:$Z$151,0)))</f>
        <v/>
      </c>
      <c r="D105" s="10" t="str">
        <f aca="false">IF(A105="","",INDEX(People!$V$2:$V$151,MATCH(IFERROR(LARGE(People!$Z$2:$Z$151,5),""),People!$Z$2:$Z$151,0)))</f>
        <v/>
      </c>
      <c r="E105" s="15" t="str">
        <f aca="false">IF(A105="","",INDEX(People!$Y$2:$Y$151,MATCH(IFERROR(LARGE(People!$Z$2:$Z$151,5),""),People!$Z$2:$Z$151,0)))</f>
        <v/>
      </c>
      <c r="F105" s="5"/>
      <c r="G105" s="5"/>
    </row>
    <row r="106" customFormat="false" ht="15" hidden="false" customHeight="false" outlineLevel="0" collapsed="false">
      <c r="A106" s="9" t="str">
        <f aca="false">IF(IFERROR(LARGE(People!$Z$2:$Z$151,6),"")="","",INDEX(People!$A$2:$A$151,MATCH(IFERROR(LARGE(People!$Z$2:$Z$151,6),""),People!$Z$2:$Z$151,0)))</f>
        <v/>
      </c>
      <c r="B106" s="15" t="str">
        <f aca="false">IF(A106="","",INDEX(People!$I$2:$I$151,MATCH(IFERROR(LARGE(People!$Z$2:$Z$151,6),""),People!$Z$2:$Z$151,0)))</f>
        <v/>
      </c>
      <c r="C106" s="18" t="str">
        <f aca="false">IF(A106="","",INDEX(People!$X$2:$X$151,MATCH(IFERROR(LARGE(People!$Z$2:$Z$151,6),""),People!$Z$2:$Z$151,0)))</f>
        <v/>
      </c>
      <c r="D106" s="10" t="str">
        <f aca="false">IF(A106="","",INDEX(People!$V$2:$V$151,MATCH(IFERROR(LARGE(People!$Z$2:$Z$151,6),""),People!$Z$2:$Z$151,0)))</f>
        <v/>
      </c>
      <c r="E106" s="15" t="str">
        <f aca="false">IF(A106="","",INDEX(People!$Y$2:$Y$151,MATCH(IFERROR(LARGE(People!$Z$2:$Z$151,6),""),People!$Z$2:$Z$151,0)))</f>
        <v/>
      </c>
      <c r="F106" s="5"/>
      <c r="G106" s="5"/>
    </row>
    <row r="107" customFormat="false" ht="15" hidden="false" customHeight="false" outlineLevel="0" collapsed="false">
      <c r="A107" s="9" t="str">
        <f aca="false">IF(IFERROR(LARGE(People!$Z$2:$Z$151,7),"")="","",INDEX(People!$A$2:$A$151,MATCH(IFERROR(LARGE(People!$Z$2:$Z$151,7),""),People!$Z$2:$Z$151,0)))</f>
        <v/>
      </c>
      <c r="B107" s="15" t="str">
        <f aca="false">IF(A107="","",INDEX(People!$I$2:$I$151,MATCH(IFERROR(LARGE(People!$Z$2:$Z$151,7),""),People!$Z$2:$Z$151,0)))</f>
        <v/>
      </c>
      <c r="C107" s="18" t="str">
        <f aca="false">IF(A107="","",INDEX(People!$X$2:$X$151,MATCH(IFERROR(LARGE(People!$Z$2:$Z$151,7),""),People!$Z$2:$Z$151,0)))</f>
        <v/>
      </c>
      <c r="D107" s="10" t="str">
        <f aca="false">IF(A107="","",INDEX(People!$V$2:$V$151,MATCH(IFERROR(LARGE(People!$Z$2:$Z$151,7),""),People!$Z$2:$Z$151,0)))</f>
        <v/>
      </c>
      <c r="E107" s="15" t="str">
        <f aca="false">IF(A107="","",INDEX(People!$Y$2:$Y$151,MATCH(IFERROR(LARGE(People!$Z$2:$Z$151,7),""),People!$Z$2:$Z$151,0)))</f>
        <v/>
      </c>
      <c r="F107" s="5"/>
      <c r="G107" s="5"/>
    </row>
    <row r="108" customFormat="false" ht="15" hidden="false" customHeight="false" outlineLevel="0" collapsed="false">
      <c r="A108" s="9" t="str">
        <f aca="false">IF(IFERROR(LARGE(People!$Z$2:$Z$151,8),"")="","",INDEX(People!$A$2:$A$151,MATCH(IFERROR(LARGE(People!$Z$2:$Z$151,8),""),People!$Z$2:$Z$151,0)))</f>
        <v/>
      </c>
      <c r="B108" s="15" t="str">
        <f aca="false">IF(A108="","",INDEX(People!$I$2:$I$151,MATCH(IFERROR(LARGE(People!$Z$2:$Z$151,8),""),People!$Z$2:$Z$151,0)))</f>
        <v/>
      </c>
      <c r="C108" s="18" t="str">
        <f aca="false">IF(A108="","",INDEX(People!$X$2:$X$151,MATCH(IFERROR(LARGE(People!$Z$2:$Z$151,8),""),People!$Z$2:$Z$151,0)))</f>
        <v/>
      </c>
      <c r="D108" s="10" t="str">
        <f aca="false">IF(A108="","",INDEX(People!$V$2:$V$151,MATCH(IFERROR(LARGE(People!$Z$2:$Z$151,8),""),People!$Z$2:$Z$151,0)))</f>
        <v/>
      </c>
      <c r="E108" s="15" t="str">
        <f aca="false">IF(A108="","",INDEX(People!$Y$2:$Y$151,MATCH(IFERROR(LARGE(People!$Z$2:$Z$151,8),""),People!$Z$2:$Z$151,0)))</f>
        <v/>
      </c>
      <c r="F108" s="5"/>
      <c r="G108" s="5"/>
    </row>
    <row r="109" customFormat="false" ht="15" hidden="false" customHeight="false" outlineLevel="0" collapsed="false">
      <c r="A109" s="9" t="str">
        <f aca="false">IF(IFERROR(LARGE(People!$Z$2:$Z$151,9),"")="","",INDEX(People!$A$2:$A$151,MATCH(IFERROR(LARGE(People!$Z$2:$Z$151,9),""),People!$Z$2:$Z$151,0)))</f>
        <v/>
      </c>
      <c r="B109" s="15" t="str">
        <f aca="false">IF(A109="","",INDEX(People!$I$2:$I$151,MATCH(IFERROR(LARGE(People!$Z$2:$Z$151,9),""),People!$Z$2:$Z$151,0)))</f>
        <v/>
      </c>
      <c r="C109" s="18" t="str">
        <f aca="false">IF(A109="","",INDEX(People!$X$2:$X$151,MATCH(IFERROR(LARGE(People!$Z$2:$Z$151,9),""),People!$Z$2:$Z$151,0)))</f>
        <v/>
      </c>
      <c r="D109" s="10" t="str">
        <f aca="false">IF(A109="","",INDEX(People!$V$2:$V$151,MATCH(IFERROR(LARGE(People!$Z$2:$Z$151,9),""),People!$Z$2:$Z$151,0)))</f>
        <v/>
      </c>
      <c r="E109" s="15" t="str">
        <f aca="false">IF(A109="","",INDEX(People!$Y$2:$Y$151,MATCH(IFERROR(LARGE(People!$Z$2:$Z$151,9),""),People!$Z$2:$Z$151,0)))</f>
        <v/>
      </c>
      <c r="F109" s="5"/>
      <c r="G109" s="5"/>
    </row>
    <row r="110" customFormat="false" ht="15" hidden="false" customHeight="false" outlineLevel="0" collapsed="false">
      <c r="A110" s="9" t="str">
        <f aca="false">IF(IFERROR(LARGE(People!$Z$2:$Z$151,10),"")="","",INDEX(People!$A$2:$A$151,MATCH(IFERROR(LARGE(People!$Z$2:$Z$151,10),""),People!$Z$2:$Z$151,0)))</f>
        <v/>
      </c>
      <c r="B110" s="15" t="str">
        <f aca="false">IF(A110="","",INDEX(People!$I$2:$I$151,MATCH(IFERROR(LARGE(People!$Z$2:$Z$151,10),""),People!$Z$2:$Z$151,0)))</f>
        <v/>
      </c>
      <c r="C110" s="18" t="str">
        <f aca="false">IF(A110="","",INDEX(People!$X$2:$X$151,MATCH(IFERROR(LARGE(People!$Z$2:$Z$151,10),""),People!$Z$2:$Z$151,0)))</f>
        <v/>
      </c>
      <c r="D110" s="10" t="str">
        <f aca="false">IF(A110="","",INDEX(People!$V$2:$V$151,MATCH(IFERROR(LARGE(People!$Z$2:$Z$151,10),""),People!$Z$2:$Z$151,0)))</f>
        <v/>
      </c>
      <c r="E110" s="15" t="str">
        <f aca="false">IF(A110="","",INDEX(People!$Y$2:$Y$151,MATCH(IFERROR(LARGE(People!$Z$2:$Z$151,10),""),People!$Z$2:$Z$151,0)))</f>
        <v/>
      </c>
      <c r="F110" s="5"/>
      <c r="G110" s="5"/>
    </row>
    <row r="111" customFormat="false" ht="15" hidden="false" customHeight="false" outlineLevel="0" collapsed="false">
      <c r="A111" s="9" t="str">
        <f aca="false">IF(IFERROR(LARGE(People!$Z$2:$Z$151,11),"")="","",INDEX(People!$A$2:$A$151,MATCH(IFERROR(LARGE(People!$Z$2:$Z$151,11),""),People!$Z$2:$Z$151,0)))</f>
        <v/>
      </c>
      <c r="B111" s="15" t="str">
        <f aca="false">IF(A111="","",INDEX(People!$I$2:$I$151,MATCH(IFERROR(LARGE(People!$Z$2:$Z$151,11),""),People!$Z$2:$Z$151,0)))</f>
        <v/>
      </c>
      <c r="C111" s="18" t="str">
        <f aca="false">IF(A111="","",INDEX(People!$X$2:$X$151,MATCH(IFERROR(LARGE(People!$Z$2:$Z$151,11),""),People!$Z$2:$Z$151,0)))</f>
        <v/>
      </c>
      <c r="D111" s="10" t="str">
        <f aca="false">IF(A111="","",INDEX(People!$V$2:$V$151,MATCH(IFERROR(LARGE(People!$Z$2:$Z$151,11),""),People!$Z$2:$Z$151,0)))</f>
        <v/>
      </c>
      <c r="E111" s="15" t="str">
        <f aca="false">IF(A111="","",INDEX(People!$Y$2:$Y$151,MATCH(IFERROR(LARGE(People!$Z$2:$Z$151,11),""),People!$Z$2:$Z$151,0)))</f>
        <v/>
      </c>
      <c r="F111" s="5"/>
      <c r="G111" s="5"/>
    </row>
    <row r="112" customFormat="false" ht="15" hidden="false" customHeight="false" outlineLevel="0" collapsed="false">
      <c r="A112" s="9" t="str">
        <f aca="false">IF(IFERROR(LARGE(People!$Z$2:$Z$151,12),"")="","",INDEX(People!$A$2:$A$151,MATCH(IFERROR(LARGE(People!$Z$2:$Z$151,12),""),People!$Z$2:$Z$151,0)))</f>
        <v/>
      </c>
      <c r="B112" s="15" t="str">
        <f aca="false">IF(A112="","",INDEX(People!$I$2:$I$151,MATCH(IFERROR(LARGE(People!$Z$2:$Z$151,12),""),People!$Z$2:$Z$151,0)))</f>
        <v/>
      </c>
      <c r="C112" s="18" t="str">
        <f aca="false">IF(A112="","",INDEX(People!$X$2:$X$151,MATCH(IFERROR(LARGE(People!$Z$2:$Z$151,12),""),People!$Z$2:$Z$151,0)))</f>
        <v/>
      </c>
      <c r="D112" s="10" t="str">
        <f aca="false">IF(A112="","",INDEX(People!$V$2:$V$151,MATCH(IFERROR(LARGE(People!$Z$2:$Z$151,12),""),People!$Z$2:$Z$151,0)))</f>
        <v/>
      </c>
      <c r="E112" s="15" t="str">
        <f aca="false">IF(A112="","",INDEX(People!$Y$2:$Y$151,MATCH(IFERROR(LARGE(People!$Z$2:$Z$151,12),""),People!$Z$2:$Z$151,0)))</f>
        <v/>
      </c>
      <c r="F112" s="5"/>
      <c r="G112" s="5"/>
    </row>
    <row r="113" customFormat="false" ht="15" hidden="false" customHeight="false" outlineLevel="0" collapsed="false">
      <c r="A113" s="5"/>
      <c r="B113" s="5"/>
      <c r="C113" s="5"/>
      <c r="D113" s="5"/>
      <c r="E113" s="5"/>
      <c r="F113" s="5"/>
      <c r="G113" s="5"/>
    </row>
  </sheetData>
  <conditionalFormatting sqref="F11:F15">
    <cfRule type="cellIs" priority="2" operator="equal" aboveAverage="0" equalAverage="0" bottom="0" percent="0" rank="0" text="" dxfId="0">
      <formula>"Hit"</formula>
    </cfRule>
    <cfRule type="cellIs" priority="3" operator="equal" aboveAverage="0" equalAverage="0" bottom="0" percent="0" rank="0" text="" dxfId="0">
      <formula>"On pace"</formula>
    </cfRule>
    <cfRule type="cellIs" priority="4" operator="equal" aboveAverage="0" equalAverage="0" bottom="0" percent="0" rank="0" text="" dxfId="1">
      <formula>"A little behind"</formula>
    </cfRule>
    <cfRule type="cellIs" priority="5" operator="equal" aboveAverage="0" equalAverage="0" bottom="0" percent="0" rank="0" text="" dxfId="2">
      <formula>"Behind"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6"/>
    <col collapsed="false" customWidth="true" hidden="false" outlineLevel="0" max="4" min="4" style="0" width="22"/>
    <col collapsed="false" customWidth="true" hidden="false" outlineLevel="0" max="5" min="5" style="0" width="9"/>
    <col collapsed="false" customWidth="true" hidden="false" outlineLevel="0" max="6" min="6" style="0" width="3"/>
    <col collapsed="false" customWidth="true" hidden="false" outlineLevel="0" max="7" min="7" style="0" width="16"/>
    <col collapsed="false" customWidth="true" hidden="false" outlineLevel="0" max="8" min="8" style="0" width="12"/>
    <col collapsed="false" customWidth="true" hidden="false" outlineLevel="0" max="9" min="9" style="0" width="54"/>
    <col collapsed="false" customWidth="true" hidden="false" outlineLevel="0" max="10" min="10" style="0" width="22"/>
    <col collapsed="false" customWidth="true" hidden="false" outlineLevel="0" max="11" min="11" style="0" width="14"/>
    <col collapsed="false" customWidth="true" hidden="false" outlineLevel="0" max="12" min="12" style="0" width="16"/>
    <col collapsed="false" customWidth="true" hidden="false" outlineLevel="0" max="13" min="13" style="0" width="10"/>
  </cols>
  <sheetData>
    <row r="1" customFormat="false" ht="19.7" hidden="false" customHeight="false" outlineLevel="0" collapsed="false">
      <c r="A1" s="4" t="s">
        <v>107</v>
      </c>
    </row>
    <row r="2" customFormat="false" ht="15" hidden="false" customHeight="false" outlineLevel="0" collapsed="false">
      <c r="A2" s="6" t="s">
        <v>108</v>
      </c>
    </row>
    <row r="4" customFormat="false" ht="30" hidden="false" customHeight="true" outlineLevel="0" collapsed="false">
      <c r="A4" s="26" t="s">
        <v>109</v>
      </c>
      <c r="B4" s="26" t="s">
        <v>110</v>
      </c>
      <c r="C4" s="26" t="s">
        <v>111</v>
      </c>
      <c r="D4" s="26" t="s">
        <v>112</v>
      </c>
      <c r="E4" s="26" t="s">
        <v>30</v>
      </c>
      <c r="F4" s="26"/>
      <c r="G4" s="26" t="s">
        <v>103</v>
      </c>
      <c r="H4" s="26" t="s">
        <v>113</v>
      </c>
      <c r="I4" s="26" t="s">
        <v>114</v>
      </c>
      <c r="J4" s="26" t="s">
        <v>115</v>
      </c>
      <c r="K4" s="26" t="s">
        <v>116</v>
      </c>
      <c r="L4" s="26" t="s">
        <v>117</v>
      </c>
      <c r="M4" s="26" t="s">
        <v>118</v>
      </c>
    </row>
    <row r="5" customFormat="false" ht="15" hidden="false" customHeight="false" outlineLevel="0" collapsed="false">
      <c r="A5" s="9" t="s">
        <v>119</v>
      </c>
      <c r="B5" s="9" t="s">
        <v>120</v>
      </c>
      <c r="C5" s="9" t="s">
        <v>121</v>
      </c>
      <c r="D5" s="9" t="s">
        <v>122</v>
      </c>
      <c r="E5" s="27" t="n">
        <v>5</v>
      </c>
      <c r="G5" s="9" t="s">
        <v>123</v>
      </c>
      <c r="H5" s="27" t="s">
        <v>124</v>
      </c>
      <c r="I5" s="9" t="s">
        <v>125</v>
      </c>
      <c r="J5" s="9" t="s">
        <v>126</v>
      </c>
      <c r="K5" s="9" t="s">
        <v>127</v>
      </c>
      <c r="L5" s="9" t="s">
        <v>128</v>
      </c>
      <c r="M5" s="9" t="s">
        <v>129</v>
      </c>
    </row>
    <row r="6" customFormat="false" ht="15" hidden="false" customHeight="false" outlineLevel="0" collapsed="false">
      <c r="A6" s="9" t="s">
        <v>130</v>
      </c>
      <c r="B6" s="9" t="s">
        <v>131</v>
      </c>
      <c r="C6" s="9" t="s">
        <v>132</v>
      </c>
      <c r="D6" s="9" t="s">
        <v>133</v>
      </c>
      <c r="E6" s="27" t="n">
        <v>25</v>
      </c>
      <c r="G6" s="9" t="s">
        <v>134</v>
      </c>
      <c r="H6" s="27" t="n">
        <v>30</v>
      </c>
      <c r="I6" s="9" t="s">
        <v>135</v>
      </c>
      <c r="J6" s="9" t="s">
        <v>136</v>
      </c>
      <c r="K6" s="9" t="s">
        <v>137</v>
      </c>
      <c r="L6" s="9" t="s">
        <v>138</v>
      </c>
      <c r="M6" s="9" t="s">
        <v>139</v>
      </c>
    </row>
    <row r="7" customFormat="false" ht="15" hidden="false" customHeight="false" outlineLevel="0" collapsed="false">
      <c r="A7" s="9" t="s">
        <v>140</v>
      </c>
      <c r="B7" s="9" t="s">
        <v>141</v>
      </c>
      <c r="C7" s="9" t="s">
        <v>142</v>
      </c>
      <c r="D7" s="9" t="s">
        <v>143</v>
      </c>
      <c r="E7" s="27" t="n">
        <v>10</v>
      </c>
      <c r="G7" s="9" t="s">
        <v>144</v>
      </c>
      <c r="H7" s="27" t="n">
        <v>7</v>
      </c>
      <c r="I7" s="9" t="s">
        <v>145</v>
      </c>
      <c r="J7" s="9" t="s">
        <v>146</v>
      </c>
      <c r="K7" s="9" t="s">
        <v>147</v>
      </c>
      <c r="L7" s="9" t="s">
        <v>148</v>
      </c>
    </row>
    <row r="8" customFormat="false" ht="15" hidden="false" customHeight="false" outlineLevel="0" collapsed="false">
      <c r="A8" s="9" t="s">
        <v>149</v>
      </c>
      <c r="B8" s="9" t="s">
        <v>150</v>
      </c>
      <c r="C8" s="9" t="s">
        <v>151</v>
      </c>
      <c r="D8" s="9" t="s">
        <v>152</v>
      </c>
      <c r="E8" s="27" t="n">
        <v>3</v>
      </c>
      <c r="G8" s="9" t="s">
        <v>153</v>
      </c>
      <c r="H8" s="27" t="n">
        <v>3</v>
      </c>
      <c r="I8" s="9" t="s">
        <v>154</v>
      </c>
      <c r="J8" s="9" t="s">
        <v>155</v>
      </c>
      <c r="K8" s="9" t="s">
        <v>156</v>
      </c>
      <c r="L8" s="9" t="s">
        <v>157</v>
      </c>
    </row>
    <row r="9" customFormat="false" ht="15" hidden="false" customHeight="false" outlineLevel="0" collapsed="false">
      <c r="A9" s="9" t="s">
        <v>158</v>
      </c>
      <c r="B9" s="9" t="s">
        <v>159</v>
      </c>
      <c r="C9" s="9" t="s">
        <v>160</v>
      </c>
      <c r="D9" s="9" t="s">
        <v>161</v>
      </c>
      <c r="E9" s="27" t="n">
        <v>2</v>
      </c>
      <c r="G9" s="9" t="s">
        <v>148</v>
      </c>
      <c r="H9" s="27" t="n">
        <v>1</v>
      </c>
      <c r="I9" s="9" t="s">
        <v>162</v>
      </c>
      <c r="J9" s="9" t="s">
        <v>163</v>
      </c>
      <c r="K9" s="9" t="s">
        <v>164</v>
      </c>
      <c r="L9" s="9" t="s">
        <v>165</v>
      </c>
    </row>
    <row r="10" customFormat="false" ht="15" hidden="false" customHeight="false" outlineLevel="0" collapsed="false">
      <c r="A10" s="9" t="s">
        <v>166</v>
      </c>
      <c r="B10" s="9" t="s">
        <v>167</v>
      </c>
      <c r="C10" s="9" t="s">
        <v>168</v>
      </c>
      <c r="G10" s="9" t="s">
        <v>169</v>
      </c>
      <c r="H10" s="27" t="n">
        <v>30</v>
      </c>
      <c r="I10" s="9" t="s">
        <v>170</v>
      </c>
      <c r="K10" s="9" t="s">
        <v>171</v>
      </c>
    </row>
    <row r="11" customFormat="false" ht="15" hidden="false" customHeight="false" outlineLevel="0" collapsed="false">
      <c r="A11" s="9" t="s">
        <v>172</v>
      </c>
      <c r="B11" s="9" t="s">
        <v>173</v>
      </c>
      <c r="C11" s="9" t="s">
        <v>174</v>
      </c>
      <c r="G11" s="9" t="s">
        <v>175</v>
      </c>
      <c r="H11" s="27" t="n">
        <v>90</v>
      </c>
      <c r="I11" s="9" t="s">
        <v>176</v>
      </c>
      <c r="K11" s="9" t="s">
        <v>177</v>
      </c>
    </row>
    <row r="12" customFormat="false" ht="15" hidden="false" customHeight="false" outlineLevel="0" collapsed="false">
      <c r="A12" s="9" t="s">
        <v>178</v>
      </c>
      <c r="B12" s="9" t="s">
        <v>147</v>
      </c>
      <c r="C12" s="9" t="s">
        <v>179</v>
      </c>
      <c r="G12" s="9" t="s">
        <v>165</v>
      </c>
      <c r="H12" s="27" t="s">
        <v>124</v>
      </c>
      <c r="I12" s="9" t="s">
        <v>180</v>
      </c>
      <c r="K12" s="9" t="s">
        <v>181</v>
      </c>
    </row>
    <row r="13" customFormat="false" ht="15" hidden="false" customHeight="false" outlineLevel="0" collapsed="false">
      <c r="A13" s="9" t="s">
        <v>182</v>
      </c>
      <c r="B13" s="9" t="s">
        <v>183</v>
      </c>
    </row>
    <row r="14" customFormat="false" ht="15" hidden="false" customHeight="false" outlineLevel="0" collapsed="false">
      <c r="A14" s="9" t="s">
        <v>184</v>
      </c>
      <c r="B14" s="9" t="s">
        <v>185</v>
      </c>
    </row>
    <row r="15" customFormat="false" ht="15" hidden="false" customHeight="false" outlineLevel="0" collapsed="false">
      <c r="A15" s="9" t="s">
        <v>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3" min="2" style="0" width="12"/>
    <col collapsed="false" customWidth="true" hidden="false" outlineLevel="0" max="4" min="4" style="0" width="16"/>
    <col collapsed="false" customWidth="true" hidden="false" outlineLevel="0" max="5" min="5" style="0" width="40"/>
    <col collapsed="false" customWidth="true" hidden="false" outlineLevel="0" max="6" min="6" style="0" width="14"/>
    <col collapsed="false" customWidth="true" hidden="false" outlineLevel="0" max="7" min="7" style="0" width="18"/>
    <col collapsed="false" customWidth="true" hidden="false" outlineLevel="0" max="9" min="8" style="0" width="9"/>
    <col collapsed="false" customWidth="true" hidden="false" outlineLevel="0" max="10" min="10" style="0" width="8"/>
    <col collapsed="false" customWidth="true" hidden="false" outlineLevel="0" max="11" min="11" style="0" width="9"/>
    <col collapsed="false" customWidth="true" hidden="false" outlineLevel="0" max="13" min="12" style="0" width="8"/>
    <col collapsed="false" customWidth="true" hidden="false" outlineLevel="0" max="16" min="14" style="0" width="9"/>
    <col collapsed="false" customWidth="true" hidden="false" outlineLevel="0" max="17" min="17" style="0" width="7"/>
    <col collapsed="false" customWidth="true" hidden="false" outlineLevel="0" max="18" min="18" style="0" width="12"/>
    <col collapsed="false" customWidth="true" hidden="false" outlineLevel="0" max="19" min="19" style="0" width="24"/>
    <col collapsed="false" customWidth="true" hidden="false" outlineLevel="0" max="22" min="20" style="0" width="11"/>
  </cols>
  <sheetData>
    <row r="1" customFormat="false" ht="30" hidden="false" customHeight="true" outlineLevel="0" collapsed="false">
      <c r="A1" s="26" t="s">
        <v>187</v>
      </c>
      <c r="B1" s="26" t="s">
        <v>188</v>
      </c>
      <c r="C1" s="26" t="s">
        <v>189</v>
      </c>
      <c r="D1" s="26" t="s">
        <v>190</v>
      </c>
      <c r="E1" s="26" t="s">
        <v>191</v>
      </c>
      <c r="F1" s="26" t="s">
        <v>192</v>
      </c>
      <c r="G1" s="26" t="s">
        <v>193</v>
      </c>
      <c r="H1" s="26" t="s">
        <v>194</v>
      </c>
      <c r="I1" s="26" t="s">
        <v>49</v>
      </c>
      <c r="J1" s="26" t="s">
        <v>195</v>
      </c>
      <c r="K1" s="26" t="s">
        <v>196</v>
      </c>
      <c r="L1" s="26" t="s">
        <v>197</v>
      </c>
      <c r="M1" s="26" t="s">
        <v>55</v>
      </c>
      <c r="N1" s="26" t="s">
        <v>198</v>
      </c>
      <c r="O1" s="26" t="s">
        <v>199</v>
      </c>
      <c r="P1" s="26" t="s">
        <v>57</v>
      </c>
      <c r="Q1" s="26" t="s">
        <v>69</v>
      </c>
      <c r="R1" s="26" t="s">
        <v>200</v>
      </c>
      <c r="S1" s="26" t="s">
        <v>201</v>
      </c>
      <c r="T1" s="26" t="s">
        <v>51</v>
      </c>
      <c r="U1" s="26" t="s">
        <v>53</v>
      </c>
      <c r="V1" s="26" t="s">
        <v>28</v>
      </c>
    </row>
    <row r="2" customFormat="false" ht="15" hidden="false" customHeight="false" outlineLevel="0" collapsed="false">
      <c r="A2" s="28" t="n">
        <v>46271</v>
      </c>
      <c r="B2" s="29" t="s">
        <v>119</v>
      </c>
      <c r="C2" s="29" t="s">
        <v>141</v>
      </c>
      <c r="D2" s="29" t="s">
        <v>202</v>
      </c>
      <c r="E2" s="29" t="s">
        <v>203</v>
      </c>
      <c r="F2" s="29" t="s">
        <v>142</v>
      </c>
      <c r="G2" s="29"/>
      <c r="H2" s="29" t="n">
        <v>60</v>
      </c>
      <c r="I2" s="29" t="n">
        <v>1840</v>
      </c>
      <c r="J2" s="29" t="n">
        <v>96</v>
      </c>
      <c r="K2" s="29" t="n">
        <v>14</v>
      </c>
      <c r="L2" s="29" t="n">
        <v>9</v>
      </c>
      <c r="M2" s="29" t="n">
        <v>31</v>
      </c>
      <c r="N2" s="29"/>
      <c r="O2" s="29" t="n">
        <v>3</v>
      </c>
      <c r="P2" s="29" t="n">
        <v>12</v>
      </c>
      <c r="Q2" s="29" t="n">
        <v>1</v>
      </c>
      <c r="R2" s="28" t="n">
        <v>46274</v>
      </c>
      <c r="S2" s="29" t="s">
        <v>204</v>
      </c>
      <c r="T2" s="15" t="n">
        <f aca="false">IF(COUNT(J2:M2)=0,"",SUM(J2:M2))</f>
        <v>150</v>
      </c>
      <c r="U2" s="23" t="n">
        <f aca="false">IF(OR(T2="",I2="",I2=0),"",T2/I2)</f>
        <v>0.0815217391304348</v>
      </c>
      <c r="V2" s="10" t="n">
        <f aca="false">IF(A2="","",A2-WEEKDAY(A2,2)+1)</f>
        <v>46265</v>
      </c>
    </row>
    <row r="3" customFormat="false" ht="15" hidden="false" customHeight="false" outlineLevel="0" collapsed="false">
      <c r="A3" s="28" t="n">
        <v>46273</v>
      </c>
      <c r="B3" s="29" t="s">
        <v>149</v>
      </c>
      <c r="C3" s="29" t="s">
        <v>159</v>
      </c>
      <c r="D3" s="29" t="s">
        <v>205</v>
      </c>
      <c r="E3" s="29" t="s">
        <v>206</v>
      </c>
      <c r="F3" s="29" t="s">
        <v>151</v>
      </c>
      <c r="G3" s="29"/>
      <c r="H3" s="29" t="n">
        <v>25</v>
      </c>
      <c r="I3" s="29" t="n">
        <v>2210</v>
      </c>
      <c r="J3" s="29" t="n">
        <v>118</v>
      </c>
      <c r="K3" s="29" t="n">
        <v>22</v>
      </c>
      <c r="L3" s="29" t="n">
        <v>11</v>
      </c>
      <c r="M3" s="29" t="n">
        <v>19</v>
      </c>
      <c r="N3" s="29"/>
      <c r="O3" s="29" t="n">
        <v>6</v>
      </c>
      <c r="P3" s="29" t="n">
        <v>15</v>
      </c>
      <c r="Q3" s="29" t="n">
        <v>2</v>
      </c>
      <c r="R3" s="28" t="n">
        <v>46276</v>
      </c>
      <c r="S3" s="29" t="s">
        <v>204</v>
      </c>
      <c r="T3" s="15" t="n">
        <f aca="false">IF(COUNT(J3:M3)=0,"",SUM(J3:M3))</f>
        <v>170</v>
      </c>
      <c r="U3" s="23" t="n">
        <f aca="false">IF(OR(T3="",I3="",I3=0),"",T3/I3)</f>
        <v>0.0769230769230769</v>
      </c>
      <c r="V3" s="10" t="n">
        <f aca="false">IF(A3="","",A3-WEEKDAY(A3,2)+1)</f>
        <v>46272</v>
      </c>
    </row>
    <row r="4" customFormat="false" ht="15" hidden="false" customHeight="false" outlineLevel="0" collapsed="false">
      <c r="A4" s="28" t="n">
        <v>46276</v>
      </c>
      <c r="B4" s="29" t="s">
        <v>140</v>
      </c>
      <c r="C4" s="29" t="s">
        <v>131</v>
      </c>
      <c r="D4" s="29" t="s">
        <v>207</v>
      </c>
      <c r="E4" s="29" t="s">
        <v>208</v>
      </c>
      <c r="F4" s="29" t="s">
        <v>160</v>
      </c>
      <c r="G4" s="29" t="s">
        <v>209</v>
      </c>
      <c r="H4" s="29" t="n">
        <v>240</v>
      </c>
      <c r="I4" s="29" t="n">
        <v>960</v>
      </c>
      <c r="J4" s="29" t="n">
        <v>41</v>
      </c>
      <c r="K4" s="29" t="n">
        <v>8</v>
      </c>
      <c r="L4" s="29" t="n">
        <v>3</v>
      </c>
      <c r="M4" s="29" t="n">
        <v>12</v>
      </c>
      <c r="N4" s="29" t="n">
        <v>38</v>
      </c>
      <c r="O4" s="29"/>
      <c r="P4" s="29" t="n">
        <v>9</v>
      </c>
      <c r="Q4" s="29" t="n">
        <v>1</v>
      </c>
      <c r="R4" s="28" t="n">
        <v>46279</v>
      </c>
      <c r="S4" s="29" t="s">
        <v>204</v>
      </c>
      <c r="T4" s="15" t="n">
        <f aca="false">IF(COUNT(J4:M4)=0,"",SUM(J4:M4))</f>
        <v>64</v>
      </c>
      <c r="U4" s="23" t="n">
        <f aca="false">IF(OR(T4="",I4="",I4=0),"",T4/I4)</f>
        <v>0.0666666666666667</v>
      </c>
      <c r="V4" s="10" t="n">
        <f aca="false">IF(A4="","",A4-WEEKDAY(A4,2)+1)</f>
        <v>46272</v>
      </c>
    </row>
    <row r="5" customFormat="false" ht="15" hidden="false" customHeight="false" outlineLevel="0" collapsed="false">
      <c r="A5" s="28" t="n">
        <v>46279</v>
      </c>
      <c r="B5" s="29" t="s">
        <v>119</v>
      </c>
      <c r="C5" s="29" t="s">
        <v>120</v>
      </c>
      <c r="D5" s="29" t="s">
        <v>210</v>
      </c>
      <c r="E5" s="29" t="s">
        <v>211</v>
      </c>
      <c r="F5" s="29" t="s">
        <v>132</v>
      </c>
      <c r="G5" s="29"/>
      <c r="H5" s="29" t="n">
        <v>25</v>
      </c>
      <c r="I5" s="29" t="n">
        <v>3120</v>
      </c>
      <c r="J5" s="29" t="n">
        <v>155</v>
      </c>
      <c r="K5" s="29" t="n">
        <v>19</v>
      </c>
      <c r="L5" s="29" t="n">
        <v>24</v>
      </c>
      <c r="M5" s="29" t="n">
        <v>27</v>
      </c>
      <c r="N5" s="29"/>
      <c r="O5" s="29" t="n">
        <v>2</v>
      </c>
      <c r="P5" s="29" t="n">
        <v>31</v>
      </c>
      <c r="Q5" s="29" t="n">
        <v>0</v>
      </c>
      <c r="R5" s="28" t="n">
        <v>46282</v>
      </c>
      <c r="S5" s="29" t="s">
        <v>204</v>
      </c>
      <c r="T5" s="15" t="n">
        <f aca="false">IF(COUNT(J5:M5)=0,"",SUM(J5:M5))</f>
        <v>225</v>
      </c>
      <c r="U5" s="23" t="n">
        <f aca="false">IF(OR(T5="",I5="",I5=0),"",T5/I5)</f>
        <v>0.0721153846153846</v>
      </c>
      <c r="V5" s="10" t="n">
        <f aca="false">IF(A5="","",A5-WEEKDAY(A5,2)+1)</f>
        <v>46279</v>
      </c>
    </row>
    <row r="6" customFormat="false" ht="15" hidden="false" customHeight="false" outlineLevel="0" collapsed="false">
      <c r="A6" s="28" t="n">
        <v>46282</v>
      </c>
      <c r="B6" s="29" t="s">
        <v>178</v>
      </c>
      <c r="C6" s="29" t="s">
        <v>147</v>
      </c>
      <c r="D6" s="29" t="s">
        <v>202</v>
      </c>
      <c r="E6" s="29" t="s">
        <v>212</v>
      </c>
      <c r="F6" s="29" t="s">
        <v>168</v>
      </c>
      <c r="G6" s="29"/>
      <c r="H6" s="29" t="n">
        <v>90</v>
      </c>
      <c r="I6" s="29" t="n">
        <v>410</v>
      </c>
      <c r="J6" s="29"/>
      <c r="K6" s="29" t="n">
        <v>4</v>
      </c>
      <c r="L6" s="29"/>
      <c r="M6" s="29"/>
      <c r="N6" s="29" t="n">
        <v>22</v>
      </c>
      <c r="O6" s="29"/>
      <c r="P6" s="29"/>
      <c r="Q6" s="29" t="n">
        <v>2</v>
      </c>
      <c r="R6" s="28" t="n">
        <v>46285</v>
      </c>
      <c r="S6" s="29" t="s">
        <v>204</v>
      </c>
      <c r="T6" s="15" t="n">
        <f aca="false">IF(COUNT(J6:M6)=0,"",SUM(J6:M6))</f>
        <v>4</v>
      </c>
      <c r="U6" s="23" t="n">
        <f aca="false">IF(OR(T6="",I6="",I6=0),"",T6/I6)</f>
        <v>0.00975609756097561</v>
      </c>
      <c r="V6" s="10" t="n">
        <f aca="false">IF(A6="","",A6-WEEKDAY(A6,2)+1)</f>
        <v>46279</v>
      </c>
    </row>
    <row r="7" customFormat="false" ht="15" hidden="false" customHeight="false" outlineLevel="0" collapsed="false">
      <c r="A7" s="28" t="n">
        <v>46285</v>
      </c>
      <c r="B7" s="29" t="s">
        <v>149</v>
      </c>
      <c r="C7" s="29" t="s">
        <v>141</v>
      </c>
      <c r="D7" s="29" t="s">
        <v>213</v>
      </c>
      <c r="E7" s="29" t="s">
        <v>214</v>
      </c>
      <c r="F7" s="29" t="s">
        <v>121</v>
      </c>
      <c r="G7" s="29"/>
      <c r="H7" s="29" t="n">
        <v>60</v>
      </c>
      <c r="I7" s="29" t="n">
        <v>1530</v>
      </c>
      <c r="J7" s="29" t="n">
        <v>84</v>
      </c>
      <c r="K7" s="29" t="n">
        <v>11</v>
      </c>
      <c r="L7" s="29" t="n">
        <v>6</v>
      </c>
      <c r="M7" s="29" t="n">
        <v>22</v>
      </c>
      <c r="N7" s="29"/>
      <c r="O7" s="29" t="n">
        <v>1</v>
      </c>
      <c r="P7" s="29" t="n">
        <v>8</v>
      </c>
      <c r="Q7" s="29" t="n">
        <v>0</v>
      </c>
      <c r="R7" s="28" t="n">
        <v>46288</v>
      </c>
      <c r="S7" s="29" t="s">
        <v>204</v>
      </c>
      <c r="T7" s="15" t="n">
        <f aca="false">IF(COUNT(J7:M7)=0,"",SUM(J7:M7))</f>
        <v>123</v>
      </c>
      <c r="U7" s="23" t="n">
        <f aca="false">IF(OR(T7="",I7="",I7=0),"",T7/I7)</f>
        <v>0.0803921568627451</v>
      </c>
      <c r="V7" s="10" t="n">
        <f aca="false">IF(A7="","",A7-WEEKDAY(A7,2)+1)</f>
        <v>46279</v>
      </c>
    </row>
    <row r="8" customFormat="false" ht="15" hidden="false" customHeight="false" outlineLevel="0" collapsed="false">
      <c r="A8" s="28" t="n">
        <v>46289</v>
      </c>
      <c r="B8" s="29" t="s">
        <v>119</v>
      </c>
      <c r="C8" s="29" t="s">
        <v>167</v>
      </c>
      <c r="D8" s="29" t="s">
        <v>213</v>
      </c>
      <c r="E8" s="29" t="s">
        <v>215</v>
      </c>
      <c r="F8" s="29" t="s">
        <v>151</v>
      </c>
      <c r="G8" s="29"/>
      <c r="H8" s="29" t="n">
        <v>15</v>
      </c>
      <c r="I8" s="29"/>
      <c r="J8" s="29"/>
      <c r="K8" s="29"/>
      <c r="L8" s="29"/>
      <c r="M8" s="29"/>
      <c r="N8" s="29"/>
      <c r="O8" s="29"/>
      <c r="P8" s="29"/>
      <c r="Q8" s="29"/>
      <c r="R8" s="28"/>
      <c r="S8" s="29" t="s">
        <v>204</v>
      </c>
      <c r="T8" s="15" t="str">
        <f aca="false">IF(COUNT(J8:M8)=0,"",SUM(J8:M8))</f>
        <v/>
      </c>
      <c r="U8" s="23" t="str">
        <f aca="false">IF(OR(T8="",I8="",I8=0),"",T8/I8)</f>
        <v/>
      </c>
      <c r="V8" s="10" t="n">
        <f aca="false">IF(A8="","",A8-WEEKDAY(A8,2)+1)</f>
        <v>46286</v>
      </c>
    </row>
    <row r="9" customFormat="false" ht="15" hidden="false" customHeight="false" outlineLevel="0" collapsed="false">
      <c r="A9" s="28" t="n">
        <v>46291</v>
      </c>
      <c r="B9" s="29" t="s">
        <v>130</v>
      </c>
      <c r="C9" s="29" t="s">
        <v>120</v>
      </c>
      <c r="D9" s="29" t="s">
        <v>207</v>
      </c>
      <c r="E9" s="29" t="s">
        <v>216</v>
      </c>
      <c r="F9" s="29" t="s">
        <v>132</v>
      </c>
      <c r="G9" s="29"/>
      <c r="H9" s="29" t="n">
        <v>25</v>
      </c>
      <c r="I9" s="29"/>
      <c r="J9" s="29"/>
      <c r="K9" s="29"/>
      <c r="L9" s="29"/>
      <c r="M9" s="29"/>
      <c r="N9" s="29"/>
      <c r="O9" s="29"/>
      <c r="P9" s="29"/>
      <c r="Q9" s="29"/>
      <c r="R9" s="28"/>
      <c r="S9" s="29" t="s">
        <v>204</v>
      </c>
      <c r="T9" s="15" t="str">
        <f aca="false">IF(COUNT(J9:M9)=0,"",SUM(J9:M9))</f>
        <v/>
      </c>
      <c r="U9" s="23" t="str">
        <f aca="false">IF(OR(T9="",I9="",I9=0),"",T9/I9)</f>
        <v/>
      </c>
      <c r="V9" s="10" t="n">
        <f aca="false">IF(A9="","",A9-WEEKDAY(A9,2)+1)</f>
        <v>46286</v>
      </c>
    </row>
    <row r="10" customFormat="false" ht="15" hidden="false" customHeight="false" outlineLevel="0" collapsed="false">
      <c r="A10" s="28"/>
      <c r="B10" s="29"/>
      <c r="C10" s="29"/>
      <c r="D10" s="29"/>
      <c r="E10" s="29"/>
      <c r="F10" s="29"/>
      <c r="G10" s="29"/>
      <c r="H10" s="29"/>
      <c r="I10" s="29"/>
      <c r="J10" s="29"/>
      <c r="K10" s="29"/>
      <c r="L10" s="29"/>
      <c r="M10" s="29"/>
      <c r="N10" s="29"/>
      <c r="O10" s="29"/>
      <c r="P10" s="29"/>
      <c r="Q10" s="29"/>
      <c r="R10" s="28"/>
      <c r="S10" s="29"/>
      <c r="T10" s="15" t="str">
        <f aca="false">IF(COUNT(J10:M10)=0,"",SUM(J10:M10))</f>
        <v/>
      </c>
      <c r="U10" s="23" t="str">
        <f aca="false">IF(OR(T10="",I10="",I10=0),"",T10/I10)</f>
        <v/>
      </c>
      <c r="V10" s="10" t="str">
        <f aca="false">IF(A10="","",A10-WEEKDAY(A10,2)+1)</f>
        <v/>
      </c>
    </row>
    <row r="11" customFormat="false" ht="15" hidden="false" customHeight="false" outlineLevel="0" collapsed="false">
      <c r="A11" s="28"/>
      <c r="B11" s="29"/>
      <c r="C11" s="29"/>
      <c r="D11" s="29"/>
      <c r="E11" s="29"/>
      <c r="F11" s="29"/>
      <c r="G11" s="29"/>
      <c r="H11" s="29"/>
      <c r="I11" s="29"/>
      <c r="J11" s="29"/>
      <c r="K11" s="29"/>
      <c r="L11" s="29"/>
      <c r="M11" s="29"/>
      <c r="N11" s="29"/>
      <c r="O11" s="29"/>
      <c r="P11" s="29"/>
      <c r="Q11" s="29"/>
      <c r="R11" s="28"/>
      <c r="S11" s="29"/>
      <c r="T11" s="15" t="str">
        <f aca="false">IF(COUNT(J11:M11)=0,"",SUM(J11:M11))</f>
        <v/>
      </c>
      <c r="U11" s="23" t="str">
        <f aca="false">IF(OR(T11="",I11="",I11=0),"",T11/I11)</f>
        <v/>
      </c>
      <c r="V11" s="10" t="str">
        <f aca="false">IF(A11="","",A11-WEEKDAY(A11,2)+1)</f>
        <v/>
      </c>
    </row>
    <row r="12" customFormat="false" ht="15" hidden="false" customHeight="false" outlineLevel="0" collapsed="false">
      <c r="A12" s="28"/>
      <c r="B12" s="29"/>
      <c r="C12" s="29"/>
      <c r="D12" s="29"/>
      <c r="E12" s="29"/>
      <c r="F12" s="29"/>
      <c r="G12" s="29"/>
      <c r="H12" s="29"/>
      <c r="I12" s="29"/>
      <c r="J12" s="29"/>
      <c r="K12" s="29"/>
      <c r="L12" s="29"/>
      <c r="M12" s="29"/>
      <c r="N12" s="29"/>
      <c r="O12" s="29"/>
      <c r="P12" s="29"/>
      <c r="Q12" s="29"/>
      <c r="R12" s="28"/>
      <c r="S12" s="29"/>
      <c r="T12" s="15" t="str">
        <f aca="false">IF(COUNT(J12:M12)=0,"",SUM(J12:M12))</f>
        <v/>
      </c>
      <c r="U12" s="23" t="str">
        <f aca="false">IF(OR(T12="",I12="",I12=0),"",T12/I12)</f>
        <v/>
      </c>
      <c r="V12" s="10" t="str">
        <f aca="false">IF(A12="","",A12-WEEKDAY(A12,2)+1)</f>
        <v/>
      </c>
    </row>
    <row r="13" customFormat="false" ht="15" hidden="false" customHeight="false" outlineLevel="0" collapsed="false">
      <c r="A13" s="28"/>
      <c r="B13" s="29"/>
      <c r="C13" s="29"/>
      <c r="D13" s="29"/>
      <c r="E13" s="29"/>
      <c r="F13" s="29"/>
      <c r="G13" s="29"/>
      <c r="H13" s="29"/>
      <c r="I13" s="29"/>
      <c r="J13" s="29"/>
      <c r="K13" s="29"/>
      <c r="L13" s="29"/>
      <c r="M13" s="29"/>
      <c r="N13" s="29"/>
      <c r="O13" s="29"/>
      <c r="P13" s="29"/>
      <c r="Q13" s="29"/>
      <c r="R13" s="28"/>
      <c r="S13" s="29"/>
      <c r="T13" s="15" t="str">
        <f aca="false">IF(COUNT(J13:M13)=0,"",SUM(J13:M13))</f>
        <v/>
      </c>
      <c r="U13" s="23" t="str">
        <f aca="false">IF(OR(T13="",I13="",I13=0),"",T13/I13)</f>
        <v/>
      </c>
      <c r="V13" s="10" t="str">
        <f aca="false">IF(A13="","",A13-WEEKDAY(A13,2)+1)</f>
        <v/>
      </c>
    </row>
    <row r="14" customFormat="false" ht="15" hidden="false" customHeight="false" outlineLevel="0" collapsed="false">
      <c r="A14" s="28"/>
      <c r="B14" s="29"/>
      <c r="C14" s="29"/>
      <c r="D14" s="29"/>
      <c r="E14" s="29"/>
      <c r="F14" s="29"/>
      <c r="G14" s="29"/>
      <c r="H14" s="29"/>
      <c r="I14" s="29"/>
      <c r="J14" s="29"/>
      <c r="K14" s="29"/>
      <c r="L14" s="29"/>
      <c r="M14" s="29"/>
      <c r="N14" s="29"/>
      <c r="O14" s="29"/>
      <c r="P14" s="29"/>
      <c r="Q14" s="29"/>
      <c r="R14" s="28"/>
      <c r="S14" s="29"/>
      <c r="T14" s="15" t="str">
        <f aca="false">IF(COUNT(J14:M14)=0,"",SUM(J14:M14))</f>
        <v/>
      </c>
      <c r="U14" s="23" t="str">
        <f aca="false">IF(OR(T14="",I14="",I14=0),"",T14/I14)</f>
        <v/>
      </c>
      <c r="V14" s="10" t="str">
        <f aca="false">IF(A14="","",A14-WEEKDAY(A14,2)+1)</f>
        <v/>
      </c>
    </row>
    <row r="15" customFormat="false" ht="15" hidden="false" customHeight="false" outlineLevel="0" collapsed="false">
      <c r="A15" s="28"/>
      <c r="B15" s="29"/>
      <c r="C15" s="29"/>
      <c r="D15" s="29"/>
      <c r="E15" s="29"/>
      <c r="F15" s="29"/>
      <c r="G15" s="29"/>
      <c r="H15" s="29"/>
      <c r="I15" s="29"/>
      <c r="J15" s="29"/>
      <c r="K15" s="29"/>
      <c r="L15" s="29"/>
      <c r="M15" s="29"/>
      <c r="N15" s="29"/>
      <c r="O15" s="29"/>
      <c r="P15" s="29"/>
      <c r="Q15" s="29"/>
      <c r="R15" s="28"/>
      <c r="S15" s="29"/>
      <c r="T15" s="15" t="str">
        <f aca="false">IF(COUNT(J15:M15)=0,"",SUM(J15:M15))</f>
        <v/>
      </c>
      <c r="U15" s="23" t="str">
        <f aca="false">IF(OR(T15="",I15="",I15=0),"",T15/I15)</f>
        <v/>
      </c>
      <c r="V15" s="10" t="str">
        <f aca="false">IF(A15="","",A15-WEEKDAY(A15,2)+1)</f>
        <v/>
      </c>
    </row>
    <row r="16" customFormat="false" ht="15" hidden="false" customHeight="false" outlineLevel="0" collapsed="false">
      <c r="A16" s="28"/>
      <c r="B16" s="29"/>
      <c r="C16" s="29"/>
      <c r="D16" s="29"/>
      <c r="E16" s="29"/>
      <c r="F16" s="29"/>
      <c r="G16" s="29"/>
      <c r="H16" s="29"/>
      <c r="I16" s="29"/>
      <c r="J16" s="29"/>
      <c r="K16" s="29"/>
      <c r="L16" s="29"/>
      <c r="M16" s="29"/>
      <c r="N16" s="29"/>
      <c r="O16" s="29"/>
      <c r="P16" s="29"/>
      <c r="Q16" s="29"/>
      <c r="R16" s="28"/>
      <c r="S16" s="29"/>
      <c r="T16" s="15" t="str">
        <f aca="false">IF(COUNT(J16:M16)=0,"",SUM(J16:M16))</f>
        <v/>
      </c>
      <c r="U16" s="23" t="str">
        <f aca="false">IF(OR(T16="",I16="",I16=0),"",T16/I16)</f>
        <v/>
      </c>
      <c r="V16" s="10" t="str">
        <f aca="false">IF(A16="","",A16-WEEKDAY(A16,2)+1)</f>
        <v/>
      </c>
    </row>
    <row r="17" customFormat="false" ht="15" hidden="false" customHeight="false" outlineLevel="0" collapsed="false">
      <c r="A17" s="28"/>
      <c r="B17" s="29"/>
      <c r="C17" s="29"/>
      <c r="D17" s="29"/>
      <c r="E17" s="29"/>
      <c r="F17" s="29"/>
      <c r="G17" s="29"/>
      <c r="H17" s="29"/>
      <c r="I17" s="29"/>
      <c r="J17" s="29"/>
      <c r="K17" s="29"/>
      <c r="L17" s="29"/>
      <c r="M17" s="29"/>
      <c r="N17" s="29"/>
      <c r="O17" s="29"/>
      <c r="P17" s="29"/>
      <c r="Q17" s="29"/>
      <c r="R17" s="28"/>
      <c r="S17" s="29"/>
      <c r="T17" s="15" t="str">
        <f aca="false">IF(COUNT(J17:M17)=0,"",SUM(J17:M17))</f>
        <v/>
      </c>
      <c r="U17" s="23" t="str">
        <f aca="false">IF(OR(T17="",I17="",I17=0),"",T17/I17)</f>
        <v/>
      </c>
      <c r="V17" s="10" t="str">
        <f aca="false">IF(A17="","",A17-WEEKDAY(A17,2)+1)</f>
        <v/>
      </c>
    </row>
    <row r="18" customFormat="false" ht="15" hidden="false" customHeight="false" outlineLevel="0" collapsed="false">
      <c r="A18" s="28"/>
      <c r="B18" s="29"/>
      <c r="C18" s="29"/>
      <c r="D18" s="29"/>
      <c r="E18" s="29"/>
      <c r="F18" s="29"/>
      <c r="G18" s="29"/>
      <c r="H18" s="29"/>
      <c r="I18" s="29"/>
      <c r="J18" s="29"/>
      <c r="K18" s="29"/>
      <c r="L18" s="29"/>
      <c r="M18" s="29"/>
      <c r="N18" s="29"/>
      <c r="O18" s="29"/>
      <c r="P18" s="29"/>
      <c r="Q18" s="29"/>
      <c r="R18" s="28"/>
      <c r="S18" s="29"/>
      <c r="T18" s="15" t="str">
        <f aca="false">IF(COUNT(J18:M18)=0,"",SUM(J18:M18))</f>
        <v/>
      </c>
      <c r="U18" s="23" t="str">
        <f aca="false">IF(OR(T18="",I18="",I18=0),"",T18/I18)</f>
        <v/>
      </c>
      <c r="V18" s="10" t="str">
        <f aca="false">IF(A18="","",A18-WEEKDAY(A18,2)+1)</f>
        <v/>
      </c>
    </row>
    <row r="19" customFormat="false" ht="15" hidden="false" customHeight="false" outlineLevel="0" collapsed="false">
      <c r="A19" s="28"/>
      <c r="B19" s="29"/>
      <c r="C19" s="29"/>
      <c r="D19" s="29"/>
      <c r="E19" s="29"/>
      <c r="F19" s="29"/>
      <c r="G19" s="29"/>
      <c r="H19" s="29"/>
      <c r="I19" s="29"/>
      <c r="J19" s="29"/>
      <c r="K19" s="29"/>
      <c r="L19" s="29"/>
      <c r="M19" s="29"/>
      <c r="N19" s="29"/>
      <c r="O19" s="29"/>
      <c r="P19" s="29"/>
      <c r="Q19" s="29"/>
      <c r="R19" s="28"/>
      <c r="S19" s="29"/>
      <c r="T19" s="15" t="str">
        <f aca="false">IF(COUNT(J19:M19)=0,"",SUM(J19:M19))</f>
        <v/>
      </c>
      <c r="U19" s="23" t="str">
        <f aca="false">IF(OR(T19="",I19="",I19=0),"",T19/I19)</f>
        <v/>
      </c>
      <c r="V19" s="10" t="str">
        <f aca="false">IF(A19="","",A19-WEEKDAY(A19,2)+1)</f>
        <v/>
      </c>
    </row>
    <row r="20" customFormat="false" ht="15" hidden="false" customHeight="false" outlineLevel="0" collapsed="false">
      <c r="A20" s="28"/>
      <c r="B20" s="29"/>
      <c r="C20" s="29"/>
      <c r="D20" s="29"/>
      <c r="E20" s="29"/>
      <c r="F20" s="29"/>
      <c r="G20" s="29"/>
      <c r="H20" s="29"/>
      <c r="I20" s="29"/>
      <c r="J20" s="29"/>
      <c r="K20" s="29"/>
      <c r="L20" s="29"/>
      <c r="M20" s="29"/>
      <c r="N20" s="29"/>
      <c r="O20" s="29"/>
      <c r="P20" s="29"/>
      <c r="Q20" s="29"/>
      <c r="R20" s="28"/>
      <c r="S20" s="29"/>
      <c r="T20" s="15" t="str">
        <f aca="false">IF(COUNT(J20:M20)=0,"",SUM(J20:M20))</f>
        <v/>
      </c>
      <c r="U20" s="23" t="str">
        <f aca="false">IF(OR(T20="",I20="",I20=0),"",T20/I20)</f>
        <v/>
      </c>
      <c r="V20" s="10" t="str">
        <f aca="false">IF(A20="","",A20-WEEKDAY(A20,2)+1)</f>
        <v/>
      </c>
    </row>
    <row r="21" customFormat="false" ht="15" hidden="false" customHeight="false" outlineLevel="0" collapsed="false">
      <c r="A21" s="28"/>
      <c r="B21" s="29"/>
      <c r="C21" s="29"/>
      <c r="D21" s="29"/>
      <c r="E21" s="29"/>
      <c r="F21" s="29"/>
      <c r="G21" s="29"/>
      <c r="H21" s="29"/>
      <c r="I21" s="29"/>
      <c r="J21" s="29"/>
      <c r="K21" s="29"/>
      <c r="L21" s="29"/>
      <c r="M21" s="29"/>
      <c r="N21" s="29"/>
      <c r="O21" s="29"/>
      <c r="P21" s="29"/>
      <c r="Q21" s="29"/>
      <c r="R21" s="28"/>
      <c r="S21" s="29"/>
      <c r="T21" s="15" t="str">
        <f aca="false">IF(COUNT(J21:M21)=0,"",SUM(J21:M21))</f>
        <v/>
      </c>
      <c r="U21" s="23" t="str">
        <f aca="false">IF(OR(T21="",I21="",I21=0),"",T21/I21)</f>
        <v/>
      </c>
      <c r="V21" s="10" t="str">
        <f aca="false">IF(A21="","",A21-WEEKDAY(A21,2)+1)</f>
        <v/>
      </c>
    </row>
    <row r="22" customFormat="false" ht="15" hidden="false" customHeight="false" outlineLevel="0" collapsed="false">
      <c r="A22" s="28"/>
      <c r="B22" s="29"/>
      <c r="C22" s="29"/>
      <c r="D22" s="29"/>
      <c r="E22" s="29"/>
      <c r="F22" s="29"/>
      <c r="G22" s="29"/>
      <c r="H22" s="29"/>
      <c r="I22" s="29"/>
      <c r="J22" s="29"/>
      <c r="K22" s="29"/>
      <c r="L22" s="29"/>
      <c r="M22" s="29"/>
      <c r="N22" s="29"/>
      <c r="O22" s="29"/>
      <c r="P22" s="29"/>
      <c r="Q22" s="29"/>
      <c r="R22" s="28"/>
      <c r="S22" s="29"/>
      <c r="T22" s="15" t="str">
        <f aca="false">IF(COUNT(J22:M22)=0,"",SUM(J22:M22))</f>
        <v/>
      </c>
      <c r="U22" s="23" t="str">
        <f aca="false">IF(OR(T22="",I22="",I22=0),"",T22/I22)</f>
        <v/>
      </c>
      <c r="V22" s="10" t="str">
        <f aca="false">IF(A22="","",A22-WEEKDAY(A22,2)+1)</f>
        <v/>
      </c>
    </row>
    <row r="23" customFormat="false" ht="15" hidden="false" customHeight="false" outlineLevel="0" collapsed="false">
      <c r="A23" s="28"/>
      <c r="B23" s="29"/>
      <c r="C23" s="29"/>
      <c r="D23" s="29"/>
      <c r="E23" s="29"/>
      <c r="F23" s="29"/>
      <c r="G23" s="29"/>
      <c r="H23" s="29"/>
      <c r="I23" s="29"/>
      <c r="J23" s="29"/>
      <c r="K23" s="29"/>
      <c r="L23" s="29"/>
      <c r="M23" s="29"/>
      <c r="N23" s="29"/>
      <c r="O23" s="29"/>
      <c r="P23" s="29"/>
      <c r="Q23" s="29"/>
      <c r="R23" s="28"/>
      <c r="S23" s="29"/>
      <c r="T23" s="15" t="str">
        <f aca="false">IF(COUNT(J23:M23)=0,"",SUM(J23:M23))</f>
        <v/>
      </c>
      <c r="U23" s="23" t="str">
        <f aca="false">IF(OR(T23="",I23="",I23=0),"",T23/I23)</f>
        <v/>
      </c>
      <c r="V23" s="10" t="str">
        <f aca="false">IF(A23="","",A23-WEEKDAY(A23,2)+1)</f>
        <v/>
      </c>
    </row>
    <row r="24" customFormat="false" ht="15" hidden="false" customHeight="false" outlineLevel="0" collapsed="false">
      <c r="A24" s="28"/>
      <c r="B24" s="29"/>
      <c r="C24" s="29"/>
      <c r="D24" s="29"/>
      <c r="E24" s="29"/>
      <c r="F24" s="29"/>
      <c r="G24" s="29"/>
      <c r="H24" s="29"/>
      <c r="I24" s="29"/>
      <c r="J24" s="29"/>
      <c r="K24" s="29"/>
      <c r="L24" s="29"/>
      <c r="M24" s="29"/>
      <c r="N24" s="29"/>
      <c r="O24" s="29"/>
      <c r="P24" s="29"/>
      <c r="Q24" s="29"/>
      <c r="R24" s="28"/>
      <c r="S24" s="29"/>
      <c r="T24" s="15" t="str">
        <f aca="false">IF(COUNT(J24:M24)=0,"",SUM(J24:M24))</f>
        <v/>
      </c>
      <c r="U24" s="23" t="str">
        <f aca="false">IF(OR(T24="",I24="",I24=0),"",T24/I24)</f>
        <v/>
      </c>
      <c r="V24" s="10" t="str">
        <f aca="false">IF(A24="","",A24-WEEKDAY(A24,2)+1)</f>
        <v/>
      </c>
    </row>
    <row r="25" customFormat="false" ht="15" hidden="false" customHeight="false" outlineLevel="0" collapsed="false">
      <c r="A25" s="28"/>
      <c r="B25" s="29"/>
      <c r="C25" s="29"/>
      <c r="D25" s="29"/>
      <c r="E25" s="29"/>
      <c r="F25" s="29"/>
      <c r="G25" s="29"/>
      <c r="H25" s="29"/>
      <c r="I25" s="29"/>
      <c r="J25" s="29"/>
      <c r="K25" s="29"/>
      <c r="L25" s="29"/>
      <c r="M25" s="29"/>
      <c r="N25" s="29"/>
      <c r="O25" s="29"/>
      <c r="P25" s="29"/>
      <c r="Q25" s="29"/>
      <c r="R25" s="28"/>
      <c r="S25" s="29"/>
      <c r="T25" s="15" t="str">
        <f aca="false">IF(COUNT(J25:M25)=0,"",SUM(J25:M25))</f>
        <v/>
      </c>
      <c r="U25" s="23" t="str">
        <f aca="false">IF(OR(T25="",I25="",I25=0),"",T25/I25)</f>
        <v/>
      </c>
      <c r="V25" s="10" t="str">
        <f aca="false">IF(A25="","",A25-WEEKDAY(A25,2)+1)</f>
        <v/>
      </c>
    </row>
    <row r="26" customFormat="false" ht="15" hidden="false" customHeight="false" outlineLevel="0" collapsed="false">
      <c r="A26" s="28"/>
      <c r="B26" s="29"/>
      <c r="C26" s="29"/>
      <c r="D26" s="29"/>
      <c r="E26" s="29"/>
      <c r="F26" s="29"/>
      <c r="G26" s="29"/>
      <c r="H26" s="29"/>
      <c r="I26" s="29"/>
      <c r="J26" s="29"/>
      <c r="K26" s="29"/>
      <c r="L26" s="29"/>
      <c r="M26" s="29"/>
      <c r="N26" s="29"/>
      <c r="O26" s="29"/>
      <c r="P26" s="29"/>
      <c r="Q26" s="29"/>
      <c r="R26" s="28"/>
      <c r="S26" s="29"/>
      <c r="T26" s="15" t="str">
        <f aca="false">IF(COUNT(J26:M26)=0,"",SUM(J26:M26))</f>
        <v/>
      </c>
      <c r="U26" s="23" t="str">
        <f aca="false">IF(OR(T26="",I26="",I26=0),"",T26/I26)</f>
        <v/>
      </c>
      <c r="V26" s="10" t="str">
        <f aca="false">IF(A26="","",A26-WEEKDAY(A26,2)+1)</f>
        <v/>
      </c>
    </row>
    <row r="27" customFormat="false" ht="15" hidden="false" customHeight="false" outlineLevel="0" collapsed="false">
      <c r="A27" s="28"/>
      <c r="B27" s="29"/>
      <c r="C27" s="29"/>
      <c r="D27" s="29"/>
      <c r="E27" s="29"/>
      <c r="F27" s="29"/>
      <c r="G27" s="29"/>
      <c r="H27" s="29"/>
      <c r="I27" s="29"/>
      <c r="J27" s="29"/>
      <c r="K27" s="29"/>
      <c r="L27" s="29"/>
      <c r="M27" s="29"/>
      <c r="N27" s="29"/>
      <c r="O27" s="29"/>
      <c r="P27" s="29"/>
      <c r="Q27" s="29"/>
      <c r="R27" s="28"/>
      <c r="S27" s="29"/>
      <c r="T27" s="15" t="str">
        <f aca="false">IF(COUNT(J27:M27)=0,"",SUM(J27:M27))</f>
        <v/>
      </c>
      <c r="U27" s="23" t="str">
        <f aca="false">IF(OR(T27="",I27="",I27=0),"",T27/I27)</f>
        <v/>
      </c>
      <c r="V27" s="10" t="str">
        <f aca="false">IF(A27="","",A27-WEEKDAY(A27,2)+1)</f>
        <v/>
      </c>
    </row>
    <row r="28" customFormat="false" ht="15" hidden="false" customHeight="false" outlineLevel="0" collapsed="false">
      <c r="A28" s="28"/>
      <c r="B28" s="29"/>
      <c r="C28" s="29"/>
      <c r="D28" s="29"/>
      <c r="E28" s="29"/>
      <c r="F28" s="29"/>
      <c r="G28" s="29"/>
      <c r="H28" s="29"/>
      <c r="I28" s="29"/>
      <c r="J28" s="29"/>
      <c r="K28" s="29"/>
      <c r="L28" s="29"/>
      <c r="M28" s="29"/>
      <c r="N28" s="29"/>
      <c r="O28" s="29"/>
      <c r="P28" s="29"/>
      <c r="Q28" s="29"/>
      <c r="R28" s="28"/>
      <c r="S28" s="29"/>
      <c r="T28" s="15" t="str">
        <f aca="false">IF(COUNT(J28:M28)=0,"",SUM(J28:M28))</f>
        <v/>
      </c>
      <c r="U28" s="23" t="str">
        <f aca="false">IF(OR(T28="",I28="",I28=0),"",T28/I28)</f>
        <v/>
      </c>
      <c r="V28" s="10" t="str">
        <f aca="false">IF(A28="","",A28-WEEKDAY(A28,2)+1)</f>
        <v/>
      </c>
    </row>
    <row r="29" customFormat="false" ht="15" hidden="false" customHeight="false" outlineLevel="0" collapsed="false">
      <c r="A29" s="28"/>
      <c r="B29" s="29"/>
      <c r="C29" s="29"/>
      <c r="D29" s="29"/>
      <c r="E29" s="29"/>
      <c r="F29" s="29"/>
      <c r="G29" s="29"/>
      <c r="H29" s="29"/>
      <c r="I29" s="29"/>
      <c r="J29" s="29"/>
      <c r="K29" s="29"/>
      <c r="L29" s="29"/>
      <c r="M29" s="29"/>
      <c r="N29" s="29"/>
      <c r="O29" s="29"/>
      <c r="P29" s="29"/>
      <c r="Q29" s="29"/>
      <c r="R29" s="28"/>
      <c r="S29" s="29"/>
      <c r="T29" s="15" t="str">
        <f aca="false">IF(COUNT(J29:M29)=0,"",SUM(J29:M29))</f>
        <v/>
      </c>
      <c r="U29" s="23" t="str">
        <f aca="false">IF(OR(T29="",I29="",I29=0),"",T29/I29)</f>
        <v/>
      </c>
      <c r="V29" s="10" t="str">
        <f aca="false">IF(A29="","",A29-WEEKDAY(A29,2)+1)</f>
        <v/>
      </c>
    </row>
    <row r="30" customFormat="false" ht="15" hidden="false" customHeight="false" outlineLevel="0" collapsed="false">
      <c r="A30" s="28"/>
      <c r="B30" s="29"/>
      <c r="C30" s="29"/>
      <c r="D30" s="29"/>
      <c r="E30" s="29"/>
      <c r="F30" s="29"/>
      <c r="G30" s="29"/>
      <c r="H30" s="29"/>
      <c r="I30" s="29"/>
      <c r="J30" s="29"/>
      <c r="K30" s="29"/>
      <c r="L30" s="29"/>
      <c r="M30" s="29"/>
      <c r="N30" s="29"/>
      <c r="O30" s="29"/>
      <c r="P30" s="29"/>
      <c r="Q30" s="29"/>
      <c r="R30" s="28"/>
      <c r="S30" s="29"/>
      <c r="T30" s="15" t="str">
        <f aca="false">IF(COUNT(J30:M30)=0,"",SUM(J30:M30))</f>
        <v/>
      </c>
      <c r="U30" s="23" t="str">
        <f aca="false">IF(OR(T30="",I30="",I30=0),"",T30/I30)</f>
        <v/>
      </c>
      <c r="V30" s="10" t="str">
        <f aca="false">IF(A30="","",A30-WEEKDAY(A30,2)+1)</f>
        <v/>
      </c>
    </row>
    <row r="31" customFormat="false" ht="15" hidden="false" customHeight="false" outlineLevel="0" collapsed="false">
      <c r="A31" s="28"/>
      <c r="B31" s="29"/>
      <c r="C31" s="29"/>
      <c r="D31" s="29"/>
      <c r="E31" s="29"/>
      <c r="F31" s="29"/>
      <c r="G31" s="29"/>
      <c r="H31" s="29"/>
      <c r="I31" s="29"/>
      <c r="J31" s="29"/>
      <c r="K31" s="29"/>
      <c r="L31" s="29"/>
      <c r="M31" s="29"/>
      <c r="N31" s="29"/>
      <c r="O31" s="29"/>
      <c r="P31" s="29"/>
      <c r="Q31" s="29"/>
      <c r="R31" s="28"/>
      <c r="S31" s="29"/>
      <c r="T31" s="15" t="str">
        <f aca="false">IF(COUNT(J31:M31)=0,"",SUM(J31:M31))</f>
        <v/>
      </c>
      <c r="U31" s="23" t="str">
        <f aca="false">IF(OR(T31="",I31="",I31=0),"",T31/I31)</f>
        <v/>
      </c>
      <c r="V31" s="10" t="str">
        <f aca="false">IF(A31="","",A31-WEEKDAY(A31,2)+1)</f>
        <v/>
      </c>
    </row>
    <row r="32" customFormat="false" ht="15" hidden="false" customHeight="false" outlineLevel="0" collapsed="false">
      <c r="A32" s="28"/>
      <c r="B32" s="29"/>
      <c r="C32" s="29"/>
      <c r="D32" s="29"/>
      <c r="E32" s="29"/>
      <c r="F32" s="29"/>
      <c r="G32" s="29"/>
      <c r="H32" s="29"/>
      <c r="I32" s="29"/>
      <c r="J32" s="29"/>
      <c r="K32" s="29"/>
      <c r="L32" s="29"/>
      <c r="M32" s="29"/>
      <c r="N32" s="29"/>
      <c r="O32" s="29"/>
      <c r="P32" s="29"/>
      <c r="Q32" s="29"/>
      <c r="R32" s="28"/>
      <c r="S32" s="29"/>
      <c r="T32" s="15" t="str">
        <f aca="false">IF(COUNT(J32:M32)=0,"",SUM(J32:M32))</f>
        <v/>
      </c>
      <c r="U32" s="23" t="str">
        <f aca="false">IF(OR(T32="",I32="",I32=0),"",T32/I32)</f>
        <v/>
      </c>
      <c r="V32" s="10" t="str">
        <f aca="false">IF(A32="","",A32-WEEKDAY(A32,2)+1)</f>
        <v/>
      </c>
    </row>
    <row r="33" customFormat="false" ht="15" hidden="false" customHeight="false" outlineLevel="0" collapsed="false">
      <c r="A33" s="28"/>
      <c r="B33" s="29"/>
      <c r="C33" s="29"/>
      <c r="D33" s="29"/>
      <c r="E33" s="29"/>
      <c r="F33" s="29"/>
      <c r="G33" s="29"/>
      <c r="H33" s="29"/>
      <c r="I33" s="29"/>
      <c r="J33" s="29"/>
      <c r="K33" s="29"/>
      <c r="L33" s="29"/>
      <c r="M33" s="29"/>
      <c r="N33" s="29"/>
      <c r="O33" s="29"/>
      <c r="P33" s="29"/>
      <c r="Q33" s="29"/>
      <c r="R33" s="28"/>
      <c r="S33" s="29"/>
      <c r="T33" s="15" t="str">
        <f aca="false">IF(COUNT(J33:M33)=0,"",SUM(J33:M33))</f>
        <v/>
      </c>
      <c r="U33" s="23" t="str">
        <f aca="false">IF(OR(T33="",I33="",I33=0),"",T33/I33)</f>
        <v/>
      </c>
      <c r="V33" s="10" t="str">
        <f aca="false">IF(A33="","",A33-WEEKDAY(A33,2)+1)</f>
        <v/>
      </c>
    </row>
    <row r="34" customFormat="false" ht="15" hidden="false" customHeight="false" outlineLevel="0" collapsed="false">
      <c r="A34" s="28"/>
      <c r="B34" s="29"/>
      <c r="C34" s="29"/>
      <c r="D34" s="29"/>
      <c r="E34" s="29"/>
      <c r="F34" s="29"/>
      <c r="G34" s="29"/>
      <c r="H34" s="29"/>
      <c r="I34" s="29"/>
      <c r="J34" s="29"/>
      <c r="K34" s="29"/>
      <c r="L34" s="29"/>
      <c r="M34" s="29"/>
      <c r="N34" s="29"/>
      <c r="O34" s="29"/>
      <c r="P34" s="29"/>
      <c r="Q34" s="29"/>
      <c r="R34" s="28"/>
      <c r="S34" s="29"/>
      <c r="T34" s="15" t="str">
        <f aca="false">IF(COUNT(J34:M34)=0,"",SUM(J34:M34))</f>
        <v/>
      </c>
      <c r="U34" s="23" t="str">
        <f aca="false">IF(OR(T34="",I34="",I34=0),"",T34/I34)</f>
        <v/>
      </c>
      <c r="V34" s="10" t="str">
        <f aca="false">IF(A34="","",A34-WEEKDAY(A34,2)+1)</f>
        <v/>
      </c>
    </row>
    <row r="35" customFormat="false" ht="15" hidden="false" customHeight="false" outlineLevel="0" collapsed="false">
      <c r="A35" s="28"/>
      <c r="B35" s="29"/>
      <c r="C35" s="29"/>
      <c r="D35" s="29"/>
      <c r="E35" s="29"/>
      <c r="F35" s="29"/>
      <c r="G35" s="29"/>
      <c r="H35" s="29"/>
      <c r="I35" s="29"/>
      <c r="J35" s="29"/>
      <c r="K35" s="29"/>
      <c r="L35" s="29"/>
      <c r="M35" s="29"/>
      <c r="N35" s="29"/>
      <c r="O35" s="29"/>
      <c r="P35" s="29"/>
      <c r="Q35" s="29"/>
      <c r="R35" s="28"/>
      <c r="S35" s="29"/>
      <c r="T35" s="15" t="str">
        <f aca="false">IF(COUNT(J35:M35)=0,"",SUM(J35:M35))</f>
        <v/>
      </c>
      <c r="U35" s="23" t="str">
        <f aca="false">IF(OR(T35="",I35="",I35=0),"",T35/I35)</f>
        <v/>
      </c>
      <c r="V35" s="10" t="str">
        <f aca="false">IF(A35="","",A35-WEEKDAY(A35,2)+1)</f>
        <v/>
      </c>
    </row>
    <row r="36" customFormat="false" ht="15" hidden="false" customHeight="false" outlineLevel="0" collapsed="false">
      <c r="A36" s="28"/>
      <c r="B36" s="29"/>
      <c r="C36" s="29"/>
      <c r="D36" s="29"/>
      <c r="E36" s="29"/>
      <c r="F36" s="29"/>
      <c r="G36" s="29"/>
      <c r="H36" s="29"/>
      <c r="I36" s="29"/>
      <c r="J36" s="29"/>
      <c r="K36" s="29"/>
      <c r="L36" s="29"/>
      <c r="M36" s="29"/>
      <c r="N36" s="29"/>
      <c r="O36" s="29"/>
      <c r="P36" s="29"/>
      <c r="Q36" s="29"/>
      <c r="R36" s="28"/>
      <c r="S36" s="29"/>
      <c r="T36" s="15" t="str">
        <f aca="false">IF(COUNT(J36:M36)=0,"",SUM(J36:M36))</f>
        <v/>
      </c>
      <c r="U36" s="23" t="str">
        <f aca="false">IF(OR(T36="",I36="",I36=0),"",T36/I36)</f>
        <v/>
      </c>
      <c r="V36" s="10" t="str">
        <f aca="false">IF(A36="","",A36-WEEKDAY(A36,2)+1)</f>
        <v/>
      </c>
    </row>
    <row r="37" customFormat="false" ht="15" hidden="false" customHeight="false" outlineLevel="0" collapsed="false">
      <c r="A37" s="28"/>
      <c r="B37" s="29"/>
      <c r="C37" s="29"/>
      <c r="D37" s="29"/>
      <c r="E37" s="29"/>
      <c r="F37" s="29"/>
      <c r="G37" s="29"/>
      <c r="H37" s="29"/>
      <c r="I37" s="29"/>
      <c r="J37" s="29"/>
      <c r="K37" s="29"/>
      <c r="L37" s="29"/>
      <c r="M37" s="29"/>
      <c r="N37" s="29"/>
      <c r="O37" s="29"/>
      <c r="P37" s="29"/>
      <c r="Q37" s="29"/>
      <c r="R37" s="28"/>
      <c r="S37" s="29"/>
      <c r="T37" s="15" t="str">
        <f aca="false">IF(COUNT(J37:M37)=0,"",SUM(J37:M37))</f>
        <v/>
      </c>
      <c r="U37" s="23" t="str">
        <f aca="false">IF(OR(T37="",I37="",I37=0),"",T37/I37)</f>
        <v/>
      </c>
      <c r="V37" s="10" t="str">
        <f aca="false">IF(A37="","",A37-WEEKDAY(A37,2)+1)</f>
        <v/>
      </c>
    </row>
    <row r="38" customFormat="false" ht="15" hidden="false" customHeight="false" outlineLevel="0" collapsed="false">
      <c r="A38" s="28"/>
      <c r="B38" s="29"/>
      <c r="C38" s="29"/>
      <c r="D38" s="29"/>
      <c r="E38" s="29"/>
      <c r="F38" s="29"/>
      <c r="G38" s="29"/>
      <c r="H38" s="29"/>
      <c r="I38" s="29"/>
      <c r="J38" s="29"/>
      <c r="K38" s="29"/>
      <c r="L38" s="29"/>
      <c r="M38" s="29"/>
      <c r="N38" s="29"/>
      <c r="O38" s="29"/>
      <c r="P38" s="29"/>
      <c r="Q38" s="29"/>
      <c r="R38" s="28"/>
      <c r="S38" s="29"/>
      <c r="T38" s="15" t="str">
        <f aca="false">IF(COUNT(J38:M38)=0,"",SUM(J38:M38))</f>
        <v/>
      </c>
      <c r="U38" s="23" t="str">
        <f aca="false">IF(OR(T38="",I38="",I38=0),"",T38/I38)</f>
        <v/>
      </c>
      <c r="V38" s="10" t="str">
        <f aca="false">IF(A38="","",A38-WEEKDAY(A38,2)+1)</f>
        <v/>
      </c>
    </row>
    <row r="39" customFormat="false" ht="15" hidden="false" customHeight="false" outlineLevel="0" collapsed="false">
      <c r="A39" s="28"/>
      <c r="B39" s="29"/>
      <c r="C39" s="29"/>
      <c r="D39" s="29"/>
      <c r="E39" s="29"/>
      <c r="F39" s="29"/>
      <c r="G39" s="29"/>
      <c r="H39" s="29"/>
      <c r="I39" s="29"/>
      <c r="J39" s="29"/>
      <c r="K39" s="29"/>
      <c r="L39" s="29"/>
      <c r="M39" s="29"/>
      <c r="N39" s="29"/>
      <c r="O39" s="29"/>
      <c r="P39" s="29"/>
      <c r="Q39" s="29"/>
      <c r="R39" s="28"/>
      <c r="S39" s="29"/>
      <c r="T39" s="15" t="str">
        <f aca="false">IF(COUNT(J39:M39)=0,"",SUM(J39:M39))</f>
        <v/>
      </c>
      <c r="U39" s="23" t="str">
        <f aca="false">IF(OR(T39="",I39="",I39=0),"",T39/I39)</f>
        <v/>
      </c>
      <c r="V39" s="10" t="str">
        <f aca="false">IF(A39="","",A39-WEEKDAY(A39,2)+1)</f>
        <v/>
      </c>
    </row>
    <row r="40" customFormat="false" ht="15" hidden="false" customHeight="false" outlineLevel="0" collapsed="false">
      <c r="A40" s="28"/>
      <c r="B40" s="29"/>
      <c r="C40" s="29"/>
      <c r="D40" s="29"/>
      <c r="E40" s="29"/>
      <c r="F40" s="29"/>
      <c r="G40" s="29"/>
      <c r="H40" s="29"/>
      <c r="I40" s="29"/>
      <c r="J40" s="29"/>
      <c r="K40" s="29"/>
      <c r="L40" s="29"/>
      <c r="M40" s="29"/>
      <c r="N40" s="29"/>
      <c r="O40" s="29"/>
      <c r="P40" s="29"/>
      <c r="Q40" s="29"/>
      <c r="R40" s="28"/>
      <c r="S40" s="29"/>
      <c r="T40" s="15" t="str">
        <f aca="false">IF(COUNT(J40:M40)=0,"",SUM(J40:M40))</f>
        <v/>
      </c>
      <c r="U40" s="23" t="str">
        <f aca="false">IF(OR(T40="",I40="",I40=0),"",T40/I40)</f>
        <v/>
      </c>
      <c r="V40" s="10" t="str">
        <f aca="false">IF(A40="","",A40-WEEKDAY(A40,2)+1)</f>
        <v/>
      </c>
    </row>
    <row r="41" customFormat="false" ht="15" hidden="false" customHeight="false" outlineLevel="0" collapsed="false">
      <c r="A41" s="28"/>
      <c r="B41" s="29"/>
      <c r="C41" s="29"/>
      <c r="D41" s="29"/>
      <c r="E41" s="29"/>
      <c r="F41" s="29"/>
      <c r="G41" s="29"/>
      <c r="H41" s="29"/>
      <c r="I41" s="29"/>
      <c r="J41" s="29"/>
      <c r="K41" s="29"/>
      <c r="L41" s="29"/>
      <c r="M41" s="29"/>
      <c r="N41" s="29"/>
      <c r="O41" s="29"/>
      <c r="P41" s="29"/>
      <c r="Q41" s="29"/>
      <c r="R41" s="28"/>
      <c r="S41" s="29"/>
      <c r="T41" s="15" t="str">
        <f aca="false">IF(COUNT(J41:M41)=0,"",SUM(J41:M41))</f>
        <v/>
      </c>
      <c r="U41" s="23" t="str">
        <f aca="false">IF(OR(T41="",I41="",I41=0),"",T41/I41)</f>
        <v/>
      </c>
      <c r="V41" s="10" t="str">
        <f aca="false">IF(A41="","",A41-WEEKDAY(A41,2)+1)</f>
        <v/>
      </c>
    </row>
    <row r="42" customFormat="false" ht="15" hidden="false" customHeight="false" outlineLevel="0" collapsed="false">
      <c r="A42" s="28"/>
      <c r="B42" s="29"/>
      <c r="C42" s="29"/>
      <c r="D42" s="29"/>
      <c r="E42" s="29"/>
      <c r="F42" s="29"/>
      <c r="G42" s="29"/>
      <c r="H42" s="29"/>
      <c r="I42" s="29"/>
      <c r="J42" s="29"/>
      <c r="K42" s="29"/>
      <c r="L42" s="29"/>
      <c r="M42" s="29"/>
      <c r="N42" s="29"/>
      <c r="O42" s="29"/>
      <c r="P42" s="29"/>
      <c r="Q42" s="29"/>
      <c r="R42" s="28"/>
      <c r="S42" s="29"/>
      <c r="T42" s="15" t="str">
        <f aca="false">IF(COUNT(J42:M42)=0,"",SUM(J42:M42))</f>
        <v/>
      </c>
      <c r="U42" s="23" t="str">
        <f aca="false">IF(OR(T42="",I42="",I42=0),"",T42/I42)</f>
        <v/>
      </c>
      <c r="V42" s="10" t="str">
        <f aca="false">IF(A42="","",A42-WEEKDAY(A42,2)+1)</f>
        <v/>
      </c>
    </row>
    <row r="43" customFormat="false" ht="15" hidden="false" customHeight="false" outlineLevel="0" collapsed="false">
      <c r="A43" s="28"/>
      <c r="B43" s="29"/>
      <c r="C43" s="29"/>
      <c r="D43" s="29"/>
      <c r="E43" s="29"/>
      <c r="F43" s="29"/>
      <c r="G43" s="29"/>
      <c r="H43" s="29"/>
      <c r="I43" s="29"/>
      <c r="J43" s="29"/>
      <c r="K43" s="29"/>
      <c r="L43" s="29"/>
      <c r="M43" s="29"/>
      <c r="N43" s="29"/>
      <c r="O43" s="29"/>
      <c r="P43" s="29"/>
      <c r="Q43" s="29"/>
      <c r="R43" s="28"/>
      <c r="S43" s="29"/>
      <c r="T43" s="15" t="str">
        <f aca="false">IF(COUNT(J43:M43)=0,"",SUM(J43:M43))</f>
        <v/>
      </c>
      <c r="U43" s="23" t="str">
        <f aca="false">IF(OR(T43="",I43="",I43=0),"",T43/I43)</f>
        <v/>
      </c>
      <c r="V43" s="10" t="str">
        <f aca="false">IF(A43="","",A43-WEEKDAY(A43,2)+1)</f>
        <v/>
      </c>
    </row>
    <row r="44" customFormat="false" ht="15" hidden="false" customHeight="false" outlineLevel="0" collapsed="false">
      <c r="A44" s="28"/>
      <c r="B44" s="29"/>
      <c r="C44" s="29"/>
      <c r="D44" s="29"/>
      <c r="E44" s="29"/>
      <c r="F44" s="29"/>
      <c r="G44" s="29"/>
      <c r="H44" s="29"/>
      <c r="I44" s="29"/>
      <c r="J44" s="29"/>
      <c r="K44" s="29"/>
      <c r="L44" s="29"/>
      <c r="M44" s="29"/>
      <c r="N44" s="29"/>
      <c r="O44" s="29"/>
      <c r="P44" s="29"/>
      <c r="Q44" s="29"/>
      <c r="R44" s="28"/>
      <c r="S44" s="29"/>
      <c r="T44" s="15" t="str">
        <f aca="false">IF(COUNT(J44:M44)=0,"",SUM(J44:M44))</f>
        <v/>
      </c>
      <c r="U44" s="23" t="str">
        <f aca="false">IF(OR(T44="",I44="",I44=0),"",T44/I44)</f>
        <v/>
      </c>
      <c r="V44" s="10" t="str">
        <f aca="false">IF(A44="","",A44-WEEKDAY(A44,2)+1)</f>
        <v/>
      </c>
    </row>
    <row r="45" customFormat="false" ht="15" hidden="false" customHeight="false" outlineLevel="0" collapsed="false">
      <c r="A45" s="28"/>
      <c r="B45" s="29"/>
      <c r="C45" s="29"/>
      <c r="D45" s="29"/>
      <c r="E45" s="29"/>
      <c r="F45" s="29"/>
      <c r="G45" s="29"/>
      <c r="H45" s="29"/>
      <c r="I45" s="29"/>
      <c r="J45" s="29"/>
      <c r="K45" s="29"/>
      <c r="L45" s="29"/>
      <c r="M45" s="29"/>
      <c r="N45" s="29"/>
      <c r="O45" s="29"/>
      <c r="P45" s="29"/>
      <c r="Q45" s="29"/>
      <c r="R45" s="28"/>
      <c r="S45" s="29"/>
      <c r="T45" s="15" t="str">
        <f aca="false">IF(COUNT(J45:M45)=0,"",SUM(J45:M45))</f>
        <v/>
      </c>
      <c r="U45" s="23" t="str">
        <f aca="false">IF(OR(T45="",I45="",I45=0),"",T45/I45)</f>
        <v/>
      </c>
      <c r="V45" s="10" t="str">
        <f aca="false">IF(A45="","",A45-WEEKDAY(A45,2)+1)</f>
        <v/>
      </c>
    </row>
    <row r="46" customFormat="false" ht="15" hidden="false" customHeight="false" outlineLevel="0" collapsed="false">
      <c r="A46" s="28"/>
      <c r="B46" s="29"/>
      <c r="C46" s="29"/>
      <c r="D46" s="29"/>
      <c r="E46" s="29"/>
      <c r="F46" s="29"/>
      <c r="G46" s="29"/>
      <c r="H46" s="29"/>
      <c r="I46" s="29"/>
      <c r="J46" s="29"/>
      <c r="K46" s="29"/>
      <c r="L46" s="29"/>
      <c r="M46" s="29"/>
      <c r="N46" s="29"/>
      <c r="O46" s="29"/>
      <c r="P46" s="29"/>
      <c r="Q46" s="29"/>
      <c r="R46" s="28"/>
      <c r="S46" s="29"/>
      <c r="T46" s="15" t="str">
        <f aca="false">IF(COUNT(J46:M46)=0,"",SUM(J46:M46))</f>
        <v/>
      </c>
      <c r="U46" s="23" t="str">
        <f aca="false">IF(OR(T46="",I46="",I46=0),"",T46/I46)</f>
        <v/>
      </c>
      <c r="V46" s="10" t="str">
        <f aca="false">IF(A46="","",A46-WEEKDAY(A46,2)+1)</f>
        <v/>
      </c>
    </row>
    <row r="47" customFormat="false" ht="15" hidden="false" customHeight="false" outlineLevel="0" collapsed="false">
      <c r="A47" s="28"/>
      <c r="B47" s="29"/>
      <c r="C47" s="29"/>
      <c r="D47" s="29"/>
      <c r="E47" s="29"/>
      <c r="F47" s="29"/>
      <c r="G47" s="29"/>
      <c r="H47" s="29"/>
      <c r="I47" s="29"/>
      <c r="J47" s="29"/>
      <c r="K47" s="29"/>
      <c r="L47" s="29"/>
      <c r="M47" s="29"/>
      <c r="N47" s="29"/>
      <c r="O47" s="29"/>
      <c r="P47" s="29"/>
      <c r="Q47" s="29"/>
      <c r="R47" s="28"/>
      <c r="S47" s="29"/>
      <c r="T47" s="15" t="str">
        <f aca="false">IF(COUNT(J47:M47)=0,"",SUM(J47:M47))</f>
        <v/>
      </c>
      <c r="U47" s="23" t="str">
        <f aca="false">IF(OR(T47="",I47="",I47=0),"",T47/I47)</f>
        <v/>
      </c>
      <c r="V47" s="10" t="str">
        <f aca="false">IF(A47="","",A47-WEEKDAY(A47,2)+1)</f>
        <v/>
      </c>
    </row>
    <row r="48" customFormat="false" ht="15" hidden="false" customHeight="false" outlineLevel="0" collapsed="false">
      <c r="A48" s="28"/>
      <c r="B48" s="29"/>
      <c r="C48" s="29"/>
      <c r="D48" s="29"/>
      <c r="E48" s="29"/>
      <c r="F48" s="29"/>
      <c r="G48" s="29"/>
      <c r="H48" s="29"/>
      <c r="I48" s="29"/>
      <c r="J48" s="29"/>
      <c r="K48" s="29"/>
      <c r="L48" s="29"/>
      <c r="M48" s="29"/>
      <c r="N48" s="29"/>
      <c r="O48" s="29"/>
      <c r="P48" s="29"/>
      <c r="Q48" s="29"/>
      <c r="R48" s="28"/>
      <c r="S48" s="29"/>
      <c r="T48" s="15" t="str">
        <f aca="false">IF(COUNT(J48:M48)=0,"",SUM(J48:M48))</f>
        <v/>
      </c>
      <c r="U48" s="23" t="str">
        <f aca="false">IF(OR(T48="",I48="",I48=0),"",T48/I48)</f>
        <v/>
      </c>
      <c r="V48" s="10" t="str">
        <f aca="false">IF(A48="","",A48-WEEKDAY(A48,2)+1)</f>
        <v/>
      </c>
    </row>
    <row r="49" customFormat="false" ht="15" hidden="false" customHeight="false" outlineLevel="0" collapsed="false">
      <c r="A49" s="28"/>
      <c r="B49" s="29"/>
      <c r="C49" s="29"/>
      <c r="D49" s="29"/>
      <c r="E49" s="29"/>
      <c r="F49" s="29"/>
      <c r="G49" s="29"/>
      <c r="H49" s="29"/>
      <c r="I49" s="29"/>
      <c r="J49" s="29"/>
      <c r="K49" s="29"/>
      <c r="L49" s="29"/>
      <c r="M49" s="29"/>
      <c r="N49" s="29"/>
      <c r="O49" s="29"/>
      <c r="P49" s="29"/>
      <c r="Q49" s="29"/>
      <c r="R49" s="28"/>
      <c r="S49" s="29"/>
      <c r="T49" s="15" t="str">
        <f aca="false">IF(COUNT(J49:M49)=0,"",SUM(J49:M49))</f>
        <v/>
      </c>
      <c r="U49" s="23" t="str">
        <f aca="false">IF(OR(T49="",I49="",I49=0),"",T49/I49)</f>
        <v/>
      </c>
      <c r="V49" s="10" t="str">
        <f aca="false">IF(A49="","",A49-WEEKDAY(A49,2)+1)</f>
        <v/>
      </c>
    </row>
    <row r="50" customFormat="false" ht="15" hidden="false" customHeight="false" outlineLevel="0" collapsed="false">
      <c r="A50" s="28"/>
      <c r="B50" s="29"/>
      <c r="C50" s="29"/>
      <c r="D50" s="29"/>
      <c r="E50" s="29"/>
      <c r="F50" s="29"/>
      <c r="G50" s="29"/>
      <c r="H50" s="29"/>
      <c r="I50" s="29"/>
      <c r="J50" s="29"/>
      <c r="K50" s="29"/>
      <c r="L50" s="29"/>
      <c r="M50" s="29"/>
      <c r="N50" s="29"/>
      <c r="O50" s="29"/>
      <c r="P50" s="29"/>
      <c r="Q50" s="29"/>
      <c r="R50" s="28"/>
      <c r="S50" s="29"/>
      <c r="T50" s="15" t="str">
        <f aca="false">IF(COUNT(J50:M50)=0,"",SUM(J50:M50))</f>
        <v/>
      </c>
      <c r="U50" s="23" t="str">
        <f aca="false">IF(OR(T50="",I50="",I50=0),"",T50/I50)</f>
        <v/>
      </c>
      <c r="V50" s="10" t="str">
        <f aca="false">IF(A50="","",A50-WEEKDAY(A50,2)+1)</f>
        <v/>
      </c>
    </row>
    <row r="51" customFormat="false" ht="15" hidden="false" customHeight="false" outlineLevel="0" collapsed="false">
      <c r="A51" s="28"/>
      <c r="B51" s="29"/>
      <c r="C51" s="29"/>
      <c r="D51" s="29"/>
      <c r="E51" s="29"/>
      <c r="F51" s="29"/>
      <c r="G51" s="29"/>
      <c r="H51" s="29"/>
      <c r="I51" s="29"/>
      <c r="J51" s="29"/>
      <c r="K51" s="29"/>
      <c r="L51" s="29"/>
      <c r="M51" s="29"/>
      <c r="N51" s="29"/>
      <c r="O51" s="29"/>
      <c r="P51" s="29"/>
      <c r="Q51" s="29"/>
      <c r="R51" s="28"/>
      <c r="S51" s="29"/>
      <c r="T51" s="15" t="str">
        <f aca="false">IF(COUNT(J51:M51)=0,"",SUM(J51:M51))</f>
        <v/>
      </c>
      <c r="U51" s="23" t="str">
        <f aca="false">IF(OR(T51="",I51="",I51=0),"",T51/I51)</f>
        <v/>
      </c>
      <c r="V51" s="10" t="str">
        <f aca="false">IF(A51="","",A51-WEEKDAY(A51,2)+1)</f>
        <v/>
      </c>
    </row>
    <row r="52" customFormat="false" ht="15" hidden="false" customHeight="false" outlineLevel="0" collapsed="false">
      <c r="A52" s="28"/>
      <c r="B52" s="29"/>
      <c r="C52" s="29"/>
      <c r="D52" s="29"/>
      <c r="E52" s="29"/>
      <c r="F52" s="29"/>
      <c r="G52" s="29"/>
      <c r="H52" s="29"/>
      <c r="I52" s="29"/>
      <c r="J52" s="29"/>
      <c r="K52" s="29"/>
      <c r="L52" s="29"/>
      <c r="M52" s="29"/>
      <c r="N52" s="29"/>
      <c r="O52" s="29"/>
      <c r="P52" s="29"/>
      <c r="Q52" s="29"/>
      <c r="R52" s="28"/>
      <c r="S52" s="29"/>
      <c r="T52" s="15" t="str">
        <f aca="false">IF(COUNT(J52:M52)=0,"",SUM(J52:M52))</f>
        <v/>
      </c>
      <c r="U52" s="23" t="str">
        <f aca="false">IF(OR(T52="",I52="",I52=0),"",T52/I52)</f>
        <v/>
      </c>
      <c r="V52" s="10" t="str">
        <f aca="false">IF(A52="","",A52-WEEKDAY(A52,2)+1)</f>
        <v/>
      </c>
    </row>
    <row r="53" customFormat="false" ht="15" hidden="false" customHeight="false" outlineLevel="0" collapsed="false">
      <c r="A53" s="28"/>
      <c r="B53" s="29"/>
      <c r="C53" s="29"/>
      <c r="D53" s="29"/>
      <c r="E53" s="29"/>
      <c r="F53" s="29"/>
      <c r="G53" s="29"/>
      <c r="H53" s="29"/>
      <c r="I53" s="29"/>
      <c r="J53" s="29"/>
      <c r="K53" s="29"/>
      <c r="L53" s="29"/>
      <c r="M53" s="29"/>
      <c r="N53" s="29"/>
      <c r="O53" s="29"/>
      <c r="P53" s="29"/>
      <c r="Q53" s="29"/>
      <c r="R53" s="28"/>
      <c r="S53" s="29"/>
      <c r="T53" s="15" t="str">
        <f aca="false">IF(COUNT(J53:M53)=0,"",SUM(J53:M53))</f>
        <v/>
      </c>
      <c r="U53" s="23" t="str">
        <f aca="false">IF(OR(T53="",I53="",I53=0),"",T53/I53)</f>
        <v/>
      </c>
      <c r="V53" s="10" t="str">
        <f aca="false">IF(A53="","",A53-WEEKDAY(A53,2)+1)</f>
        <v/>
      </c>
    </row>
    <row r="54" customFormat="false" ht="15" hidden="false" customHeight="false" outlineLevel="0" collapsed="false">
      <c r="A54" s="28"/>
      <c r="B54" s="29"/>
      <c r="C54" s="29"/>
      <c r="D54" s="29"/>
      <c r="E54" s="29"/>
      <c r="F54" s="29"/>
      <c r="G54" s="29"/>
      <c r="H54" s="29"/>
      <c r="I54" s="29"/>
      <c r="J54" s="29"/>
      <c r="K54" s="29"/>
      <c r="L54" s="29"/>
      <c r="M54" s="29"/>
      <c r="N54" s="29"/>
      <c r="O54" s="29"/>
      <c r="P54" s="29"/>
      <c r="Q54" s="29"/>
      <c r="R54" s="28"/>
      <c r="S54" s="29"/>
      <c r="T54" s="15" t="str">
        <f aca="false">IF(COUNT(J54:M54)=0,"",SUM(J54:M54))</f>
        <v/>
      </c>
      <c r="U54" s="23" t="str">
        <f aca="false">IF(OR(T54="",I54="",I54=0),"",T54/I54)</f>
        <v/>
      </c>
      <c r="V54" s="10" t="str">
        <f aca="false">IF(A54="","",A54-WEEKDAY(A54,2)+1)</f>
        <v/>
      </c>
    </row>
    <row r="55" customFormat="false" ht="15" hidden="false" customHeight="false" outlineLevel="0" collapsed="false">
      <c r="A55" s="28"/>
      <c r="B55" s="29"/>
      <c r="C55" s="29"/>
      <c r="D55" s="29"/>
      <c r="E55" s="29"/>
      <c r="F55" s="29"/>
      <c r="G55" s="29"/>
      <c r="H55" s="29"/>
      <c r="I55" s="29"/>
      <c r="J55" s="29"/>
      <c r="K55" s="29"/>
      <c r="L55" s="29"/>
      <c r="M55" s="29"/>
      <c r="N55" s="29"/>
      <c r="O55" s="29"/>
      <c r="P55" s="29"/>
      <c r="Q55" s="29"/>
      <c r="R55" s="28"/>
      <c r="S55" s="29"/>
      <c r="T55" s="15" t="str">
        <f aca="false">IF(COUNT(J55:M55)=0,"",SUM(J55:M55))</f>
        <v/>
      </c>
      <c r="U55" s="23" t="str">
        <f aca="false">IF(OR(T55="",I55="",I55=0),"",T55/I55)</f>
        <v/>
      </c>
      <c r="V55" s="10" t="str">
        <f aca="false">IF(A55="","",A55-WEEKDAY(A55,2)+1)</f>
        <v/>
      </c>
    </row>
    <row r="56" customFormat="false" ht="15" hidden="false" customHeight="false" outlineLevel="0" collapsed="false">
      <c r="A56" s="28"/>
      <c r="B56" s="29"/>
      <c r="C56" s="29"/>
      <c r="D56" s="29"/>
      <c r="E56" s="29"/>
      <c r="F56" s="29"/>
      <c r="G56" s="29"/>
      <c r="H56" s="29"/>
      <c r="I56" s="29"/>
      <c r="J56" s="29"/>
      <c r="K56" s="29"/>
      <c r="L56" s="29"/>
      <c r="M56" s="29"/>
      <c r="N56" s="29"/>
      <c r="O56" s="29"/>
      <c r="P56" s="29"/>
      <c r="Q56" s="29"/>
      <c r="R56" s="28"/>
      <c r="S56" s="29"/>
      <c r="T56" s="15" t="str">
        <f aca="false">IF(COUNT(J56:M56)=0,"",SUM(J56:M56))</f>
        <v/>
      </c>
      <c r="U56" s="23" t="str">
        <f aca="false">IF(OR(T56="",I56="",I56=0),"",T56/I56)</f>
        <v/>
      </c>
      <c r="V56" s="10" t="str">
        <f aca="false">IF(A56="","",A56-WEEKDAY(A56,2)+1)</f>
        <v/>
      </c>
    </row>
    <row r="57" customFormat="false" ht="15" hidden="false" customHeight="false" outlineLevel="0" collapsed="false">
      <c r="A57" s="28"/>
      <c r="B57" s="29"/>
      <c r="C57" s="29"/>
      <c r="D57" s="29"/>
      <c r="E57" s="29"/>
      <c r="F57" s="29"/>
      <c r="G57" s="29"/>
      <c r="H57" s="29"/>
      <c r="I57" s="29"/>
      <c r="J57" s="29"/>
      <c r="K57" s="29"/>
      <c r="L57" s="29"/>
      <c r="M57" s="29"/>
      <c r="N57" s="29"/>
      <c r="O57" s="29"/>
      <c r="P57" s="29"/>
      <c r="Q57" s="29"/>
      <c r="R57" s="28"/>
      <c r="S57" s="29"/>
      <c r="T57" s="15" t="str">
        <f aca="false">IF(COUNT(J57:M57)=0,"",SUM(J57:M57))</f>
        <v/>
      </c>
      <c r="U57" s="23" t="str">
        <f aca="false">IF(OR(T57="",I57="",I57=0),"",T57/I57)</f>
        <v/>
      </c>
      <c r="V57" s="10" t="str">
        <f aca="false">IF(A57="","",A57-WEEKDAY(A57,2)+1)</f>
        <v/>
      </c>
    </row>
    <row r="58" customFormat="false" ht="15" hidden="false" customHeight="false" outlineLevel="0" collapsed="false">
      <c r="A58" s="28"/>
      <c r="B58" s="29"/>
      <c r="C58" s="29"/>
      <c r="D58" s="29"/>
      <c r="E58" s="29"/>
      <c r="F58" s="29"/>
      <c r="G58" s="29"/>
      <c r="H58" s="29"/>
      <c r="I58" s="29"/>
      <c r="J58" s="29"/>
      <c r="K58" s="29"/>
      <c r="L58" s="29"/>
      <c r="M58" s="29"/>
      <c r="N58" s="29"/>
      <c r="O58" s="29"/>
      <c r="P58" s="29"/>
      <c r="Q58" s="29"/>
      <c r="R58" s="28"/>
      <c r="S58" s="29"/>
      <c r="T58" s="15" t="str">
        <f aca="false">IF(COUNT(J58:M58)=0,"",SUM(J58:M58))</f>
        <v/>
      </c>
      <c r="U58" s="23" t="str">
        <f aca="false">IF(OR(T58="",I58="",I58=0),"",T58/I58)</f>
        <v/>
      </c>
      <c r="V58" s="10" t="str">
        <f aca="false">IF(A58="","",A58-WEEKDAY(A58,2)+1)</f>
        <v/>
      </c>
    </row>
    <row r="59" customFormat="false" ht="15" hidden="false" customHeight="false" outlineLevel="0" collapsed="false">
      <c r="A59" s="28"/>
      <c r="B59" s="29"/>
      <c r="C59" s="29"/>
      <c r="D59" s="29"/>
      <c r="E59" s="29"/>
      <c r="F59" s="29"/>
      <c r="G59" s="29"/>
      <c r="H59" s="29"/>
      <c r="I59" s="29"/>
      <c r="J59" s="29"/>
      <c r="K59" s="29"/>
      <c r="L59" s="29"/>
      <c r="M59" s="29"/>
      <c r="N59" s="29"/>
      <c r="O59" s="29"/>
      <c r="P59" s="29"/>
      <c r="Q59" s="29"/>
      <c r="R59" s="28"/>
      <c r="S59" s="29"/>
      <c r="T59" s="15" t="str">
        <f aca="false">IF(COUNT(J59:M59)=0,"",SUM(J59:M59))</f>
        <v/>
      </c>
      <c r="U59" s="23" t="str">
        <f aca="false">IF(OR(T59="",I59="",I59=0),"",T59/I59)</f>
        <v/>
      </c>
      <c r="V59" s="10" t="str">
        <f aca="false">IF(A59="","",A59-WEEKDAY(A59,2)+1)</f>
        <v/>
      </c>
    </row>
    <row r="60" customFormat="false" ht="15" hidden="false" customHeight="false" outlineLevel="0" collapsed="false">
      <c r="A60" s="28"/>
      <c r="B60" s="29"/>
      <c r="C60" s="29"/>
      <c r="D60" s="29"/>
      <c r="E60" s="29"/>
      <c r="F60" s="29"/>
      <c r="G60" s="29"/>
      <c r="H60" s="29"/>
      <c r="I60" s="29"/>
      <c r="J60" s="29"/>
      <c r="K60" s="29"/>
      <c r="L60" s="29"/>
      <c r="M60" s="29"/>
      <c r="N60" s="29"/>
      <c r="O60" s="29"/>
      <c r="P60" s="29"/>
      <c r="Q60" s="29"/>
      <c r="R60" s="28"/>
      <c r="S60" s="29"/>
      <c r="T60" s="15" t="str">
        <f aca="false">IF(COUNT(J60:M60)=0,"",SUM(J60:M60))</f>
        <v/>
      </c>
      <c r="U60" s="23" t="str">
        <f aca="false">IF(OR(T60="",I60="",I60=0),"",T60/I60)</f>
        <v/>
      </c>
      <c r="V60" s="10" t="str">
        <f aca="false">IF(A60="","",A60-WEEKDAY(A60,2)+1)</f>
        <v/>
      </c>
    </row>
    <row r="61" customFormat="false" ht="15" hidden="false" customHeight="false" outlineLevel="0" collapsed="false">
      <c r="A61" s="28"/>
      <c r="B61" s="29"/>
      <c r="C61" s="29"/>
      <c r="D61" s="29"/>
      <c r="E61" s="29"/>
      <c r="F61" s="29"/>
      <c r="G61" s="29"/>
      <c r="H61" s="29"/>
      <c r="I61" s="29"/>
      <c r="J61" s="29"/>
      <c r="K61" s="29"/>
      <c r="L61" s="29"/>
      <c r="M61" s="29"/>
      <c r="N61" s="29"/>
      <c r="O61" s="29"/>
      <c r="P61" s="29"/>
      <c r="Q61" s="29"/>
      <c r="R61" s="28"/>
      <c r="S61" s="29"/>
      <c r="T61" s="15" t="str">
        <f aca="false">IF(COUNT(J61:M61)=0,"",SUM(J61:M61))</f>
        <v/>
      </c>
      <c r="U61" s="23" t="str">
        <f aca="false">IF(OR(T61="",I61="",I61=0),"",T61/I61)</f>
        <v/>
      </c>
      <c r="V61" s="10" t="str">
        <f aca="false">IF(A61="","",A61-WEEKDAY(A61,2)+1)</f>
        <v/>
      </c>
    </row>
    <row r="62" customFormat="false" ht="15" hidden="false" customHeight="false" outlineLevel="0" collapsed="false">
      <c r="A62" s="28"/>
      <c r="B62" s="29"/>
      <c r="C62" s="29"/>
      <c r="D62" s="29"/>
      <c r="E62" s="29"/>
      <c r="F62" s="29"/>
      <c r="G62" s="29"/>
      <c r="H62" s="29"/>
      <c r="I62" s="29"/>
      <c r="J62" s="29"/>
      <c r="K62" s="29"/>
      <c r="L62" s="29"/>
      <c r="M62" s="29"/>
      <c r="N62" s="29"/>
      <c r="O62" s="29"/>
      <c r="P62" s="29"/>
      <c r="Q62" s="29"/>
      <c r="R62" s="28"/>
      <c r="S62" s="29"/>
      <c r="T62" s="15" t="str">
        <f aca="false">IF(COUNT(J62:M62)=0,"",SUM(J62:M62))</f>
        <v/>
      </c>
      <c r="U62" s="23" t="str">
        <f aca="false">IF(OR(T62="",I62="",I62=0),"",T62/I62)</f>
        <v/>
      </c>
      <c r="V62" s="10" t="str">
        <f aca="false">IF(A62="","",A62-WEEKDAY(A62,2)+1)</f>
        <v/>
      </c>
    </row>
    <row r="63" customFormat="false" ht="15" hidden="false" customHeight="false" outlineLevel="0" collapsed="false">
      <c r="A63" s="28"/>
      <c r="B63" s="29"/>
      <c r="C63" s="29"/>
      <c r="D63" s="29"/>
      <c r="E63" s="29"/>
      <c r="F63" s="29"/>
      <c r="G63" s="29"/>
      <c r="H63" s="29"/>
      <c r="I63" s="29"/>
      <c r="J63" s="29"/>
      <c r="K63" s="29"/>
      <c r="L63" s="29"/>
      <c r="M63" s="29"/>
      <c r="N63" s="29"/>
      <c r="O63" s="29"/>
      <c r="P63" s="29"/>
      <c r="Q63" s="29"/>
      <c r="R63" s="28"/>
      <c r="S63" s="29"/>
      <c r="T63" s="15" t="str">
        <f aca="false">IF(COUNT(J63:M63)=0,"",SUM(J63:M63))</f>
        <v/>
      </c>
      <c r="U63" s="23" t="str">
        <f aca="false">IF(OR(T63="",I63="",I63=0),"",T63/I63)</f>
        <v/>
      </c>
      <c r="V63" s="10" t="str">
        <f aca="false">IF(A63="","",A63-WEEKDAY(A63,2)+1)</f>
        <v/>
      </c>
    </row>
    <row r="64" customFormat="false" ht="15" hidden="false" customHeight="false" outlineLevel="0" collapsed="false">
      <c r="A64" s="28"/>
      <c r="B64" s="29"/>
      <c r="C64" s="29"/>
      <c r="D64" s="29"/>
      <c r="E64" s="29"/>
      <c r="F64" s="29"/>
      <c r="G64" s="29"/>
      <c r="H64" s="29"/>
      <c r="I64" s="29"/>
      <c r="J64" s="29"/>
      <c r="K64" s="29"/>
      <c r="L64" s="29"/>
      <c r="M64" s="29"/>
      <c r="N64" s="29"/>
      <c r="O64" s="29"/>
      <c r="P64" s="29"/>
      <c r="Q64" s="29"/>
      <c r="R64" s="28"/>
      <c r="S64" s="29"/>
      <c r="T64" s="15" t="str">
        <f aca="false">IF(COUNT(J64:M64)=0,"",SUM(J64:M64))</f>
        <v/>
      </c>
      <c r="U64" s="23" t="str">
        <f aca="false">IF(OR(T64="",I64="",I64=0),"",T64/I64)</f>
        <v/>
      </c>
      <c r="V64" s="10" t="str">
        <f aca="false">IF(A64="","",A64-WEEKDAY(A64,2)+1)</f>
        <v/>
      </c>
    </row>
    <row r="65" customFormat="false" ht="15" hidden="false" customHeight="false" outlineLevel="0" collapsed="false">
      <c r="A65" s="28"/>
      <c r="B65" s="29"/>
      <c r="C65" s="29"/>
      <c r="D65" s="29"/>
      <c r="E65" s="29"/>
      <c r="F65" s="29"/>
      <c r="G65" s="29"/>
      <c r="H65" s="29"/>
      <c r="I65" s="29"/>
      <c r="J65" s="29"/>
      <c r="K65" s="29"/>
      <c r="L65" s="29"/>
      <c r="M65" s="29"/>
      <c r="N65" s="29"/>
      <c r="O65" s="29"/>
      <c r="P65" s="29"/>
      <c r="Q65" s="29"/>
      <c r="R65" s="28"/>
      <c r="S65" s="29"/>
      <c r="T65" s="15" t="str">
        <f aca="false">IF(COUNT(J65:M65)=0,"",SUM(J65:M65))</f>
        <v/>
      </c>
      <c r="U65" s="23" t="str">
        <f aca="false">IF(OR(T65="",I65="",I65=0),"",T65/I65)</f>
        <v/>
      </c>
      <c r="V65" s="10" t="str">
        <f aca="false">IF(A65="","",A65-WEEKDAY(A65,2)+1)</f>
        <v/>
      </c>
    </row>
    <row r="66" customFormat="false" ht="15" hidden="false" customHeight="false" outlineLevel="0" collapsed="false">
      <c r="A66" s="28"/>
      <c r="B66" s="29"/>
      <c r="C66" s="29"/>
      <c r="D66" s="29"/>
      <c r="E66" s="29"/>
      <c r="F66" s="29"/>
      <c r="G66" s="29"/>
      <c r="H66" s="29"/>
      <c r="I66" s="29"/>
      <c r="J66" s="29"/>
      <c r="K66" s="29"/>
      <c r="L66" s="29"/>
      <c r="M66" s="29"/>
      <c r="N66" s="29"/>
      <c r="O66" s="29"/>
      <c r="P66" s="29"/>
      <c r="Q66" s="29"/>
      <c r="R66" s="28"/>
      <c r="S66" s="29"/>
      <c r="T66" s="15" t="str">
        <f aca="false">IF(COUNT(J66:M66)=0,"",SUM(J66:M66))</f>
        <v/>
      </c>
      <c r="U66" s="23" t="str">
        <f aca="false">IF(OR(T66="",I66="",I66=0),"",T66/I66)</f>
        <v/>
      </c>
      <c r="V66" s="10" t="str">
        <f aca="false">IF(A66="","",A66-WEEKDAY(A66,2)+1)</f>
        <v/>
      </c>
    </row>
    <row r="67" customFormat="false" ht="15" hidden="false" customHeight="false" outlineLevel="0" collapsed="false">
      <c r="A67" s="28"/>
      <c r="B67" s="29"/>
      <c r="C67" s="29"/>
      <c r="D67" s="29"/>
      <c r="E67" s="29"/>
      <c r="F67" s="29"/>
      <c r="G67" s="29"/>
      <c r="H67" s="29"/>
      <c r="I67" s="29"/>
      <c r="J67" s="29"/>
      <c r="K67" s="29"/>
      <c r="L67" s="29"/>
      <c r="M67" s="29"/>
      <c r="N67" s="29"/>
      <c r="O67" s="29"/>
      <c r="P67" s="29"/>
      <c r="Q67" s="29"/>
      <c r="R67" s="28"/>
      <c r="S67" s="29"/>
      <c r="T67" s="15" t="str">
        <f aca="false">IF(COUNT(J67:M67)=0,"",SUM(J67:M67))</f>
        <v/>
      </c>
      <c r="U67" s="23" t="str">
        <f aca="false">IF(OR(T67="",I67="",I67=0),"",T67/I67)</f>
        <v/>
      </c>
      <c r="V67" s="10" t="str">
        <f aca="false">IF(A67="","",A67-WEEKDAY(A67,2)+1)</f>
        <v/>
      </c>
    </row>
    <row r="68" customFormat="false" ht="15" hidden="false" customHeight="false" outlineLevel="0" collapsed="false">
      <c r="A68" s="28"/>
      <c r="B68" s="29"/>
      <c r="C68" s="29"/>
      <c r="D68" s="29"/>
      <c r="E68" s="29"/>
      <c r="F68" s="29"/>
      <c r="G68" s="29"/>
      <c r="H68" s="29"/>
      <c r="I68" s="29"/>
      <c r="J68" s="29"/>
      <c r="K68" s="29"/>
      <c r="L68" s="29"/>
      <c r="M68" s="29"/>
      <c r="N68" s="29"/>
      <c r="O68" s="29"/>
      <c r="P68" s="29"/>
      <c r="Q68" s="29"/>
      <c r="R68" s="28"/>
      <c r="S68" s="29"/>
      <c r="T68" s="15" t="str">
        <f aca="false">IF(COUNT(J68:M68)=0,"",SUM(J68:M68))</f>
        <v/>
      </c>
      <c r="U68" s="23" t="str">
        <f aca="false">IF(OR(T68="",I68="",I68=0),"",T68/I68)</f>
        <v/>
      </c>
      <c r="V68" s="10" t="str">
        <f aca="false">IF(A68="","",A68-WEEKDAY(A68,2)+1)</f>
        <v/>
      </c>
    </row>
    <row r="69" customFormat="false" ht="15" hidden="false" customHeight="false" outlineLevel="0" collapsed="false">
      <c r="A69" s="28"/>
      <c r="B69" s="29"/>
      <c r="C69" s="29"/>
      <c r="D69" s="29"/>
      <c r="E69" s="29"/>
      <c r="F69" s="29"/>
      <c r="G69" s="29"/>
      <c r="H69" s="29"/>
      <c r="I69" s="29"/>
      <c r="J69" s="29"/>
      <c r="K69" s="29"/>
      <c r="L69" s="29"/>
      <c r="M69" s="29"/>
      <c r="N69" s="29"/>
      <c r="O69" s="29"/>
      <c r="P69" s="29"/>
      <c r="Q69" s="29"/>
      <c r="R69" s="28"/>
      <c r="S69" s="29"/>
      <c r="T69" s="15" t="str">
        <f aca="false">IF(COUNT(J69:M69)=0,"",SUM(J69:M69))</f>
        <v/>
      </c>
      <c r="U69" s="23" t="str">
        <f aca="false">IF(OR(T69="",I69="",I69=0),"",T69/I69)</f>
        <v/>
      </c>
      <c r="V69" s="10" t="str">
        <f aca="false">IF(A69="","",A69-WEEKDAY(A69,2)+1)</f>
        <v/>
      </c>
    </row>
    <row r="70" customFormat="false" ht="15" hidden="false" customHeight="false" outlineLevel="0" collapsed="false">
      <c r="A70" s="28"/>
      <c r="B70" s="29"/>
      <c r="C70" s="29"/>
      <c r="D70" s="29"/>
      <c r="E70" s="29"/>
      <c r="F70" s="29"/>
      <c r="G70" s="29"/>
      <c r="H70" s="29"/>
      <c r="I70" s="29"/>
      <c r="J70" s="29"/>
      <c r="K70" s="29"/>
      <c r="L70" s="29"/>
      <c r="M70" s="29"/>
      <c r="N70" s="29"/>
      <c r="O70" s="29"/>
      <c r="P70" s="29"/>
      <c r="Q70" s="29"/>
      <c r="R70" s="28"/>
      <c r="S70" s="29"/>
      <c r="T70" s="15" t="str">
        <f aca="false">IF(COUNT(J70:M70)=0,"",SUM(J70:M70))</f>
        <v/>
      </c>
      <c r="U70" s="23" t="str">
        <f aca="false">IF(OR(T70="",I70="",I70=0),"",T70/I70)</f>
        <v/>
      </c>
      <c r="V70" s="10" t="str">
        <f aca="false">IF(A70="","",A70-WEEKDAY(A70,2)+1)</f>
        <v/>
      </c>
    </row>
    <row r="71" customFormat="false" ht="15" hidden="false" customHeight="false" outlineLevel="0" collapsed="false">
      <c r="A71" s="28"/>
      <c r="B71" s="29"/>
      <c r="C71" s="29"/>
      <c r="D71" s="29"/>
      <c r="E71" s="29"/>
      <c r="F71" s="29"/>
      <c r="G71" s="29"/>
      <c r="H71" s="29"/>
      <c r="I71" s="29"/>
      <c r="J71" s="29"/>
      <c r="K71" s="29"/>
      <c r="L71" s="29"/>
      <c r="M71" s="29"/>
      <c r="N71" s="29"/>
      <c r="O71" s="29"/>
      <c r="P71" s="29"/>
      <c r="Q71" s="29"/>
      <c r="R71" s="28"/>
      <c r="S71" s="29"/>
      <c r="T71" s="15" t="str">
        <f aca="false">IF(COUNT(J71:M71)=0,"",SUM(J71:M71))</f>
        <v/>
      </c>
      <c r="U71" s="23" t="str">
        <f aca="false">IF(OR(T71="",I71="",I71=0),"",T71/I71)</f>
        <v/>
      </c>
      <c r="V71" s="10" t="str">
        <f aca="false">IF(A71="","",A71-WEEKDAY(A71,2)+1)</f>
        <v/>
      </c>
    </row>
    <row r="72" customFormat="false" ht="15" hidden="false" customHeight="false" outlineLevel="0" collapsed="false">
      <c r="A72" s="28"/>
      <c r="B72" s="29"/>
      <c r="C72" s="29"/>
      <c r="D72" s="29"/>
      <c r="E72" s="29"/>
      <c r="F72" s="29"/>
      <c r="G72" s="29"/>
      <c r="H72" s="29"/>
      <c r="I72" s="29"/>
      <c r="J72" s="29"/>
      <c r="K72" s="29"/>
      <c r="L72" s="29"/>
      <c r="M72" s="29"/>
      <c r="N72" s="29"/>
      <c r="O72" s="29"/>
      <c r="P72" s="29"/>
      <c r="Q72" s="29"/>
      <c r="R72" s="28"/>
      <c r="S72" s="29"/>
      <c r="T72" s="15" t="str">
        <f aca="false">IF(COUNT(J72:M72)=0,"",SUM(J72:M72))</f>
        <v/>
      </c>
      <c r="U72" s="23" t="str">
        <f aca="false">IF(OR(T72="",I72="",I72=0),"",T72/I72)</f>
        <v/>
      </c>
      <c r="V72" s="10" t="str">
        <f aca="false">IF(A72="","",A72-WEEKDAY(A72,2)+1)</f>
        <v/>
      </c>
    </row>
    <row r="73" customFormat="false" ht="15" hidden="false" customHeight="false" outlineLevel="0" collapsed="false">
      <c r="A73" s="28"/>
      <c r="B73" s="29"/>
      <c r="C73" s="29"/>
      <c r="D73" s="29"/>
      <c r="E73" s="29"/>
      <c r="F73" s="29"/>
      <c r="G73" s="29"/>
      <c r="H73" s="29"/>
      <c r="I73" s="29"/>
      <c r="J73" s="29"/>
      <c r="K73" s="29"/>
      <c r="L73" s="29"/>
      <c r="M73" s="29"/>
      <c r="N73" s="29"/>
      <c r="O73" s="29"/>
      <c r="P73" s="29"/>
      <c r="Q73" s="29"/>
      <c r="R73" s="28"/>
      <c r="S73" s="29"/>
      <c r="T73" s="15" t="str">
        <f aca="false">IF(COUNT(J73:M73)=0,"",SUM(J73:M73))</f>
        <v/>
      </c>
      <c r="U73" s="23" t="str">
        <f aca="false">IF(OR(T73="",I73="",I73=0),"",T73/I73)</f>
        <v/>
      </c>
      <c r="V73" s="10" t="str">
        <f aca="false">IF(A73="","",A73-WEEKDAY(A73,2)+1)</f>
        <v/>
      </c>
    </row>
    <row r="74" customFormat="false" ht="15" hidden="false" customHeight="false" outlineLevel="0" collapsed="false">
      <c r="A74" s="28"/>
      <c r="B74" s="29"/>
      <c r="C74" s="29"/>
      <c r="D74" s="29"/>
      <c r="E74" s="29"/>
      <c r="F74" s="29"/>
      <c r="G74" s="29"/>
      <c r="H74" s="29"/>
      <c r="I74" s="29"/>
      <c r="J74" s="29"/>
      <c r="K74" s="29"/>
      <c r="L74" s="29"/>
      <c r="M74" s="29"/>
      <c r="N74" s="29"/>
      <c r="O74" s="29"/>
      <c r="P74" s="29"/>
      <c r="Q74" s="29"/>
      <c r="R74" s="28"/>
      <c r="S74" s="29"/>
      <c r="T74" s="15" t="str">
        <f aca="false">IF(COUNT(J74:M74)=0,"",SUM(J74:M74))</f>
        <v/>
      </c>
      <c r="U74" s="23" t="str">
        <f aca="false">IF(OR(T74="",I74="",I74=0),"",T74/I74)</f>
        <v/>
      </c>
      <c r="V74" s="10" t="str">
        <f aca="false">IF(A74="","",A74-WEEKDAY(A74,2)+1)</f>
        <v/>
      </c>
    </row>
    <row r="75" customFormat="false" ht="15" hidden="false" customHeight="false" outlineLevel="0" collapsed="false">
      <c r="A75" s="28"/>
      <c r="B75" s="29"/>
      <c r="C75" s="29"/>
      <c r="D75" s="29"/>
      <c r="E75" s="29"/>
      <c r="F75" s="29"/>
      <c r="G75" s="29"/>
      <c r="H75" s="29"/>
      <c r="I75" s="29"/>
      <c r="J75" s="29"/>
      <c r="K75" s="29"/>
      <c r="L75" s="29"/>
      <c r="M75" s="29"/>
      <c r="N75" s="29"/>
      <c r="O75" s="29"/>
      <c r="P75" s="29"/>
      <c r="Q75" s="29"/>
      <c r="R75" s="28"/>
      <c r="S75" s="29"/>
      <c r="T75" s="15" t="str">
        <f aca="false">IF(COUNT(J75:M75)=0,"",SUM(J75:M75))</f>
        <v/>
      </c>
      <c r="U75" s="23" t="str">
        <f aca="false">IF(OR(T75="",I75="",I75=0),"",T75/I75)</f>
        <v/>
      </c>
      <c r="V75" s="10" t="str">
        <f aca="false">IF(A75="","",A75-WEEKDAY(A75,2)+1)</f>
        <v/>
      </c>
    </row>
    <row r="76" customFormat="false" ht="15" hidden="false" customHeight="false" outlineLevel="0" collapsed="false">
      <c r="A76" s="28"/>
      <c r="B76" s="29"/>
      <c r="C76" s="29"/>
      <c r="D76" s="29"/>
      <c r="E76" s="29"/>
      <c r="F76" s="29"/>
      <c r="G76" s="29"/>
      <c r="H76" s="29"/>
      <c r="I76" s="29"/>
      <c r="J76" s="29"/>
      <c r="K76" s="29"/>
      <c r="L76" s="29"/>
      <c r="M76" s="29"/>
      <c r="N76" s="29"/>
      <c r="O76" s="29"/>
      <c r="P76" s="29"/>
      <c r="Q76" s="29"/>
      <c r="R76" s="28"/>
      <c r="S76" s="29"/>
      <c r="T76" s="15" t="str">
        <f aca="false">IF(COUNT(J76:M76)=0,"",SUM(J76:M76))</f>
        <v/>
      </c>
      <c r="U76" s="23" t="str">
        <f aca="false">IF(OR(T76="",I76="",I76=0),"",T76/I76)</f>
        <v/>
      </c>
      <c r="V76" s="10" t="str">
        <f aca="false">IF(A76="","",A76-WEEKDAY(A76,2)+1)</f>
        <v/>
      </c>
    </row>
    <row r="77" customFormat="false" ht="15" hidden="false" customHeight="false" outlineLevel="0" collapsed="false">
      <c r="A77" s="28"/>
      <c r="B77" s="29"/>
      <c r="C77" s="29"/>
      <c r="D77" s="29"/>
      <c r="E77" s="29"/>
      <c r="F77" s="29"/>
      <c r="G77" s="29"/>
      <c r="H77" s="29"/>
      <c r="I77" s="29"/>
      <c r="J77" s="29"/>
      <c r="K77" s="29"/>
      <c r="L77" s="29"/>
      <c r="M77" s="29"/>
      <c r="N77" s="29"/>
      <c r="O77" s="29"/>
      <c r="P77" s="29"/>
      <c r="Q77" s="29"/>
      <c r="R77" s="28"/>
      <c r="S77" s="29"/>
      <c r="T77" s="15" t="str">
        <f aca="false">IF(COUNT(J77:M77)=0,"",SUM(J77:M77))</f>
        <v/>
      </c>
      <c r="U77" s="23" t="str">
        <f aca="false">IF(OR(T77="",I77="",I77=0),"",T77/I77)</f>
        <v/>
      </c>
      <c r="V77" s="10" t="str">
        <f aca="false">IF(A77="","",A77-WEEKDAY(A77,2)+1)</f>
        <v/>
      </c>
    </row>
    <row r="78" customFormat="false" ht="15" hidden="false" customHeight="false" outlineLevel="0" collapsed="false">
      <c r="A78" s="28"/>
      <c r="B78" s="29"/>
      <c r="C78" s="29"/>
      <c r="D78" s="29"/>
      <c r="E78" s="29"/>
      <c r="F78" s="29"/>
      <c r="G78" s="29"/>
      <c r="H78" s="29"/>
      <c r="I78" s="29"/>
      <c r="J78" s="29"/>
      <c r="K78" s="29"/>
      <c r="L78" s="29"/>
      <c r="M78" s="29"/>
      <c r="N78" s="29"/>
      <c r="O78" s="29"/>
      <c r="P78" s="29"/>
      <c r="Q78" s="29"/>
      <c r="R78" s="28"/>
      <c r="S78" s="29"/>
      <c r="T78" s="15" t="str">
        <f aca="false">IF(COUNT(J78:M78)=0,"",SUM(J78:M78))</f>
        <v/>
      </c>
      <c r="U78" s="23" t="str">
        <f aca="false">IF(OR(T78="",I78="",I78=0),"",T78/I78)</f>
        <v/>
      </c>
      <c r="V78" s="10" t="str">
        <f aca="false">IF(A78="","",A78-WEEKDAY(A78,2)+1)</f>
        <v/>
      </c>
    </row>
    <row r="79" customFormat="false" ht="15" hidden="false" customHeight="false" outlineLevel="0" collapsed="false">
      <c r="A79" s="28"/>
      <c r="B79" s="29"/>
      <c r="C79" s="29"/>
      <c r="D79" s="29"/>
      <c r="E79" s="29"/>
      <c r="F79" s="29"/>
      <c r="G79" s="29"/>
      <c r="H79" s="29"/>
      <c r="I79" s="29"/>
      <c r="J79" s="29"/>
      <c r="K79" s="29"/>
      <c r="L79" s="29"/>
      <c r="M79" s="29"/>
      <c r="N79" s="29"/>
      <c r="O79" s="29"/>
      <c r="P79" s="29"/>
      <c r="Q79" s="29"/>
      <c r="R79" s="28"/>
      <c r="S79" s="29"/>
      <c r="T79" s="15" t="str">
        <f aca="false">IF(COUNT(J79:M79)=0,"",SUM(J79:M79))</f>
        <v/>
      </c>
      <c r="U79" s="23" t="str">
        <f aca="false">IF(OR(T79="",I79="",I79=0),"",T79/I79)</f>
        <v/>
      </c>
      <c r="V79" s="10" t="str">
        <f aca="false">IF(A79="","",A79-WEEKDAY(A79,2)+1)</f>
        <v/>
      </c>
    </row>
    <row r="80" customFormat="false" ht="15" hidden="false" customHeight="false" outlineLevel="0" collapsed="false">
      <c r="A80" s="28"/>
      <c r="B80" s="29"/>
      <c r="C80" s="29"/>
      <c r="D80" s="29"/>
      <c r="E80" s="29"/>
      <c r="F80" s="29"/>
      <c r="G80" s="29"/>
      <c r="H80" s="29"/>
      <c r="I80" s="29"/>
      <c r="J80" s="29"/>
      <c r="K80" s="29"/>
      <c r="L80" s="29"/>
      <c r="M80" s="29"/>
      <c r="N80" s="29"/>
      <c r="O80" s="29"/>
      <c r="P80" s="29"/>
      <c r="Q80" s="29"/>
      <c r="R80" s="28"/>
      <c r="S80" s="29"/>
      <c r="T80" s="15" t="str">
        <f aca="false">IF(COUNT(J80:M80)=0,"",SUM(J80:M80))</f>
        <v/>
      </c>
      <c r="U80" s="23" t="str">
        <f aca="false">IF(OR(T80="",I80="",I80=0),"",T80/I80)</f>
        <v/>
      </c>
      <c r="V80" s="10" t="str">
        <f aca="false">IF(A80="","",A80-WEEKDAY(A80,2)+1)</f>
        <v/>
      </c>
    </row>
    <row r="81" customFormat="false" ht="15" hidden="false" customHeight="false" outlineLevel="0" collapsed="false">
      <c r="A81" s="28"/>
      <c r="B81" s="29"/>
      <c r="C81" s="29"/>
      <c r="D81" s="29"/>
      <c r="E81" s="29"/>
      <c r="F81" s="29"/>
      <c r="G81" s="29"/>
      <c r="H81" s="29"/>
      <c r="I81" s="29"/>
      <c r="J81" s="29"/>
      <c r="K81" s="29"/>
      <c r="L81" s="29"/>
      <c r="M81" s="29"/>
      <c r="N81" s="29"/>
      <c r="O81" s="29"/>
      <c r="P81" s="29"/>
      <c r="Q81" s="29"/>
      <c r="R81" s="28"/>
      <c r="S81" s="29"/>
      <c r="T81" s="15" t="str">
        <f aca="false">IF(COUNT(J81:M81)=0,"",SUM(J81:M81))</f>
        <v/>
      </c>
      <c r="U81" s="23" t="str">
        <f aca="false">IF(OR(T81="",I81="",I81=0),"",T81/I81)</f>
        <v/>
      </c>
      <c r="V81" s="10" t="str">
        <f aca="false">IF(A81="","",A81-WEEKDAY(A81,2)+1)</f>
        <v/>
      </c>
    </row>
    <row r="82" customFormat="false" ht="15" hidden="false" customHeight="false" outlineLevel="0" collapsed="false">
      <c r="A82" s="28"/>
      <c r="B82" s="29"/>
      <c r="C82" s="29"/>
      <c r="D82" s="29"/>
      <c r="E82" s="29"/>
      <c r="F82" s="29"/>
      <c r="G82" s="29"/>
      <c r="H82" s="29"/>
      <c r="I82" s="29"/>
      <c r="J82" s="29"/>
      <c r="K82" s="29"/>
      <c r="L82" s="29"/>
      <c r="M82" s="29"/>
      <c r="N82" s="29"/>
      <c r="O82" s="29"/>
      <c r="P82" s="29"/>
      <c r="Q82" s="29"/>
      <c r="R82" s="28"/>
      <c r="S82" s="29"/>
      <c r="T82" s="15" t="str">
        <f aca="false">IF(COUNT(J82:M82)=0,"",SUM(J82:M82))</f>
        <v/>
      </c>
      <c r="U82" s="23" t="str">
        <f aca="false">IF(OR(T82="",I82="",I82=0),"",T82/I82)</f>
        <v/>
      </c>
      <c r="V82" s="10" t="str">
        <f aca="false">IF(A82="","",A82-WEEKDAY(A82,2)+1)</f>
        <v/>
      </c>
    </row>
    <row r="83" customFormat="false" ht="15" hidden="false" customHeight="false" outlineLevel="0" collapsed="false">
      <c r="A83" s="28"/>
      <c r="B83" s="29"/>
      <c r="C83" s="29"/>
      <c r="D83" s="29"/>
      <c r="E83" s="29"/>
      <c r="F83" s="29"/>
      <c r="G83" s="29"/>
      <c r="H83" s="29"/>
      <c r="I83" s="29"/>
      <c r="J83" s="29"/>
      <c r="K83" s="29"/>
      <c r="L83" s="29"/>
      <c r="M83" s="29"/>
      <c r="N83" s="29"/>
      <c r="O83" s="29"/>
      <c r="P83" s="29"/>
      <c r="Q83" s="29"/>
      <c r="R83" s="28"/>
      <c r="S83" s="29"/>
      <c r="T83" s="15" t="str">
        <f aca="false">IF(COUNT(J83:M83)=0,"",SUM(J83:M83))</f>
        <v/>
      </c>
      <c r="U83" s="23" t="str">
        <f aca="false">IF(OR(T83="",I83="",I83=0),"",T83/I83)</f>
        <v/>
      </c>
      <c r="V83" s="10" t="str">
        <f aca="false">IF(A83="","",A83-WEEKDAY(A83,2)+1)</f>
        <v/>
      </c>
    </row>
    <row r="84" customFormat="false" ht="15" hidden="false" customHeight="false" outlineLevel="0" collapsed="false">
      <c r="A84" s="28"/>
      <c r="B84" s="29"/>
      <c r="C84" s="29"/>
      <c r="D84" s="29"/>
      <c r="E84" s="29"/>
      <c r="F84" s="29"/>
      <c r="G84" s="29"/>
      <c r="H84" s="29"/>
      <c r="I84" s="29"/>
      <c r="J84" s="29"/>
      <c r="K84" s="29"/>
      <c r="L84" s="29"/>
      <c r="M84" s="29"/>
      <c r="N84" s="29"/>
      <c r="O84" s="29"/>
      <c r="P84" s="29"/>
      <c r="Q84" s="29"/>
      <c r="R84" s="28"/>
      <c r="S84" s="29"/>
      <c r="T84" s="15" t="str">
        <f aca="false">IF(COUNT(J84:M84)=0,"",SUM(J84:M84))</f>
        <v/>
      </c>
      <c r="U84" s="23" t="str">
        <f aca="false">IF(OR(T84="",I84="",I84=0),"",T84/I84)</f>
        <v/>
      </c>
      <c r="V84" s="10" t="str">
        <f aca="false">IF(A84="","",A84-WEEKDAY(A84,2)+1)</f>
        <v/>
      </c>
    </row>
    <row r="85" customFormat="false" ht="15" hidden="false" customHeight="false" outlineLevel="0" collapsed="false">
      <c r="A85" s="28"/>
      <c r="B85" s="29"/>
      <c r="C85" s="29"/>
      <c r="D85" s="29"/>
      <c r="E85" s="29"/>
      <c r="F85" s="29"/>
      <c r="G85" s="29"/>
      <c r="H85" s="29"/>
      <c r="I85" s="29"/>
      <c r="J85" s="29"/>
      <c r="K85" s="29"/>
      <c r="L85" s="29"/>
      <c r="M85" s="29"/>
      <c r="N85" s="29"/>
      <c r="O85" s="29"/>
      <c r="P85" s="29"/>
      <c r="Q85" s="29"/>
      <c r="R85" s="28"/>
      <c r="S85" s="29"/>
      <c r="T85" s="15" t="str">
        <f aca="false">IF(COUNT(J85:M85)=0,"",SUM(J85:M85))</f>
        <v/>
      </c>
      <c r="U85" s="23" t="str">
        <f aca="false">IF(OR(T85="",I85="",I85=0),"",T85/I85)</f>
        <v/>
      </c>
      <c r="V85" s="10" t="str">
        <f aca="false">IF(A85="","",A85-WEEKDAY(A85,2)+1)</f>
        <v/>
      </c>
    </row>
    <row r="86" customFormat="false" ht="15" hidden="false" customHeight="false" outlineLevel="0" collapsed="false">
      <c r="A86" s="28"/>
      <c r="B86" s="29"/>
      <c r="C86" s="29"/>
      <c r="D86" s="29"/>
      <c r="E86" s="29"/>
      <c r="F86" s="29"/>
      <c r="G86" s="29"/>
      <c r="H86" s="29"/>
      <c r="I86" s="29"/>
      <c r="J86" s="29"/>
      <c r="K86" s="29"/>
      <c r="L86" s="29"/>
      <c r="M86" s="29"/>
      <c r="N86" s="29"/>
      <c r="O86" s="29"/>
      <c r="P86" s="29"/>
      <c r="Q86" s="29"/>
      <c r="R86" s="28"/>
      <c r="S86" s="29"/>
      <c r="T86" s="15" t="str">
        <f aca="false">IF(COUNT(J86:M86)=0,"",SUM(J86:M86))</f>
        <v/>
      </c>
      <c r="U86" s="23" t="str">
        <f aca="false">IF(OR(T86="",I86="",I86=0),"",T86/I86)</f>
        <v/>
      </c>
      <c r="V86" s="10" t="str">
        <f aca="false">IF(A86="","",A86-WEEKDAY(A86,2)+1)</f>
        <v/>
      </c>
    </row>
    <row r="87" customFormat="false" ht="15" hidden="false" customHeight="false" outlineLevel="0" collapsed="false">
      <c r="A87" s="28"/>
      <c r="B87" s="29"/>
      <c r="C87" s="29"/>
      <c r="D87" s="29"/>
      <c r="E87" s="29"/>
      <c r="F87" s="29"/>
      <c r="G87" s="29"/>
      <c r="H87" s="29"/>
      <c r="I87" s="29"/>
      <c r="J87" s="29"/>
      <c r="K87" s="29"/>
      <c r="L87" s="29"/>
      <c r="M87" s="29"/>
      <c r="N87" s="29"/>
      <c r="O87" s="29"/>
      <c r="P87" s="29"/>
      <c r="Q87" s="29"/>
      <c r="R87" s="28"/>
      <c r="S87" s="29"/>
      <c r="T87" s="15" t="str">
        <f aca="false">IF(COUNT(J87:M87)=0,"",SUM(J87:M87))</f>
        <v/>
      </c>
      <c r="U87" s="23" t="str">
        <f aca="false">IF(OR(T87="",I87="",I87=0),"",T87/I87)</f>
        <v/>
      </c>
      <c r="V87" s="10" t="str">
        <f aca="false">IF(A87="","",A87-WEEKDAY(A87,2)+1)</f>
        <v/>
      </c>
    </row>
    <row r="88" customFormat="false" ht="15" hidden="false" customHeight="false" outlineLevel="0" collapsed="false">
      <c r="A88" s="28"/>
      <c r="B88" s="29"/>
      <c r="C88" s="29"/>
      <c r="D88" s="29"/>
      <c r="E88" s="29"/>
      <c r="F88" s="29"/>
      <c r="G88" s="29"/>
      <c r="H88" s="29"/>
      <c r="I88" s="29"/>
      <c r="J88" s="29"/>
      <c r="K88" s="29"/>
      <c r="L88" s="29"/>
      <c r="M88" s="29"/>
      <c r="N88" s="29"/>
      <c r="O88" s="29"/>
      <c r="P88" s="29"/>
      <c r="Q88" s="29"/>
      <c r="R88" s="28"/>
      <c r="S88" s="29"/>
      <c r="T88" s="15" t="str">
        <f aca="false">IF(COUNT(J88:M88)=0,"",SUM(J88:M88))</f>
        <v/>
      </c>
      <c r="U88" s="23" t="str">
        <f aca="false">IF(OR(T88="",I88="",I88=0),"",T88/I88)</f>
        <v/>
      </c>
      <c r="V88" s="10" t="str">
        <f aca="false">IF(A88="","",A88-WEEKDAY(A88,2)+1)</f>
        <v/>
      </c>
    </row>
    <row r="89" customFormat="false" ht="15" hidden="false" customHeight="false" outlineLevel="0" collapsed="false">
      <c r="A89" s="28"/>
      <c r="B89" s="29"/>
      <c r="C89" s="29"/>
      <c r="D89" s="29"/>
      <c r="E89" s="29"/>
      <c r="F89" s="29"/>
      <c r="G89" s="29"/>
      <c r="H89" s="29"/>
      <c r="I89" s="29"/>
      <c r="J89" s="29"/>
      <c r="K89" s="29"/>
      <c r="L89" s="29"/>
      <c r="M89" s="29"/>
      <c r="N89" s="29"/>
      <c r="O89" s="29"/>
      <c r="P89" s="29"/>
      <c r="Q89" s="29"/>
      <c r="R89" s="28"/>
      <c r="S89" s="29"/>
      <c r="T89" s="15" t="str">
        <f aca="false">IF(COUNT(J89:M89)=0,"",SUM(J89:M89))</f>
        <v/>
      </c>
      <c r="U89" s="23" t="str">
        <f aca="false">IF(OR(T89="",I89="",I89=0),"",T89/I89)</f>
        <v/>
      </c>
      <c r="V89" s="10" t="str">
        <f aca="false">IF(A89="","",A89-WEEKDAY(A89,2)+1)</f>
        <v/>
      </c>
    </row>
    <row r="90" customFormat="false" ht="15" hidden="false" customHeight="false" outlineLevel="0" collapsed="false">
      <c r="A90" s="28"/>
      <c r="B90" s="29"/>
      <c r="C90" s="29"/>
      <c r="D90" s="29"/>
      <c r="E90" s="29"/>
      <c r="F90" s="29"/>
      <c r="G90" s="29"/>
      <c r="H90" s="29"/>
      <c r="I90" s="29"/>
      <c r="J90" s="29"/>
      <c r="K90" s="29"/>
      <c r="L90" s="29"/>
      <c r="M90" s="29"/>
      <c r="N90" s="29"/>
      <c r="O90" s="29"/>
      <c r="P90" s="29"/>
      <c r="Q90" s="29"/>
      <c r="R90" s="28"/>
      <c r="S90" s="29"/>
      <c r="T90" s="15" t="str">
        <f aca="false">IF(COUNT(J90:M90)=0,"",SUM(J90:M90))</f>
        <v/>
      </c>
      <c r="U90" s="23" t="str">
        <f aca="false">IF(OR(T90="",I90="",I90=0),"",T90/I90)</f>
        <v/>
      </c>
      <c r="V90" s="10" t="str">
        <f aca="false">IF(A90="","",A90-WEEKDAY(A90,2)+1)</f>
        <v/>
      </c>
    </row>
    <row r="91" customFormat="false" ht="15" hidden="false" customHeight="false" outlineLevel="0" collapsed="false">
      <c r="A91" s="28"/>
      <c r="B91" s="29"/>
      <c r="C91" s="29"/>
      <c r="D91" s="29"/>
      <c r="E91" s="29"/>
      <c r="F91" s="29"/>
      <c r="G91" s="29"/>
      <c r="H91" s="29"/>
      <c r="I91" s="29"/>
      <c r="J91" s="29"/>
      <c r="K91" s="29"/>
      <c r="L91" s="29"/>
      <c r="M91" s="29"/>
      <c r="N91" s="29"/>
      <c r="O91" s="29"/>
      <c r="P91" s="29"/>
      <c r="Q91" s="29"/>
      <c r="R91" s="28"/>
      <c r="S91" s="29"/>
      <c r="T91" s="15" t="str">
        <f aca="false">IF(COUNT(J91:M91)=0,"",SUM(J91:M91))</f>
        <v/>
      </c>
      <c r="U91" s="23" t="str">
        <f aca="false">IF(OR(T91="",I91="",I91=0),"",T91/I91)</f>
        <v/>
      </c>
      <c r="V91" s="10" t="str">
        <f aca="false">IF(A91="","",A91-WEEKDAY(A91,2)+1)</f>
        <v/>
      </c>
    </row>
    <row r="92" customFormat="false" ht="15" hidden="false" customHeight="false" outlineLevel="0" collapsed="false">
      <c r="A92" s="28"/>
      <c r="B92" s="29"/>
      <c r="C92" s="29"/>
      <c r="D92" s="29"/>
      <c r="E92" s="29"/>
      <c r="F92" s="29"/>
      <c r="G92" s="29"/>
      <c r="H92" s="29"/>
      <c r="I92" s="29"/>
      <c r="J92" s="29"/>
      <c r="K92" s="29"/>
      <c r="L92" s="29"/>
      <c r="M92" s="29"/>
      <c r="N92" s="29"/>
      <c r="O92" s="29"/>
      <c r="P92" s="29"/>
      <c r="Q92" s="29"/>
      <c r="R92" s="28"/>
      <c r="S92" s="29"/>
      <c r="T92" s="15" t="str">
        <f aca="false">IF(COUNT(J92:M92)=0,"",SUM(J92:M92))</f>
        <v/>
      </c>
      <c r="U92" s="23" t="str">
        <f aca="false">IF(OR(T92="",I92="",I92=0),"",T92/I92)</f>
        <v/>
      </c>
      <c r="V92" s="10" t="str">
        <f aca="false">IF(A92="","",A92-WEEKDAY(A92,2)+1)</f>
        <v/>
      </c>
    </row>
    <row r="93" customFormat="false" ht="15" hidden="false" customHeight="false" outlineLevel="0" collapsed="false">
      <c r="A93" s="28"/>
      <c r="B93" s="29"/>
      <c r="C93" s="29"/>
      <c r="D93" s="29"/>
      <c r="E93" s="29"/>
      <c r="F93" s="29"/>
      <c r="G93" s="29"/>
      <c r="H93" s="29"/>
      <c r="I93" s="29"/>
      <c r="J93" s="29"/>
      <c r="K93" s="29"/>
      <c r="L93" s="29"/>
      <c r="M93" s="29"/>
      <c r="N93" s="29"/>
      <c r="O93" s="29"/>
      <c r="P93" s="29"/>
      <c r="Q93" s="29"/>
      <c r="R93" s="28"/>
      <c r="S93" s="29"/>
      <c r="T93" s="15" t="str">
        <f aca="false">IF(COUNT(J93:M93)=0,"",SUM(J93:M93))</f>
        <v/>
      </c>
      <c r="U93" s="23" t="str">
        <f aca="false">IF(OR(T93="",I93="",I93=0),"",T93/I93)</f>
        <v/>
      </c>
      <c r="V93" s="10" t="str">
        <f aca="false">IF(A93="","",A93-WEEKDAY(A93,2)+1)</f>
        <v/>
      </c>
    </row>
    <row r="94" customFormat="false" ht="15" hidden="false" customHeight="false" outlineLevel="0" collapsed="false">
      <c r="A94" s="28"/>
      <c r="B94" s="29"/>
      <c r="C94" s="29"/>
      <c r="D94" s="29"/>
      <c r="E94" s="29"/>
      <c r="F94" s="29"/>
      <c r="G94" s="29"/>
      <c r="H94" s="29"/>
      <c r="I94" s="29"/>
      <c r="J94" s="29"/>
      <c r="K94" s="29"/>
      <c r="L94" s="29"/>
      <c r="M94" s="29"/>
      <c r="N94" s="29"/>
      <c r="O94" s="29"/>
      <c r="P94" s="29"/>
      <c r="Q94" s="29"/>
      <c r="R94" s="28"/>
      <c r="S94" s="29"/>
      <c r="T94" s="15" t="str">
        <f aca="false">IF(COUNT(J94:M94)=0,"",SUM(J94:M94))</f>
        <v/>
      </c>
      <c r="U94" s="23" t="str">
        <f aca="false">IF(OR(T94="",I94="",I94=0),"",T94/I94)</f>
        <v/>
      </c>
      <c r="V94" s="10" t="str">
        <f aca="false">IF(A94="","",A94-WEEKDAY(A94,2)+1)</f>
        <v/>
      </c>
    </row>
    <row r="95" customFormat="false" ht="15" hidden="false" customHeight="false" outlineLevel="0" collapsed="false">
      <c r="A95" s="28"/>
      <c r="B95" s="29"/>
      <c r="C95" s="29"/>
      <c r="D95" s="29"/>
      <c r="E95" s="29"/>
      <c r="F95" s="29"/>
      <c r="G95" s="29"/>
      <c r="H95" s="29"/>
      <c r="I95" s="29"/>
      <c r="J95" s="29"/>
      <c r="K95" s="29"/>
      <c r="L95" s="29"/>
      <c r="M95" s="29"/>
      <c r="N95" s="29"/>
      <c r="O95" s="29"/>
      <c r="P95" s="29"/>
      <c r="Q95" s="29"/>
      <c r="R95" s="28"/>
      <c r="S95" s="29"/>
      <c r="T95" s="15" t="str">
        <f aca="false">IF(COUNT(J95:M95)=0,"",SUM(J95:M95))</f>
        <v/>
      </c>
      <c r="U95" s="23" t="str">
        <f aca="false">IF(OR(T95="",I95="",I95=0),"",T95/I95)</f>
        <v/>
      </c>
      <c r="V95" s="10" t="str">
        <f aca="false">IF(A95="","",A95-WEEKDAY(A95,2)+1)</f>
        <v/>
      </c>
    </row>
    <row r="96" customFormat="false" ht="15" hidden="false" customHeight="false" outlineLevel="0" collapsed="false">
      <c r="A96" s="28"/>
      <c r="B96" s="29"/>
      <c r="C96" s="29"/>
      <c r="D96" s="29"/>
      <c r="E96" s="29"/>
      <c r="F96" s="29"/>
      <c r="G96" s="29"/>
      <c r="H96" s="29"/>
      <c r="I96" s="29"/>
      <c r="J96" s="29"/>
      <c r="K96" s="29"/>
      <c r="L96" s="29"/>
      <c r="M96" s="29"/>
      <c r="N96" s="29"/>
      <c r="O96" s="29"/>
      <c r="P96" s="29"/>
      <c r="Q96" s="29"/>
      <c r="R96" s="28"/>
      <c r="S96" s="29"/>
      <c r="T96" s="15" t="str">
        <f aca="false">IF(COUNT(J96:M96)=0,"",SUM(J96:M96))</f>
        <v/>
      </c>
      <c r="U96" s="23" t="str">
        <f aca="false">IF(OR(T96="",I96="",I96=0),"",T96/I96)</f>
        <v/>
      </c>
      <c r="V96" s="10" t="str">
        <f aca="false">IF(A96="","",A96-WEEKDAY(A96,2)+1)</f>
        <v/>
      </c>
    </row>
    <row r="97" customFormat="false" ht="15" hidden="false" customHeight="false" outlineLevel="0" collapsed="false">
      <c r="A97" s="28"/>
      <c r="B97" s="29"/>
      <c r="C97" s="29"/>
      <c r="D97" s="29"/>
      <c r="E97" s="29"/>
      <c r="F97" s="29"/>
      <c r="G97" s="29"/>
      <c r="H97" s="29"/>
      <c r="I97" s="29"/>
      <c r="J97" s="29"/>
      <c r="K97" s="29"/>
      <c r="L97" s="29"/>
      <c r="M97" s="29"/>
      <c r="N97" s="29"/>
      <c r="O97" s="29"/>
      <c r="P97" s="29"/>
      <c r="Q97" s="29"/>
      <c r="R97" s="28"/>
      <c r="S97" s="29"/>
      <c r="T97" s="15" t="str">
        <f aca="false">IF(COUNT(J97:M97)=0,"",SUM(J97:M97))</f>
        <v/>
      </c>
      <c r="U97" s="23" t="str">
        <f aca="false">IF(OR(T97="",I97="",I97=0),"",T97/I97)</f>
        <v/>
      </c>
      <c r="V97" s="10" t="str">
        <f aca="false">IF(A97="","",A97-WEEKDAY(A97,2)+1)</f>
        <v/>
      </c>
    </row>
    <row r="98" customFormat="false" ht="15" hidden="false" customHeight="false" outlineLevel="0" collapsed="false">
      <c r="A98" s="28"/>
      <c r="B98" s="29"/>
      <c r="C98" s="29"/>
      <c r="D98" s="29"/>
      <c r="E98" s="29"/>
      <c r="F98" s="29"/>
      <c r="G98" s="29"/>
      <c r="H98" s="29"/>
      <c r="I98" s="29"/>
      <c r="J98" s="29"/>
      <c r="K98" s="29"/>
      <c r="L98" s="29"/>
      <c r="M98" s="29"/>
      <c r="N98" s="29"/>
      <c r="O98" s="29"/>
      <c r="P98" s="29"/>
      <c r="Q98" s="29"/>
      <c r="R98" s="28"/>
      <c r="S98" s="29"/>
      <c r="T98" s="15" t="str">
        <f aca="false">IF(COUNT(J98:M98)=0,"",SUM(J98:M98))</f>
        <v/>
      </c>
      <c r="U98" s="23" t="str">
        <f aca="false">IF(OR(T98="",I98="",I98=0),"",T98/I98)</f>
        <v/>
      </c>
      <c r="V98" s="10" t="str">
        <f aca="false">IF(A98="","",A98-WEEKDAY(A98,2)+1)</f>
        <v/>
      </c>
    </row>
    <row r="99" customFormat="false" ht="15" hidden="false" customHeight="false" outlineLevel="0" collapsed="false">
      <c r="A99" s="28"/>
      <c r="B99" s="29"/>
      <c r="C99" s="29"/>
      <c r="D99" s="29"/>
      <c r="E99" s="29"/>
      <c r="F99" s="29"/>
      <c r="G99" s="29"/>
      <c r="H99" s="29"/>
      <c r="I99" s="29"/>
      <c r="J99" s="29"/>
      <c r="K99" s="29"/>
      <c r="L99" s="29"/>
      <c r="M99" s="29"/>
      <c r="N99" s="29"/>
      <c r="O99" s="29"/>
      <c r="P99" s="29"/>
      <c r="Q99" s="29"/>
      <c r="R99" s="28"/>
      <c r="S99" s="29"/>
      <c r="T99" s="15" t="str">
        <f aca="false">IF(COUNT(J99:M99)=0,"",SUM(J99:M99))</f>
        <v/>
      </c>
      <c r="U99" s="23" t="str">
        <f aca="false">IF(OR(T99="",I99="",I99=0),"",T99/I99)</f>
        <v/>
      </c>
      <c r="V99" s="10" t="str">
        <f aca="false">IF(A99="","",A99-WEEKDAY(A99,2)+1)</f>
        <v/>
      </c>
    </row>
    <row r="100" customFormat="false" ht="15" hidden="false" customHeight="false" outlineLevel="0" collapsed="false">
      <c r="A100" s="28"/>
      <c r="B100" s="29"/>
      <c r="C100" s="29"/>
      <c r="D100" s="29"/>
      <c r="E100" s="29"/>
      <c r="F100" s="29"/>
      <c r="G100" s="29"/>
      <c r="H100" s="29"/>
      <c r="I100" s="29"/>
      <c r="J100" s="29"/>
      <c r="K100" s="29"/>
      <c r="L100" s="29"/>
      <c r="M100" s="29"/>
      <c r="N100" s="29"/>
      <c r="O100" s="29"/>
      <c r="P100" s="29"/>
      <c r="Q100" s="29"/>
      <c r="R100" s="28"/>
      <c r="S100" s="29"/>
      <c r="T100" s="15" t="str">
        <f aca="false">IF(COUNT(J100:M100)=0,"",SUM(J100:M100))</f>
        <v/>
      </c>
      <c r="U100" s="23" t="str">
        <f aca="false">IF(OR(T100="",I100="",I100=0),"",T100/I100)</f>
        <v/>
      </c>
      <c r="V100" s="10" t="str">
        <f aca="false">IF(A100="","",A100-WEEKDAY(A100,2)+1)</f>
        <v/>
      </c>
    </row>
    <row r="101" customFormat="false" ht="15" hidden="false" customHeight="false" outlineLevel="0" collapsed="false">
      <c r="A101" s="28"/>
      <c r="B101" s="29"/>
      <c r="C101" s="29"/>
      <c r="D101" s="29"/>
      <c r="E101" s="29"/>
      <c r="F101" s="29"/>
      <c r="G101" s="29"/>
      <c r="H101" s="29"/>
      <c r="I101" s="29"/>
      <c r="J101" s="29"/>
      <c r="K101" s="29"/>
      <c r="L101" s="29"/>
      <c r="M101" s="29"/>
      <c r="N101" s="29"/>
      <c r="O101" s="29"/>
      <c r="P101" s="29"/>
      <c r="Q101" s="29"/>
      <c r="R101" s="28"/>
      <c r="S101" s="29"/>
      <c r="T101" s="15" t="str">
        <f aca="false">IF(COUNT(J101:M101)=0,"",SUM(J101:M101))</f>
        <v/>
      </c>
      <c r="U101" s="23" t="str">
        <f aca="false">IF(OR(T101="",I101="",I101=0),"",T101/I101)</f>
        <v/>
      </c>
      <c r="V101" s="10" t="str">
        <f aca="false">IF(A101="","",A101-WEEKDAY(A101,2)+1)</f>
        <v/>
      </c>
    </row>
    <row r="102" customFormat="false" ht="15" hidden="false" customHeight="false" outlineLevel="0" collapsed="false">
      <c r="A102" s="28"/>
      <c r="B102" s="29"/>
      <c r="C102" s="29"/>
      <c r="D102" s="29"/>
      <c r="E102" s="29"/>
      <c r="F102" s="29"/>
      <c r="G102" s="29"/>
      <c r="H102" s="29"/>
      <c r="I102" s="29"/>
      <c r="J102" s="29"/>
      <c r="K102" s="29"/>
      <c r="L102" s="29"/>
      <c r="M102" s="29"/>
      <c r="N102" s="29"/>
      <c r="O102" s="29"/>
      <c r="P102" s="29"/>
      <c r="Q102" s="29"/>
      <c r="R102" s="28"/>
      <c r="S102" s="29"/>
      <c r="T102" s="15" t="str">
        <f aca="false">IF(COUNT(J102:M102)=0,"",SUM(J102:M102))</f>
        <v/>
      </c>
      <c r="U102" s="23" t="str">
        <f aca="false">IF(OR(T102="",I102="",I102=0),"",T102/I102)</f>
        <v/>
      </c>
      <c r="V102" s="10" t="str">
        <f aca="false">IF(A102="","",A102-WEEKDAY(A102,2)+1)</f>
        <v/>
      </c>
    </row>
    <row r="103" customFormat="false" ht="15" hidden="false" customHeight="false" outlineLevel="0" collapsed="false">
      <c r="A103" s="28"/>
      <c r="B103" s="29"/>
      <c r="C103" s="29"/>
      <c r="D103" s="29"/>
      <c r="E103" s="29"/>
      <c r="F103" s="29"/>
      <c r="G103" s="29"/>
      <c r="H103" s="29"/>
      <c r="I103" s="29"/>
      <c r="J103" s="29"/>
      <c r="K103" s="29"/>
      <c r="L103" s="29"/>
      <c r="M103" s="29"/>
      <c r="N103" s="29"/>
      <c r="O103" s="29"/>
      <c r="P103" s="29"/>
      <c r="Q103" s="29"/>
      <c r="R103" s="28"/>
      <c r="S103" s="29"/>
      <c r="T103" s="15" t="str">
        <f aca="false">IF(COUNT(J103:M103)=0,"",SUM(J103:M103))</f>
        <v/>
      </c>
      <c r="U103" s="23" t="str">
        <f aca="false">IF(OR(T103="",I103="",I103=0),"",T103/I103)</f>
        <v/>
      </c>
      <c r="V103" s="10" t="str">
        <f aca="false">IF(A103="","",A103-WEEKDAY(A103,2)+1)</f>
        <v/>
      </c>
    </row>
    <row r="104" customFormat="false" ht="15" hidden="false" customHeight="false" outlineLevel="0" collapsed="false">
      <c r="A104" s="28"/>
      <c r="B104" s="29"/>
      <c r="C104" s="29"/>
      <c r="D104" s="29"/>
      <c r="E104" s="29"/>
      <c r="F104" s="29"/>
      <c r="G104" s="29"/>
      <c r="H104" s="29"/>
      <c r="I104" s="29"/>
      <c r="J104" s="29"/>
      <c r="K104" s="29"/>
      <c r="L104" s="29"/>
      <c r="M104" s="29"/>
      <c r="N104" s="29"/>
      <c r="O104" s="29"/>
      <c r="P104" s="29"/>
      <c r="Q104" s="29"/>
      <c r="R104" s="28"/>
      <c r="S104" s="29"/>
      <c r="T104" s="15" t="str">
        <f aca="false">IF(COUNT(J104:M104)=0,"",SUM(J104:M104))</f>
        <v/>
      </c>
      <c r="U104" s="23" t="str">
        <f aca="false">IF(OR(T104="",I104="",I104=0),"",T104/I104)</f>
        <v/>
      </c>
      <c r="V104" s="10" t="str">
        <f aca="false">IF(A104="","",A104-WEEKDAY(A104,2)+1)</f>
        <v/>
      </c>
    </row>
    <row r="105" customFormat="false" ht="15" hidden="false" customHeight="false" outlineLevel="0" collapsed="false">
      <c r="A105" s="28"/>
      <c r="B105" s="29"/>
      <c r="C105" s="29"/>
      <c r="D105" s="29"/>
      <c r="E105" s="29"/>
      <c r="F105" s="29"/>
      <c r="G105" s="29"/>
      <c r="H105" s="29"/>
      <c r="I105" s="29"/>
      <c r="J105" s="29"/>
      <c r="K105" s="29"/>
      <c r="L105" s="29"/>
      <c r="M105" s="29"/>
      <c r="N105" s="29"/>
      <c r="O105" s="29"/>
      <c r="P105" s="29"/>
      <c r="Q105" s="29"/>
      <c r="R105" s="28"/>
      <c r="S105" s="29"/>
      <c r="T105" s="15" t="str">
        <f aca="false">IF(COUNT(J105:M105)=0,"",SUM(J105:M105))</f>
        <v/>
      </c>
      <c r="U105" s="23" t="str">
        <f aca="false">IF(OR(T105="",I105="",I105=0),"",T105/I105)</f>
        <v/>
      </c>
      <c r="V105" s="10" t="str">
        <f aca="false">IF(A105="","",A105-WEEKDAY(A105,2)+1)</f>
        <v/>
      </c>
    </row>
    <row r="106" customFormat="false" ht="15" hidden="false" customHeight="false" outlineLevel="0" collapsed="false">
      <c r="A106" s="28"/>
      <c r="B106" s="29"/>
      <c r="C106" s="29"/>
      <c r="D106" s="29"/>
      <c r="E106" s="29"/>
      <c r="F106" s="29"/>
      <c r="G106" s="29"/>
      <c r="H106" s="29"/>
      <c r="I106" s="29"/>
      <c r="J106" s="29"/>
      <c r="K106" s="29"/>
      <c r="L106" s="29"/>
      <c r="M106" s="29"/>
      <c r="N106" s="29"/>
      <c r="O106" s="29"/>
      <c r="P106" s="29"/>
      <c r="Q106" s="29"/>
      <c r="R106" s="28"/>
      <c r="S106" s="29"/>
      <c r="T106" s="15" t="str">
        <f aca="false">IF(COUNT(J106:M106)=0,"",SUM(J106:M106))</f>
        <v/>
      </c>
      <c r="U106" s="23" t="str">
        <f aca="false">IF(OR(T106="",I106="",I106=0),"",T106/I106)</f>
        <v/>
      </c>
      <c r="V106" s="10" t="str">
        <f aca="false">IF(A106="","",A106-WEEKDAY(A106,2)+1)</f>
        <v/>
      </c>
    </row>
    <row r="107" customFormat="false" ht="15" hidden="false" customHeight="false" outlineLevel="0" collapsed="false">
      <c r="A107" s="28"/>
      <c r="B107" s="29"/>
      <c r="C107" s="29"/>
      <c r="D107" s="29"/>
      <c r="E107" s="29"/>
      <c r="F107" s="29"/>
      <c r="G107" s="29"/>
      <c r="H107" s="29"/>
      <c r="I107" s="29"/>
      <c r="J107" s="29"/>
      <c r="K107" s="29"/>
      <c r="L107" s="29"/>
      <c r="M107" s="29"/>
      <c r="N107" s="29"/>
      <c r="O107" s="29"/>
      <c r="P107" s="29"/>
      <c r="Q107" s="29"/>
      <c r="R107" s="28"/>
      <c r="S107" s="29"/>
      <c r="T107" s="15" t="str">
        <f aca="false">IF(COUNT(J107:M107)=0,"",SUM(J107:M107))</f>
        <v/>
      </c>
      <c r="U107" s="23" t="str">
        <f aca="false">IF(OR(T107="",I107="",I107=0),"",T107/I107)</f>
        <v/>
      </c>
      <c r="V107" s="10" t="str">
        <f aca="false">IF(A107="","",A107-WEEKDAY(A107,2)+1)</f>
        <v/>
      </c>
    </row>
    <row r="108" customFormat="false" ht="15" hidden="false" customHeight="false" outlineLevel="0" collapsed="false">
      <c r="A108" s="28"/>
      <c r="B108" s="29"/>
      <c r="C108" s="29"/>
      <c r="D108" s="29"/>
      <c r="E108" s="29"/>
      <c r="F108" s="29"/>
      <c r="G108" s="29"/>
      <c r="H108" s="29"/>
      <c r="I108" s="29"/>
      <c r="J108" s="29"/>
      <c r="K108" s="29"/>
      <c r="L108" s="29"/>
      <c r="M108" s="29"/>
      <c r="N108" s="29"/>
      <c r="O108" s="29"/>
      <c r="P108" s="29"/>
      <c r="Q108" s="29"/>
      <c r="R108" s="28"/>
      <c r="S108" s="29"/>
      <c r="T108" s="15" t="str">
        <f aca="false">IF(COUNT(J108:M108)=0,"",SUM(J108:M108))</f>
        <v/>
      </c>
      <c r="U108" s="23" t="str">
        <f aca="false">IF(OR(T108="",I108="",I108=0),"",T108/I108)</f>
        <v/>
      </c>
      <c r="V108" s="10" t="str">
        <f aca="false">IF(A108="","",A108-WEEKDAY(A108,2)+1)</f>
        <v/>
      </c>
    </row>
    <row r="109" customFormat="false" ht="15" hidden="false" customHeight="false" outlineLevel="0" collapsed="false">
      <c r="A109" s="28"/>
      <c r="B109" s="29"/>
      <c r="C109" s="29"/>
      <c r="D109" s="29"/>
      <c r="E109" s="29"/>
      <c r="F109" s="29"/>
      <c r="G109" s="29"/>
      <c r="H109" s="29"/>
      <c r="I109" s="29"/>
      <c r="J109" s="29"/>
      <c r="K109" s="29"/>
      <c r="L109" s="29"/>
      <c r="M109" s="29"/>
      <c r="N109" s="29"/>
      <c r="O109" s="29"/>
      <c r="P109" s="29"/>
      <c r="Q109" s="29"/>
      <c r="R109" s="28"/>
      <c r="S109" s="29"/>
      <c r="T109" s="15" t="str">
        <f aca="false">IF(COUNT(J109:M109)=0,"",SUM(J109:M109))</f>
        <v/>
      </c>
      <c r="U109" s="23" t="str">
        <f aca="false">IF(OR(T109="",I109="",I109=0),"",T109/I109)</f>
        <v/>
      </c>
      <c r="V109" s="10" t="str">
        <f aca="false">IF(A109="","",A109-WEEKDAY(A109,2)+1)</f>
        <v/>
      </c>
    </row>
    <row r="110" customFormat="false" ht="15" hidden="false" customHeight="false" outlineLevel="0" collapsed="false">
      <c r="A110" s="28"/>
      <c r="B110" s="29"/>
      <c r="C110" s="29"/>
      <c r="D110" s="29"/>
      <c r="E110" s="29"/>
      <c r="F110" s="29"/>
      <c r="G110" s="29"/>
      <c r="H110" s="29"/>
      <c r="I110" s="29"/>
      <c r="J110" s="29"/>
      <c r="K110" s="29"/>
      <c r="L110" s="29"/>
      <c r="M110" s="29"/>
      <c r="N110" s="29"/>
      <c r="O110" s="29"/>
      <c r="P110" s="29"/>
      <c r="Q110" s="29"/>
      <c r="R110" s="28"/>
      <c r="S110" s="29"/>
      <c r="T110" s="15" t="str">
        <f aca="false">IF(COUNT(J110:M110)=0,"",SUM(J110:M110))</f>
        <v/>
      </c>
      <c r="U110" s="23" t="str">
        <f aca="false">IF(OR(T110="",I110="",I110=0),"",T110/I110)</f>
        <v/>
      </c>
      <c r="V110" s="10" t="str">
        <f aca="false">IF(A110="","",A110-WEEKDAY(A110,2)+1)</f>
        <v/>
      </c>
    </row>
    <row r="111" customFormat="false" ht="15" hidden="false" customHeight="false" outlineLevel="0" collapsed="false">
      <c r="A111" s="28"/>
      <c r="B111" s="29"/>
      <c r="C111" s="29"/>
      <c r="D111" s="29"/>
      <c r="E111" s="29"/>
      <c r="F111" s="29"/>
      <c r="G111" s="29"/>
      <c r="H111" s="29"/>
      <c r="I111" s="29"/>
      <c r="J111" s="29"/>
      <c r="K111" s="29"/>
      <c r="L111" s="29"/>
      <c r="M111" s="29"/>
      <c r="N111" s="29"/>
      <c r="O111" s="29"/>
      <c r="P111" s="29"/>
      <c r="Q111" s="29"/>
      <c r="R111" s="28"/>
      <c r="S111" s="29"/>
      <c r="T111" s="15" t="str">
        <f aca="false">IF(COUNT(J111:M111)=0,"",SUM(J111:M111))</f>
        <v/>
      </c>
      <c r="U111" s="23" t="str">
        <f aca="false">IF(OR(T111="",I111="",I111=0),"",T111/I111)</f>
        <v/>
      </c>
      <c r="V111" s="10" t="str">
        <f aca="false">IF(A111="","",A111-WEEKDAY(A111,2)+1)</f>
        <v/>
      </c>
    </row>
    <row r="112" customFormat="false" ht="15" hidden="false" customHeight="false" outlineLevel="0" collapsed="false">
      <c r="A112" s="28"/>
      <c r="B112" s="29"/>
      <c r="C112" s="29"/>
      <c r="D112" s="29"/>
      <c r="E112" s="29"/>
      <c r="F112" s="29"/>
      <c r="G112" s="29"/>
      <c r="H112" s="29"/>
      <c r="I112" s="29"/>
      <c r="J112" s="29"/>
      <c r="K112" s="29"/>
      <c r="L112" s="29"/>
      <c r="M112" s="29"/>
      <c r="N112" s="29"/>
      <c r="O112" s="29"/>
      <c r="P112" s="29"/>
      <c r="Q112" s="29"/>
      <c r="R112" s="28"/>
      <c r="S112" s="29"/>
      <c r="T112" s="15" t="str">
        <f aca="false">IF(COUNT(J112:M112)=0,"",SUM(J112:M112))</f>
        <v/>
      </c>
      <c r="U112" s="23" t="str">
        <f aca="false">IF(OR(T112="",I112="",I112=0),"",T112/I112)</f>
        <v/>
      </c>
      <c r="V112" s="10" t="str">
        <f aca="false">IF(A112="","",A112-WEEKDAY(A112,2)+1)</f>
        <v/>
      </c>
    </row>
    <row r="113" customFormat="false" ht="15" hidden="false" customHeight="false" outlineLevel="0" collapsed="false">
      <c r="A113" s="28"/>
      <c r="B113" s="29"/>
      <c r="C113" s="29"/>
      <c r="D113" s="29"/>
      <c r="E113" s="29"/>
      <c r="F113" s="29"/>
      <c r="G113" s="29"/>
      <c r="H113" s="29"/>
      <c r="I113" s="29"/>
      <c r="J113" s="29"/>
      <c r="K113" s="29"/>
      <c r="L113" s="29"/>
      <c r="M113" s="29"/>
      <c r="N113" s="29"/>
      <c r="O113" s="29"/>
      <c r="P113" s="29"/>
      <c r="Q113" s="29"/>
      <c r="R113" s="28"/>
      <c r="S113" s="29"/>
      <c r="T113" s="15" t="str">
        <f aca="false">IF(COUNT(J113:M113)=0,"",SUM(J113:M113))</f>
        <v/>
      </c>
      <c r="U113" s="23" t="str">
        <f aca="false">IF(OR(T113="",I113="",I113=0),"",T113/I113)</f>
        <v/>
      </c>
      <c r="V113" s="10" t="str">
        <f aca="false">IF(A113="","",A113-WEEKDAY(A113,2)+1)</f>
        <v/>
      </c>
    </row>
    <row r="114" customFormat="false" ht="15" hidden="false" customHeight="false" outlineLevel="0" collapsed="false">
      <c r="A114" s="28"/>
      <c r="B114" s="29"/>
      <c r="C114" s="29"/>
      <c r="D114" s="29"/>
      <c r="E114" s="29"/>
      <c r="F114" s="29"/>
      <c r="G114" s="29"/>
      <c r="H114" s="29"/>
      <c r="I114" s="29"/>
      <c r="J114" s="29"/>
      <c r="K114" s="29"/>
      <c r="L114" s="29"/>
      <c r="M114" s="29"/>
      <c r="N114" s="29"/>
      <c r="O114" s="29"/>
      <c r="P114" s="29"/>
      <c r="Q114" s="29"/>
      <c r="R114" s="28"/>
      <c r="S114" s="29"/>
      <c r="T114" s="15" t="str">
        <f aca="false">IF(COUNT(J114:M114)=0,"",SUM(J114:M114))</f>
        <v/>
      </c>
      <c r="U114" s="23" t="str">
        <f aca="false">IF(OR(T114="",I114="",I114=0),"",T114/I114)</f>
        <v/>
      </c>
      <c r="V114" s="10" t="str">
        <f aca="false">IF(A114="","",A114-WEEKDAY(A114,2)+1)</f>
        <v/>
      </c>
    </row>
    <row r="115" customFormat="false" ht="15" hidden="false" customHeight="false" outlineLevel="0" collapsed="false">
      <c r="A115" s="28"/>
      <c r="B115" s="29"/>
      <c r="C115" s="29"/>
      <c r="D115" s="29"/>
      <c r="E115" s="29"/>
      <c r="F115" s="29"/>
      <c r="G115" s="29"/>
      <c r="H115" s="29"/>
      <c r="I115" s="29"/>
      <c r="J115" s="29"/>
      <c r="K115" s="29"/>
      <c r="L115" s="29"/>
      <c r="M115" s="29"/>
      <c r="N115" s="29"/>
      <c r="O115" s="29"/>
      <c r="P115" s="29"/>
      <c r="Q115" s="29"/>
      <c r="R115" s="28"/>
      <c r="S115" s="29"/>
      <c r="T115" s="15" t="str">
        <f aca="false">IF(COUNT(J115:M115)=0,"",SUM(J115:M115))</f>
        <v/>
      </c>
      <c r="U115" s="23" t="str">
        <f aca="false">IF(OR(T115="",I115="",I115=0),"",T115/I115)</f>
        <v/>
      </c>
      <c r="V115" s="10" t="str">
        <f aca="false">IF(A115="","",A115-WEEKDAY(A115,2)+1)</f>
        <v/>
      </c>
    </row>
    <row r="116" customFormat="false" ht="15" hidden="false" customHeight="false" outlineLevel="0" collapsed="false">
      <c r="A116" s="28"/>
      <c r="B116" s="29"/>
      <c r="C116" s="29"/>
      <c r="D116" s="29"/>
      <c r="E116" s="29"/>
      <c r="F116" s="29"/>
      <c r="G116" s="29"/>
      <c r="H116" s="29"/>
      <c r="I116" s="29"/>
      <c r="J116" s="29"/>
      <c r="K116" s="29"/>
      <c r="L116" s="29"/>
      <c r="M116" s="29"/>
      <c r="N116" s="29"/>
      <c r="O116" s="29"/>
      <c r="P116" s="29"/>
      <c r="Q116" s="29"/>
      <c r="R116" s="28"/>
      <c r="S116" s="29"/>
      <c r="T116" s="15" t="str">
        <f aca="false">IF(COUNT(J116:M116)=0,"",SUM(J116:M116))</f>
        <v/>
      </c>
      <c r="U116" s="23" t="str">
        <f aca="false">IF(OR(T116="",I116="",I116=0),"",T116/I116)</f>
        <v/>
      </c>
      <c r="V116" s="10" t="str">
        <f aca="false">IF(A116="","",A116-WEEKDAY(A116,2)+1)</f>
        <v/>
      </c>
    </row>
    <row r="117" customFormat="false" ht="15" hidden="false" customHeight="false" outlineLevel="0" collapsed="false">
      <c r="A117" s="28"/>
      <c r="B117" s="29"/>
      <c r="C117" s="29"/>
      <c r="D117" s="29"/>
      <c r="E117" s="29"/>
      <c r="F117" s="29"/>
      <c r="G117" s="29"/>
      <c r="H117" s="29"/>
      <c r="I117" s="29"/>
      <c r="J117" s="29"/>
      <c r="K117" s="29"/>
      <c r="L117" s="29"/>
      <c r="M117" s="29"/>
      <c r="N117" s="29"/>
      <c r="O117" s="29"/>
      <c r="P117" s="29"/>
      <c r="Q117" s="29"/>
      <c r="R117" s="28"/>
      <c r="S117" s="29"/>
      <c r="T117" s="15" t="str">
        <f aca="false">IF(COUNT(J117:M117)=0,"",SUM(J117:M117))</f>
        <v/>
      </c>
      <c r="U117" s="23" t="str">
        <f aca="false">IF(OR(T117="",I117="",I117=0),"",T117/I117)</f>
        <v/>
      </c>
      <c r="V117" s="10" t="str">
        <f aca="false">IF(A117="","",A117-WEEKDAY(A117,2)+1)</f>
        <v/>
      </c>
    </row>
    <row r="118" customFormat="false" ht="15" hidden="false" customHeight="false" outlineLevel="0" collapsed="false">
      <c r="A118" s="28"/>
      <c r="B118" s="29"/>
      <c r="C118" s="29"/>
      <c r="D118" s="29"/>
      <c r="E118" s="29"/>
      <c r="F118" s="29"/>
      <c r="G118" s="29"/>
      <c r="H118" s="29"/>
      <c r="I118" s="29"/>
      <c r="J118" s="29"/>
      <c r="K118" s="29"/>
      <c r="L118" s="29"/>
      <c r="M118" s="29"/>
      <c r="N118" s="29"/>
      <c r="O118" s="29"/>
      <c r="P118" s="29"/>
      <c r="Q118" s="29"/>
      <c r="R118" s="28"/>
      <c r="S118" s="29"/>
      <c r="T118" s="15" t="str">
        <f aca="false">IF(COUNT(J118:M118)=0,"",SUM(J118:M118))</f>
        <v/>
      </c>
      <c r="U118" s="23" t="str">
        <f aca="false">IF(OR(T118="",I118="",I118=0),"",T118/I118)</f>
        <v/>
      </c>
      <c r="V118" s="10" t="str">
        <f aca="false">IF(A118="","",A118-WEEKDAY(A118,2)+1)</f>
        <v/>
      </c>
    </row>
    <row r="119" customFormat="false" ht="15" hidden="false" customHeight="false" outlineLevel="0" collapsed="false">
      <c r="A119" s="28"/>
      <c r="B119" s="29"/>
      <c r="C119" s="29"/>
      <c r="D119" s="29"/>
      <c r="E119" s="29"/>
      <c r="F119" s="29"/>
      <c r="G119" s="29"/>
      <c r="H119" s="29"/>
      <c r="I119" s="29"/>
      <c r="J119" s="29"/>
      <c r="K119" s="29"/>
      <c r="L119" s="29"/>
      <c r="M119" s="29"/>
      <c r="N119" s="29"/>
      <c r="O119" s="29"/>
      <c r="P119" s="29"/>
      <c r="Q119" s="29"/>
      <c r="R119" s="28"/>
      <c r="S119" s="29"/>
      <c r="T119" s="15" t="str">
        <f aca="false">IF(COUNT(J119:M119)=0,"",SUM(J119:M119))</f>
        <v/>
      </c>
      <c r="U119" s="23" t="str">
        <f aca="false">IF(OR(T119="",I119="",I119=0),"",T119/I119)</f>
        <v/>
      </c>
      <c r="V119" s="10" t="str">
        <f aca="false">IF(A119="","",A119-WEEKDAY(A119,2)+1)</f>
        <v/>
      </c>
    </row>
    <row r="120" customFormat="false" ht="15" hidden="false" customHeight="false" outlineLevel="0" collapsed="false">
      <c r="A120" s="28"/>
      <c r="B120" s="29"/>
      <c r="C120" s="29"/>
      <c r="D120" s="29"/>
      <c r="E120" s="29"/>
      <c r="F120" s="29"/>
      <c r="G120" s="29"/>
      <c r="H120" s="29"/>
      <c r="I120" s="29"/>
      <c r="J120" s="29"/>
      <c r="K120" s="29"/>
      <c r="L120" s="29"/>
      <c r="M120" s="29"/>
      <c r="N120" s="29"/>
      <c r="O120" s="29"/>
      <c r="P120" s="29"/>
      <c r="Q120" s="29"/>
      <c r="R120" s="28"/>
      <c r="S120" s="29"/>
      <c r="T120" s="15" t="str">
        <f aca="false">IF(COUNT(J120:M120)=0,"",SUM(J120:M120))</f>
        <v/>
      </c>
      <c r="U120" s="23" t="str">
        <f aca="false">IF(OR(T120="",I120="",I120=0),"",T120/I120)</f>
        <v/>
      </c>
      <c r="V120" s="10" t="str">
        <f aca="false">IF(A120="","",A120-WEEKDAY(A120,2)+1)</f>
        <v/>
      </c>
    </row>
    <row r="121" customFormat="false" ht="15" hidden="false" customHeight="false" outlineLevel="0" collapsed="false">
      <c r="A121" s="28"/>
      <c r="B121" s="29"/>
      <c r="C121" s="29"/>
      <c r="D121" s="29"/>
      <c r="E121" s="29"/>
      <c r="F121" s="29"/>
      <c r="G121" s="29"/>
      <c r="H121" s="29"/>
      <c r="I121" s="29"/>
      <c r="J121" s="29"/>
      <c r="K121" s="29"/>
      <c r="L121" s="29"/>
      <c r="M121" s="29"/>
      <c r="N121" s="29"/>
      <c r="O121" s="29"/>
      <c r="P121" s="29"/>
      <c r="Q121" s="29"/>
      <c r="R121" s="28"/>
      <c r="S121" s="29"/>
      <c r="T121" s="15" t="str">
        <f aca="false">IF(COUNT(J121:M121)=0,"",SUM(J121:M121))</f>
        <v/>
      </c>
      <c r="U121" s="23" t="str">
        <f aca="false">IF(OR(T121="",I121="",I121=0),"",T121/I121)</f>
        <v/>
      </c>
      <c r="V121" s="10" t="str">
        <f aca="false">IF(A121="","",A121-WEEKDAY(A121,2)+1)</f>
        <v/>
      </c>
    </row>
    <row r="122" customFormat="false" ht="15" hidden="false" customHeight="false" outlineLevel="0" collapsed="false">
      <c r="A122" s="28"/>
      <c r="B122" s="29"/>
      <c r="C122" s="29"/>
      <c r="D122" s="29"/>
      <c r="E122" s="29"/>
      <c r="F122" s="29"/>
      <c r="G122" s="29"/>
      <c r="H122" s="29"/>
      <c r="I122" s="29"/>
      <c r="J122" s="29"/>
      <c r="K122" s="29"/>
      <c r="L122" s="29"/>
      <c r="M122" s="29"/>
      <c r="N122" s="29"/>
      <c r="O122" s="29"/>
      <c r="P122" s="29"/>
      <c r="Q122" s="29"/>
      <c r="R122" s="28"/>
      <c r="S122" s="29"/>
      <c r="T122" s="15" t="str">
        <f aca="false">IF(COUNT(J122:M122)=0,"",SUM(J122:M122))</f>
        <v/>
      </c>
      <c r="U122" s="23" t="str">
        <f aca="false">IF(OR(T122="",I122="",I122=0),"",T122/I122)</f>
        <v/>
      </c>
      <c r="V122" s="10" t="str">
        <f aca="false">IF(A122="","",A122-WEEKDAY(A122,2)+1)</f>
        <v/>
      </c>
    </row>
    <row r="123" customFormat="false" ht="15" hidden="false" customHeight="false" outlineLevel="0" collapsed="false">
      <c r="A123" s="28"/>
      <c r="B123" s="29"/>
      <c r="C123" s="29"/>
      <c r="D123" s="29"/>
      <c r="E123" s="29"/>
      <c r="F123" s="29"/>
      <c r="G123" s="29"/>
      <c r="H123" s="29"/>
      <c r="I123" s="29"/>
      <c r="J123" s="29"/>
      <c r="K123" s="29"/>
      <c r="L123" s="29"/>
      <c r="M123" s="29"/>
      <c r="N123" s="29"/>
      <c r="O123" s="29"/>
      <c r="P123" s="29"/>
      <c r="Q123" s="29"/>
      <c r="R123" s="28"/>
      <c r="S123" s="29"/>
      <c r="T123" s="15" t="str">
        <f aca="false">IF(COUNT(J123:M123)=0,"",SUM(J123:M123))</f>
        <v/>
      </c>
      <c r="U123" s="23" t="str">
        <f aca="false">IF(OR(T123="",I123="",I123=0),"",T123/I123)</f>
        <v/>
      </c>
      <c r="V123" s="10" t="str">
        <f aca="false">IF(A123="","",A123-WEEKDAY(A123,2)+1)</f>
        <v/>
      </c>
    </row>
    <row r="124" customFormat="false" ht="15" hidden="false" customHeight="false" outlineLevel="0" collapsed="false">
      <c r="A124" s="28"/>
      <c r="B124" s="29"/>
      <c r="C124" s="29"/>
      <c r="D124" s="29"/>
      <c r="E124" s="29"/>
      <c r="F124" s="29"/>
      <c r="G124" s="29"/>
      <c r="H124" s="29"/>
      <c r="I124" s="29"/>
      <c r="J124" s="29"/>
      <c r="K124" s="29"/>
      <c r="L124" s="29"/>
      <c r="M124" s="29"/>
      <c r="N124" s="29"/>
      <c r="O124" s="29"/>
      <c r="P124" s="29"/>
      <c r="Q124" s="29"/>
      <c r="R124" s="28"/>
      <c r="S124" s="29"/>
      <c r="T124" s="15" t="str">
        <f aca="false">IF(COUNT(J124:M124)=0,"",SUM(J124:M124))</f>
        <v/>
      </c>
      <c r="U124" s="23" t="str">
        <f aca="false">IF(OR(T124="",I124="",I124=0),"",T124/I124)</f>
        <v/>
      </c>
      <c r="V124" s="10" t="str">
        <f aca="false">IF(A124="","",A124-WEEKDAY(A124,2)+1)</f>
        <v/>
      </c>
    </row>
    <row r="125" customFormat="false" ht="15" hidden="false" customHeight="false" outlineLevel="0" collapsed="false">
      <c r="A125" s="28"/>
      <c r="B125" s="29"/>
      <c r="C125" s="29"/>
      <c r="D125" s="29"/>
      <c r="E125" s="29"/>
      <c r="F125" s="29"/>
      <c r="G125" s="29"/>
      <c r="H125" s="29"/>
      <c r="I125" s="29"/>
      <c r="J125" s="29"/>
      <c r="K125" s="29"/>
      <c r="L125" s="29"/>
      <c r="M125" s="29"/>
      <c r="N125" s="29"/>
      <c r="O125" s="29"/>
      <c r="P125" s="29"/>
      <c r="Q125" s="29"/>
      <c r="R125" s="28"/>
      <c r="S125" s="29"/>
      <c r="T125" s="15" t="str">
        <f aca="false">IF(COUNT(J125:M125)=0,"",SUM(J125:M125))</f>
        <v/>
      </c>
      <c r="U125" s="23" t="str">
        <f aca="false">IF(OR(T125="",I125="",I125=0),"",T125/I125)</f>
        <v/>
      </c>
      <c r="V125" s="10" t="str">
        <f aca="false">IF(A125="","",A125-WEEKDAY(A125,2)+1)</f>
        <v/>
      </c>
    </row>
    <row r="126" customFormat="false" ht="15" hidden="false" customHeight="false" outlineLevel="0" collapsed="false">
      <c r="A126" s="28"/>
      <c r="B126" s="29"/>
      <c r="C126" s="29"/>
      <c r="D126" s="29"/>
      <c r="E126" s="29"/>
      <c r="F126" s="29"/>
      <c r="G126" s="29"/>
      <c r="H126" s="29"/>
      <c r="I126" s="29"/>
      <c r="J126" s="29"/>
      <c r="K126" s="29"/>
      <c r="L126" s="29"/>
      <c r="M126" s="29"/>
      <c r="N126" s="29"/>
      <c r="O126" s="29"/>
      <c r="P126" s="29"/>
      <c r="Q126" s="29"/>
      <c r="R126" s="28"/>
      <c r="S126" s="29"/>
      <c r="T126" s="15" t="str">
        <f aca="false">IF(COUNT(J126:M126)=0,"",SUM(J126:M126))</f>
        <v/>
      </c>
      <c r="U126" s="23" t="str">
        <f aca="false">IF(OR(T126="",I126="",I126=0),"",T126/I126)</f>
        <v/>
      </c>
      <c r="V126" s="10" t="str">
        <f aca="false">IF(A126="","",A126-WEEKDAY(A126,2)+1)</f>
        <v/>
      </c>
    </row>
    <row r="127" customFormat="false" ht="15" hidden="false" customHeight="false" outlineLevel="0" collapsed="false">
      <c r="A127" s="28"/>
      <c r="B127" s="29"/>
      <c r="C127" s="29"/>
      <c r="D127" s="29"/>
      <c r="E127" s="29"/>
      <c r="F127" s="29"/>
      <c r="G127" s="29"/>
      <c r="H127" s="29"/>
      <c r="I127" s="29"/>
      <c r="J127" s="29"/>
      <c r="K127" s="29"/>
      <c r="L127" s="29"/>
      <c r="M127" s="29"/>
      <c r="N127" s="29"/>
      <c r="O127" s="29"/>
      <c r="P127" s="29"/>
      <c r="Q127" s="29"/>
      <c r="R127" s="28"/>
      <c r="S127" s="29"/>
      <c r="T127" s="15" t="str">
        <f aca="false">IF(COUNT(J127:M127)=0,"",SUM(J127:M127))</f>
        <v/>
      </c>
      <c r="U127" s="23" t="str">
        <f aca="false">IF(OR(T127="",I127="",I127=0),"",T127/I127)</f>
        <v/>
      </c>
      <c r="V127" s="10" t="str">
        <f aca="false">IF(A127="","",A127-WEEKDAY(A127,2)+1)</f>
        <v/>
      </c>
    </row>
    <row r="128" customFormat="false" ht="15" hidden="false" customHeight="false" outlineLevel="0" collapsed="false">
      <c r="A128" s="28"/>
      <c r="B128" s="29"/>
      <c r="C128" s="29"/>
      <c r="D128" s="29"/>
      <c r="E128" s="29"/>
      <c r="F128" s="29"/>
      <c r="G128" s="29"/>
      <c r="H128" s="29"/>
      <c r="I128" s="29"/>
      <c r="J128" s="29"/>
      <c r="K128" s="29"/>
      <c r="L128" s="29"/>
      <c r="M128" s="29"/>
      <c r="N128" s="29"/>
      <c r="O128" s="29"/>
      <c r="P128" s="29"/>
      <c r="Q128" s="29"/>
      <c r="R128" s="28"/>
      <c r="S128" s="29"/>
      <c r="T128" s="15" t="str">
        <f aca="false">IF(COUNT(J128:M128)=0,"",SUM(J128:M128))</f>
        <v/>
      </c>
      <c r="U128" s="23" t="str">
        <f aca="false">IF(OR(T128="",I128="",I128=0),"",T128/I128)</f>
        <v/>
      </c>
      <c r="V128" s="10" t="str">
        <f aca="false">IF(A128="","",A128-WEEKDAY(A128,2)+1)</f>
        <v/>
      </c>
    </row>
    <row r="129" customFormat="false" ht="15" hidden="false" customHeight="false" outlineLevel="0" collapsed="false">
      <c r="A129" s="28"/>
      <c r="B129" s="29"/>
      <c r="C129" s="29"/>
      <c r="D129" s="29"/>
      <c r="E129" s="29"/>
      <c r="F129" s="29"/>
      <c r="G129" s="29"/>
      <c r="H129" s="29"/>
      <c r="I129" s="29"/>
      <c r="J129" s="29"/>
      <c r="K129" s="29"/>
      <c r="L129" s="29"/>
      <c r="M129" s="29"/>
      <c r="N129" s="29"/>
      <c r="O129" s="29"/>
      <c r="P129" s="29"/>
      <c r="Q129" s="29"/>
      <c r="R129" s="28"/>
      <c r="S129" s="29"/>
      <c r="T129" s="15" t="str">
        <f aca="false">IF(COUNT(J129:M129)=0,"",SUM(J129:M129))</f>
        <v/>
      </c>
      <c r="U129" s="23" t="str">
        <f aca="false">IF(OR(T129="",I129="",I129=0),"",T129/I129)</f>
        <v/>
      </c>
      <c r="V129" s="10" t="str">
        <f aca="false">IF(A129="","",A129-WEEKDAY(A129,2)+1)</f>
        <v/>
      </c>
    </row>
    <row r="130" customFormat="false" ht="15" hidden="false" customHeight="false" outlineLevel="0" collapsed="false">
      <c r="A130" s="28"/>
      <c r="B130" s="29"/>
      <c r="C130" s="29"/>
      <c r="D130" s="29"/>
      <c r="E130" s="29"/>
      <c r="F130" s="29"/>
      <c r="G130" s="29"/>
      <c r="H130" s="29"/>
      <c r="I130" s="29"/>
      <c r="J130" s="29"/>
      <c r="K130" s="29"/>
      <c r="L130" s="29"/>
      <c r="M130" s="29"/>
      <c r="N130" s="29"/>
      <c r="O130" s="29"/>
      <c r="P130" s="29"/>
      <c r="Q130" s="29"/>
      <c r="R130" s="28"/>
      <c r="S130" s="29"/>
      <c r="T130" s="15" t="str">
        <f aca="false">IF(COUNT(J130:M130)=0,"",SUM(J130:M130))</f>
        <v/>
      </c>
      <c r="U130" s="23" t="str">
        <f aca="false">IF(OR(T130="",I130="",I130=0),"",T130/I130)</f>
        <v/>
      </c>
      <c r="V130" s="10" t="str">
        <f aca="false">IF(A130="","",A130-WEEKDAY(A130,2)+1)</f>
        <v/>
      </c>
    </row>
    <row r="131" customFormat="false" ht="15" hidden="false" customHeight="false" outlineLevel="0" collapsed="false">
      <c r="A131" s="28"/>
      <c r="B131" s="29"/>
      <c r="C131" s="29"/>
      <c r="D131" s="29"/>
      <c r="E131" s="29"/>
      <c r="F131" s="29"/>
      <c r="G131" s="29"/>
      <c r="H131" s="29"/>
      <c r="I131" s="29"/>
      <c r="J131" s="29"/>
      <c r="K131" s="29"/>
      <c r="L131" s="29"/>
      <c r="M131" s="29"/>
      <c r="N131" s="29"/>
      <c r="O131" s="29"/>
      <c r="P131" s="29"/>
      <c r="Q131" s="29"/>
      <c r="R131" s="28"/>
      <c r="S131" s="29"/>
      <c r="T131" s="15" t="str">
        <f aca="false">IF(COUNT(J131:M131)=0,"",SUM(J131:M131))</f>
        <v/>
      </c>
      <c r="U131" s="23" t="str">
        <f aca="false">IF(OR(T131="",I131="",I131=0),"",T131/I131)</f>
        <v/>
      </c>
      <c r="V131" s="10" t="str">
        <f aca="false">IF(A131="","",A131-WEEKDAY(A131,2)+1)</f>
        <v/>
      </c>
    </row>
    <row r="132" customFormat="false" ht="15" hidden="false" customHeight="false" outlineLevel="0" collapsed="false">
      <c r="A132" s="28"/>
      <c r="B132" s="29"/>
      <c r="C132" s="29"/>
      <c r="D132" s="29"/>
      <c r="E132" s="29"/>
      <c r="F132" s="29"/>
      <c r="G132" s="29"/>
      <c r="H132" s="29"/>
      <c r="I132" s="29"/>
      <c r="J132" s="29"/>
      <c r="K132" s="29"/>
      <c r="L132" s="29"/>
      <c r="M132" s="29"/>
      <c r="N132" s="29"/>
      <c r="O132" s="29"/>
      <c r="P132" s="29"/>
      <c r="Q132" s="29"/>
      <c r="R132" s="28"/>
      <c r="S132" s="29"/>
      <c r="T132" s="15" t="str">
        <f aca="false">IF(COUNT(J132:M132)=0,"",SUM(J132:M132))</f>
        <v/>
      </c>
      <c r="U132" s="23" t="str">
        <f aca="false">IF(OR(T132="",I132="",I132=0),"",T132/I132)</f>
        <v/>
      </c>
      <c r="V132" s="10" t="str">
        <f aca="false">IF(A132="","",A132-WEEKDAY(A132,2)+1)</f>
        <v/>
      </c>
    </row>
    <row r="133" customFormat="false" ht="15" hidden="false" customHeight="false" outlineLevel="0" collapsed="false">
      <c r="A133" s="28"/>
      <c r="B133" s="29"/>
      <c r="C133" s="29"/>
      <c r="D133" s="29"/>
      <c r="E133" s="29"/>
      <c r="F133" s="29"/>
      <c r="G133" s="29"/>
      <c r="H133" s="29"/>
      <c r="I133" s="29"/>
      <c r="J133" s="29"/>
      <c r="K133" s="29"/>
      <c r="L133" s="29"/>
      <c r="M133" s="29"/>
      <c r="N133" s="29"/>
      <c r="O133" s="29"/>
      <c r="P133" s="29"/>
      <c r="Q133" s="29"/>
      <c r="R133" s="28"/>
      <c r="S133" s="29"/>
      <c r="T133" s="15" t="str">
        <f aca="false">IF(COUNT(J133:M133)=0,"",SUM(J133:M133))</f>
        <v/>
      </c>
      <c r="U133" s="23" t="str">
        <f aca="false">IF(OR(T133="",I133="",I133=0),"",T133/I133)</f>
        <v/>
      </c>
      <c r="V133" s="10" t="str">
        <f aca="false">IF(A133="","",A133-WEEKDAY(A133,2)+1)</f>
        <v/>
      </c>
    </row>
    <row r="134" customFormat="false" ht="15" hidden="false" customHeight="false" outlineLevel="0" collapsed="false">
      <c r="A134" s="28"/>
      <c r="B134" s="29"/>
      <c r="C134" s="29"/>
      <c r="D134" s="29"/>
      <c r="E134" s="29"/>
      <c r="F134" s="29"/>
      <c r="G134" s="29"/>
      <c r="H134" s="29"/>
      <c r="I134" s="29"/>
      <c r="J134" s="29"/>
      <c r="K134" s="29"/>
      <c r="L134" s="29"/>
      <c r="M134" s="29"/>
      <c r="N134" s="29"/>
      <c r="O134" s="29"/>
      <c r="P134" s="29"/>
      <c r="Q134" s="29"/>
      <c r="R134" s="28"/>
      <c r="S134" s="29"/>
      <c r="T134" s="15" t="str">
        <f aca="false">IF(COUNT(J134:M134)=0,"",SUM(J134:M134))</f>
        <v/>
      </c>
      <c r="U134" s="23" t="str">
        <f aca="false">IF(OR(T134="",I134="",I134=0),"",T134/I134)</f>
        <v/>
      </c>
      <c r="V134" s="10" t="str">
        <f aca="false">IF(A134="","",A134-WEEKDAY(A134,2)+1)</f>
        <v/>
      </c>
    </row>
    <row r="135" customFormat="false" ht="15" hidden="false" customHeight="false" outlineLevel="0" collapsed="false">
      <c r="A135" s="28"/>
      <c r="B135" s="29"/>
      <c r="C135" s="29"/>
      <c r="D135" s="29"/>
      <c r="E135" s="29"/>
      <c r="F135" s="29"/>
      <c r="G135" s="29"/>
      <c r="H135" s="29"/>
      <c r="I135" s="29"/>
      <c r="J135" s="29"/>
      <c r="K135" s="29"/>
      <c r="L135" s="29"/>
      <c r="M135" s="29"/>
      <c r="N135" s="29"/>
      <c r="O135" s="29"/>
      <c r="P135" s="29"/>
      <c r="Q135" s="29"/>
      <c r="R135" s="28"/>
      <c r="S135" s="29"/>
      <c r="T135" s="15" t="str">
        <f aca="false">IF(COUNT(J135:M135)=0,"",SUM(J135:M135))</f>
        <v/>
      </c>
      <c r="U135" s="23" t="str">
        <f aca="false">IF(OR(T135="",I135="",I135=0),"",T135/I135)</f>
        <v/>
      </c>
      <c r="V135" s="10" t="str">
        <f aca="false">IF(A135="","",A135-WEEKDAY(A135,2)+1)</f>
        <v/>
      </c>
    </row>
    <row r="136" customFormat="false" ht="15" hidden="false" customHeight="false" outlineLevel="0" collapsed="false">
      <c r="A136" s="28"/>
      <c r="B136" s="29"/>
      <c r="C136" s="29"/>
      <c r="D136" s="29"/>
      <c r="E136" s="29"/>
      <c r="F136" s="29"/>
      <c r="G136" s="29"/>
      <c r="H136" s="29"/>
      <c r="I136" s="29"/>
      <c r="J136" s="29"/>
      <c r="K136" s="29"/>
      <c r="L136" s="29"/>
      <c r="M136" s="29"/>
      <c r="N136" s="29"/>
      <c r="O136" s="29"/>
      <c r="P136" s="29"/>
      <c r="Q136" s="29"/>
      <c r="R136" s="28"/>
      <c r="S136" s="29"/>
      <c r="T136" s="15" t="str">
        <f aca="false">IF(COUNT(J136:M136)=0,"",SUM(J136:M136))</f>
        <v/>
      </c>
      <c r="U136" s="23" t="str">
        <f aca="false">IF(OR(T136="",I136="",I136=0),"",T136/I136)</f>
        <v/>
      </c>
      <c r="V136" s="10" t="str">
        <f aca="false">IF(A136="","",A136-WEEKDAY(A136,2)+1)</f>
        <v/>
      </c>
    </row>
    <row r="137" customFormat="false" ht="15" hidden="false" customHeight="false" outlineLevel="0" collapsed="false">
      <c r="A137" s="28"/>
      <c r="B137" s="29"/>
      <c r="C137" s="29"/>
      <c r="D137" s="29"/>
      <c r="E137" s="29"/>
      <c r="F137" s="29"/>
      <c r="G137" s="29"/>
      <c r="H137" s="29"/>
      <c r="I137" s="29"/>
      <c r="J137" s="29"/>
      <c r="K137" s="29"/>
      <c r="L137" s="29"/>
      <c r="M137" s="29"/>
      <c r="N137" s="29"/>
      <c r="O137" s="29"/>
      <c r="P137" s="29"/>
      <c r="Q137" s="29"/>
      <c r="R137" s="28"/>
      <c r="S137" s="29"/>
      <c r="T137" s="15" t="str">
        <f aca="false">IF(COUNT(J137:M137)=0,"",SUM(J137:M137))</f>
        <v/>
      </c>
      <c r="U137" s="23" t="str">
        <f aca="false">IF(OR(T137="",I137="",I137=0),"",T137/I137)</f>
        <v/>
      </c>
      <c r="V137" s="10" t="str">
        <f aca="false">IF(A137="","",A137-WEEKDAY(A137,2)+1)</f>
        <v/>
      </c>
    </row>
    <row r="138" customFormat="false" ht="15" hidden="false" customHeight="false" outlineLevel="0" collapsed="false">
      <c r="A138" s="28"/>
      <c r="B138" s="29"/>
      <c r="C138" s="29"/>
      <c r="D138" s="29"/>
      <c r="E138" s="29"/>
      <c r="F138" s="29"/>
      <c r="G138" s="29"/>
      <c r="H138" s="29"/>
      <c r="I138" s="29"/>
      <c r="J138" s="29"/>
      <c r="K138" s="29"/>
      <c r="L138" s="29"/>
      <c r="M138" s="29"/>
      <c r="N138" s="29"/>
      <c r="O138" s="29"/>
      <c r="P138" s="29"/>
      <c r="Q138" s="29"/>
      <c r="R138" s="28"/>
      <c r="S138" s="29"/>
      <c r="T138" s="15" t="str">
        <f aca="false">IF(COUNT(J138:M138)=0,"",SUM(J138:M138))</f>
        <v/>
      </c>
      <c r="U138" s="23" t="str">
        <f aca="false">IF(OR(T138="",I138="",I138=0),"",T138/I138)</f>
        <v/>
      </c>
      <c r="V138" s="10" t="str">
        <f aca="false">IF(A138="","",A138-WEEKDAY(A138,2)+1)</f>
        <v/>
      </c>
    </row>
    <row r="139" customFormat="false" ht="15" hidden="false" customHeight="false" outlineLevel="0" collapsed="false">
      <c r="A139" s="28"/>
      <c r="B139" s="29"/>
      <c r="C139" s="29"/>
      <c r="D139" s="29"/>
      <c r="E139" s="29"/>
      <c r="F139" s="29"/>
      <c r="G139" s="29"/>
      <c r="H139" s="29"/>
      <c r="I139" s="29"/>
      <c r="J139" s="29"/>
      <c r="K139" s="29"/>
      <c r="L139" s="29"/>
      <c r="M139" s="29"/>
      <c r="N139" s="29"/>
      <c r="O139" s="29"/>
      <c r="P139" s="29"/>
      <c r="Q139" s="29"/>
      <c r="R139" s="28"/>
      <c r="S139" s="29"/>
      <c r="T139" s="15" t="str">
        <f aca="false">IF(COUNT(J139:M139)=0,"",SUM(J139:M139))</f>
        <v/>
      </c>
      <c r="U139" s="23" t="str">
        <f aca="false">IF(OR(T139="",I139="",I139=0),"",T139/I139)</f>
        <v/>
      </c>
      <c r="V139" s="10" t="str">
        <f aca="false">IF(A139="","",A139-WEEKDAY(A139,2)+1)</f>
        <v/>
      </c>
    </row>
    <row r="140" customFormat="false" ht="15" hidden="false" customHeight="false" outlineLevel="0" collapsed="false">
      <c r="A140" s="28"/>
      <c r="B140" s="29"/>
      <c r="C140" s="29"/>
      <c r="D140" s="29"/>
      <c r="E140" s="29"/>
      <c r="F140" s="29"/>
      <c r="G140" s="29"/>
      <c r="H140" s="29"/>
      <c r="I140" s="29"/>
      <c r="J140" s="29"/>
      <c r="K140" s="29"/>
      <c r="L140" s="29"/>
      <c r="M140" s="29"/>
      <c r="N140" s="29"/>
      <c r="O140" s="29"/>
      <c r="P140" s="29"/>
      <c r="Q140" s="29"/>
      <c r="R140" s="28"/>
      <c r="S140" s="29"/>
      <c r="T140" s="15" t="str">
        <f aca="false">IF(COUNT(J140:M140)=0,"",SUM(J140:M140))</f>
        <v/>
      </c>
      <c r="U140" s="23" t="str">
        <f aca="false">IF(OR(T140="",I140="",I140=0),"",T140/I140)</f>
        <v/>
      </c>
      <c r="V140" s="10" t="str">
        <f aca="false">IF(A140="","",A140-WEEKDAY(A140,2)+1)</f>
        <v/>
      </c>
    </row>
    <row r="141" customFormat="false" ht="15" hidden="false" customHeight="false" outlineLevel="0" collapsed="false">
      <c r="A141" s="28"/>
      <c r="B141" s="29"/>
      <c r="C141" s="29"/>
      <c r="D141" s="29"/>
      <c r="E141" s="29"/>
      <c r="F141" s="29"/>
      <c r="G141" s="29"/>
      <c r="H141" s="29"/>
      <c r="I141" s="29"/>
      <c r="J141" s="29"/>
      <c r="K141" s="29"/>
      <c r="L141" s="29"/>
      <c r="M141" s="29"/>
      <c r="N141" s="29"/>
      <c r="O141" s="29"/>
      <c r="P141" s="29"/>
      <c r="Q141" s="29"/>
      <c r="R141" s="28"/>
      <c r="S141" s="29"/>
      <c r="T141" s="15" t="str">
        <f aca="false">IF(COUNT(J141:M141)=0,"",SUM(J141:M141))</f>
        <v/>
      </c>
      <c r="U141" s="23" t="str">
        <f aca="false">IF(OR(T141="",I141="",I141=0),"",T141/I141)</f>
        <v/>
      </c>
      <c r="V141" s="10" t="str">
        <f aca="false">IF(A141="","",A141-WEEKDAY(A141,2)+1)</f>
        <v/>
      </c>
    </row>
    <row r="142" customFormat="false" ht="15" hidden="false" customHeight="false" outlineLevel="0" collapsed="false">
      <c r="A142" s="28"/>
      <c r="B142" s="29"/>
      <c r="C142" s="29"/>
      <c r="D142" s="29"/>
      <c r="E142" s="29"/>
      <c r="F142" s="29"/>
      <c r="G142" s="29"/>
      <c r="H142" s="29"/>
      <c r="I142" s="29"/>
      <c r="J142" s="29"/>
      <c r="K142" s="29"/>
      <c r="L142" s="29"/>
      <c r="M142" s="29"/>
      <c r="N142" s="29"/>
      <c r="O142" s="29"/>
      <c r="P142" s="29"/>
      <c r="Q142" s="29"/>
      <c r="R142" s="28"/>
      <c r="S142" s="29"/>
      <c r="T142" s="15" t="str">
        <f aca="false">IF(COUNT(J142:M142)=0,"",SUM(J142:M142))</f>
        <v/>
      </c>
      <c r="U142" s="23" t="str">
        <f aca="false">IF(OR(T142="",I142="",I142=0),"",T142/I142)</f>
        <v/>
      </c>
      <c r="V142" s="10" t="str">
        <f aca="false">IF(A142="","",A142-WEEKDAY(A142,2)+1)</f>
        <v/>
      </c>
    </row>
    <row r="143" customFormat="false" ht="15" hidden="false" customHeight="false" outlineLevel="0" collapsed="false">
      <c r="A143" s="28"/>
      <c r="B143" s="29"/>
      <c r="C143" s="29"/>
      <c r="D143" s="29"/>
      <c r="E143" s="29"/>
      <c r="F143" s="29"/>
      <c r="G143" s="29"/>
      <c r="H143" s="29"/>
      <c r="I143" s="29"/>
      <c r="J143" s="29"/>
      <c r="K143" s="29"/>
      <c r="L143" s="29"/>
      <c r="M143" s="29"/>
      <c r="N143" s="29"/>
      <c r="O143" s="29"/>
      <c r="P143" s="29"/>
      <c r="Q143" s="29"/>
      <c r="R143" s="28"/>
      <c r="S143" s="29"/>
      <c r="T143" s="15" t="str">
        <f aca="false">IF(COUNT(J143:M143)=0,"",SUM(J143:M143))</f>
        <v/>
      </c>
      <c r="U143" s="23" t="str">
        <f aca="false">IF(OR(T143="",I143="",I143=0),"",T143/I143)</f>
        <v/>
      </c>
      <c r="V143" s="10" t="str">
        <f aca="false">IF(A143="","",A143-WEEKDAY(A143,2)+1)</f>
        <v/>
      </c>
    </row>
    <row r="144" customFormat="false" ht="15" hidden="false" customHeight="false" outlineLevel="0" collapsed="false">
      <c r="A144" s="28"/>
      <c r="B144" s="29"/>
      <c r="C144" s="29"/>
      <c r="D144" s="29"/>
      <c r="E144" s="29"/>
      <c r="F144" s="29"/>
      <c r="G144" s="29"/>
      <c r="H144" s="29"/>
      <c r="I144" s="29"/>
      <c r="J144" s="29"/>
      <c r="K144" s="29"/>
      <c r="L144" s="29"/>
      <c r="M144" s="29"/>
      <c r="N144" s="29"/>
      <c r="O144" s="29"/>
      <c r="P144" s="29"/>
      <c r="Q144" s="29"/>
      <c r="R144" s="28"/>
      <c r="S144" s="29"/>
      <c r="T144" s="15" t="str">
        <f aca="false">IF(COUNT(J144:M144)=0,"",SUM(J144:M144))</f>
        <v/>
      </c>
      <c r="U144" s="23" t="str">
        <f aca="false">IF(OR(T144="",I144="",I144=0),"",T144/I144)</f>
        <v/>
      </c>
      <c r="V144" s="10" t="str">
        <f aca="false">IF(A144="","",A144-WEEKDAY(A144,2)+1)</f>
        <v/>
      </c>
    </row>
    <row r="145" customFormat="false" ht="15" hidden="false" customHeight="false" outlineLevel="0" collapsed="false">
      <c r="A145" s="28"/>
      <c r="B145" s="29"/>
      <c r="C145" s="29"/>
      <c r="D145" s="29"/>
      <c r="E145" s="29"/>
      <c r="F145" s="29"/>
      <c r="G145" s="29"/>
      <c r="H145" s="29"/>
      <c r="I145" s="29"/>
      <c r="J145" s="29"/>
      <c r="K145" s="29"/>
      <c r="L145" s="29"/>
      <c r="M145" s="29"/>
      <c r="N145" s="29"/>
      <c r="O145" s="29"/>
      <c r="P145" s="29"/>
      <c r="Q145" s="29"/>
      <c r="R145" s="28"/>
      <c r="S145" s="29"/>
      <c r="T145" s="15" t="str">
        <f aca="false">IF(COUNT(J145:M145)=0,"",SUM(J145:M145))</f>
        <v/>
      </c>
      <c r="U145" s="23" t="str">
        <f aca="false">IF(OR(T145="",I145="",I145=0),"",T145/I145)</f>
        <v/>
      </c>
      <c r="V145" s="10" t="str">
        <f aca="false">IF(A145="","",A145-WEEKDAY(A145,2)+1)</f>
        <v/>
      </c>
    </row>
    <row r="146" customFormat="false" ht="15" hidden="false" customHeight="false" outlineLevel="0" collapsed="false">
      <c r="A146" s="28"/>
      <c r="B146" s="29"/>
      <c r="C146" s="29"/>
      <c r="D146" s="29"/>
      <c r="E146" s="29"/>
      <c r="F146" s="29"/>
      <c r="G146" s="29"/>
      <c r="H146" s="29"/>
      <c r="I146" s="29"/>
      <c r="J146" s="29"/>
      <c r="K146" s="29"/>
      <c r="L146" s="29"/>
      <c r="M146" s="29"/>
      <c r="N146" s="29"/>
      <c r="O146" s="29"/>
      <c r="P146" s="29"/>
      <c r="Q146" s="29"/>
      <c r="R146" s="28"/>
      <c r="S146" s="29"/>
      <c r="T146" s="15" t="str">
        <f aca="false">IF(COUNT(J146:M146)=0,"",SUM(J146:M146))</f>
        <v/>
      </c>
      <c r="U146" s="23" t="str">
        <f aca="false">IF(OR(T146="",I146="",I146=0),"",T146/I146)</f>
        <v/>
      </c>
      <c r="V146" s="10" t="str">
        <f aca="false">IF(A146="","",A146-WEEKDAY(A146,2)+1)</f>
        <v/>
      </c>
    </row>
    <row r="147" customFormat="false" ht="15" hidden="false" customHeight="false" outlineLevel="0" collapsed="false">
      <c r="A147" s="28"/>
      <c r="B147" s="29"/>
      <c r="C147" s="29"/>
      <c r="D147" s="29"/>
      <c r="E147" s="29"/>
      <c r="F147" s="29"/>
      <c r="G147" s="29"/>
      <c r="H147" s="29"/>
      <c r="I147" s="29"/>
      <c r="J147" s="29"/>
      <c r="K147" s="29"/>
      <c r="L147" s="29"/>
      <c r="M147" s="29"/>
      <c r="N147" s="29"/>
      <c r="O147" s="29"/>
      <c r="P147" s="29"/>
      <c r="Q147" s="29"/>
      <c r="R147" s="28"/>
      <c r="S147" s="29"/>
      <c r="T147" s="15" t="str">
        <f aca="false">IF(COUNT(J147:M147)=0,"",SUM(J147:M147))</f>
        <v/>
      </c>
      <c r="U147" s="23" t="str">
        <f aca="false">IF(OR(T147="",I147="",I147=0),"",T147/I147)</f>
        <v/>
      </c>
      <c r="V147" s="10" t="str">
        <f aca="false">IF(A147="","",A147-WEEKDAY(A147,2)+1)</f>
        <v/>
      </c>
    </row>
    <row r="148" customFormat="false" ht="15" hidden="false" customHeight="false" outlineLevel="0" collapsed="false">
      <c r="A148" s="28"/>
      <c r="B148" s="29"/>
      <c r="C148" s="29"/>
      <c r="D148" s="29"/>
      <c r="E148" s="29"/>
      <c r="F148" s="29"/>
      <c r="G148" s="29"/>
      <c r="H148" s="29"/>
      <c r="I148" s="29"/>
      <c r="J148" s="29"/>
      <c r="K148" s="29"/>
      <c r="L148" s="29"/>
      <c r="M148" s="29"/>
      <c r="N148" s="29"/>
      <c r="O148" s="29"/>
      <c r="P148" s="29"/>
      <c r="Q148" s="29"/>
      <c r="R148" s="28"/>
      <c r="S148" s="29"/>
      <c r="T148" s="15" t="str">
        <f aca="false">IF(COUNT(J148:M148)=0,"",SUM(J148:M148))</f>
        <v/>
      </c>
      <c r="U148" s="23" t="str">
        <f aca="false">IF(OR(T148="",I148="",I148=0),"",T148/I148)</f>
        <v/>
      </c>
      <c r="V148" s="10" t="str">
        <f aca="false">IF(A148="","",A148-WEEKDAY(A148,2)+1)</f>
        <v/>
      </c>
    </row>
    <row r="149" customFormat="false" ht="15" hidden="false" customHeight="false" outlineLevel="0" collapsed="false">
      <c r="A149" s="28"/>
      <c r="B149" s="29"/>
      <c r="C149" s="29"/>
      <c r="D149" s="29"/>
      <c r="E149" s="29"/>
      <c r="F149" s="29"/>
      <c r="G149" s="29"/>
      <c r="H149" s="29"/>
      <c r="I149" s="29"/>
      <c r="J149" s="29"/>
      <c r="K149" s="29"/>
      <c r="L149" s="29"/>
      <c r="M149" s="29"/>
      <c r="N149" s="29"/>
      <c r="O149" s="29"/>
      <c r="P149" s="29"/>
      <c r="Q149" s="29"/>
      <c r="R149" s="28"/>
      <c r="S149" s="29"/>
      <c r="T149" s="15" t="str">
        <f aca="false">IF(COUNT(J149:M149)=0,"",SUM(J149:M149))</f>
        <v/>
      </c>
      <c r="U149" s="23" t="str">
        <f aca="false">IF(OR(T149="",I149="",I149=0),"",T149/I149)</f>
        <v/>
      </c>
      <c r="V149" s="10" t="str">
        <f aca="false">IF(A149="","",A149-WEEKDAY(A149,2)+1)</f>
        <v/>
      </c>
    </row>
    <row r="150" customFormat="false" ht="15" hidden="false" customHeight="false" outlineLevel="0" collapsed="false">
      <c r="A150" s="28"/>
      <c r="B150" s="29"/>
      <c r="C150" s="29"/>
      <c r="D150" s="29"/>
      <c r="E150" s="29"/>
      <c r="F150" s="29"/>
      <c r="G150" s="29"/>
      <c r="H150" s="29"/>
      <c r="I150" s="29"/>
      <c r="J150" s="29"/>
      <c r="K150" s="29"/>
      <c r="L150" s="29"/>
      <c r="M150" s="29"/>
      <c r="N150" s="29"/>
      <c r="O150" s="29"/>
      <c r="P150" s="29"/>
      <c r="Q150" s="29"/>
      <c r="R150" s="28"/>
      <c r="S150" s="29"/>
      <c r="T150" s="15" t="str">
        <f aca="false">IF(COUNT(J150:M150)=0,"",SUM(J150:M150))</f>
        <v/>
      </c>
      <c r="U150" s="23" t="str">
        <f aca="false">IF(OR(T150="",I150="",I150=0),"",T150/I150)</f>
        <v/>
      </c>
      <c r="V150" s="10" t="str">
        <f aca="false">IF(A150="","",A150-WEEKDAY(A150,2)+1)</f>
        <v/>
      </c>
    </row>
    <row r="151" customFormat="false" ht="15" hidden="false" customHeight="false" outlineLevel="0" collapsed="false">
      <c r="A151" s="28"/>
      <c r="B151" s="29"/>
      <c r="C151" s="29"/>
      <c r="D151" s="29"/>
      <c r="E151" s="29"/>
      <c r="F151" s="29"/>
      <c r="G151" s="29"/>
      <c r="H151" s="29"/>
      <c r="I151" s="29"/>
      <c r="J151" s="29"/>
      <c r="K151" s="29"/>
      <c r="L151" s="29"/>
      <c r="M151" s="29"/>
      <c r="N151" s="29"/>
      <c r="O151" s="29"/>
      <c r="P151" s="29"/>
      <c r="Q151" s="29"/>
      <c r="R151" s="28"/>
      <c r="S151" s="29"/>
      <c r="T151" s="15" t="str">
        <f aca="false">IF(COUNT(J151:M151)=0,"",SUM(J151:M151))</f>
        <v/>
      </c>
      <c r="U151" s="23" t="str">
        <f aca="false">IF(OR(T151="",I151="",I151=0),"",T151/I151)</f>
        <v/>
      </c>
      <c r="V151" s="10" t="str">
        <f aca="false">IF(A151="","",A151-WEEKDAY(A151,2)+1)</f>
        <v/>
      </c>
    </row>
    <row r="152" customFormat="false" ht="15" hidden="false" customHeight="false" outlineLevel="0" collapsed="false">
      <c r="A152" s="28"/>
      <c r="B152" s="29"/>
      <c r="C152" s="29"/>
      <c r="D152" s="29"/>
      <c r="E152" s="29"/>
      <c r="F152" s="29"/>
      <c r="G152" s="29"/>
      <c r="H152" s="29"/>
      <c r="I152" s="29"/>
      <c r="J152" s="29"/>
      <c r="K152" s="29"/>
      <c r="L152" s="29"/>
      <c r="M152" s="29"/>
      <c r="N152" s="29"/>
      <c r="O152" s="29"/>
      <c r="P152" s="29"/>
      <c r="Q152" s="29"/>
      <c r="R152" s="28"/>
      <c r="S152" s="29"/>
      <c r="T152" s="15" t="str">
        <f aca="false">IF(COUNT(J152:M152)=0,"",SUM(J152:M152))</f>
        <v/>
      </c>
      <c r="U152" s="23" t="str">
        <f aca="false">IF(OR(T152="",I152="",I152=0),"",T152/I152)</f>
        <v/>
      </c>
      <c r="V152" s="10" t="str">
        <f aca="false">IF(A152="","",A152-WEEKDAY(A152,2)+1)</f>
        <v/>
      </c>
    </row>
    <row r="153" customFormat="false" ht="15" hidden="false" customHeight="false" outlineLevel="0" collapsed="false">
      <c r="A153" s="28"/>
      <c r="B153" s="29"/>
      <c r="C153" s="29"/>
      <c r="D153" s="29"/>
      <c r="E153" s="29"/>
      <c r="F153" s="29"/>
      <c r="G153" s="29"/>
      <c r="H153" s="29"/>
      <c r="I153" s="29"/>
      <c r="J153" s="29"/>
      <c r="K153" s="29"/>
      <c r="L153" s="29"/>
      <c r="M153" s="29"/>
      <c r="N153" s="29"/>
      <c r="O153" s="29"/>
      <c r="P153" s="29"/>
      <c r="Q153" s="29"/>
      <c r="R153" s="28"/>
      <c r="S153" s="29"/>
      <c r="T153" s="15" t="str">
        <f aca="false">IF(COUNT(J153:M153)=0,"",SUM(J153:M153))</f>
        <v/>
      </c>
      <c r="U153" s="23" t="str">
        <f aca="false">IF(OR(T153="",I153="",I153=0),"",T153/I153)</f>
        <v/>
      </c>
      <c r="V153" s="10" t="str">
        <f aca="false">IF(A153="","",A153-WEEKDAY(A153,2)+1)</f>
        <v/>
      </c>
    </row>
    <row r="154" customFormat="false" ht="15" hidden="false" customHeight="false" outlineLevel="0" collapsed="false">
      <c r="A154" s="28"/>
      <c r="B154" s="29"/>
      <c r="C154" s="29"/>
      <c r="D154" s="29"/>
      <c r="E154" s="29"/>
      <c r="F154" s="29"/>
      <c r="G154" s="29"/>
      <c r="H154" s="29"/>
      <c r="I154" s="29"/>
      <c r="J154" s="29"/>
      <c r="K154" s="29"/>
      <c r="L154" s="29"/>
      <c r="M154" s="29"/>
      <c r="N154" s="29"/>
      <c r="O154" s="29"/>
      <c r="P154" s="29"/>
      <c r="Q154" s="29"/>
      <c r="R154" s="28"/>
      <c r="S154" s="29"/>
      <c r="T154" s="15" t="str">
        <f aca="false">IF(COUNT(J154:M154)=0,"",SUM(J154:M154))</f>
        <v/>
      </c>
      <c r="U154" s="23" t="str">
        <f aca="false">IF(OR(T154="",I154="",I154=0),"",T154/I154)</f>
        <v/>
      </c>
      <c r="V154" s="10" t="str">
        <f aca="false">IF(A154="","",A154-WEEKDAY(A154,2)+1)</f>
        <v/>
      </c>
    </row>
    <row r="155" customFormat="false" ht="15" hidden="false" customHeight="false" outlineLevel="0" collapsed="false">
      <c r="A155" s="28"/>
      <c r="B155" s="29"/>
      <c r="C155" s="29"/>
      <c r="D155" s="29"/>
      <c r="E155" s="29"/>
      <c r="F155" s="29"/>
      <c r="G155" s="29"/>
      <c r="H155" s="29"/>
      <c r="I155" s="29"/>
      <c r="J155" s="29"/>
      <c r="K155" s="29"/>
      <c r="L155" s="29"/>
      <c r="M155" s="29"/>
      <c r="N155" s="29"/>
      <c r="O155" s="29"/>
      <c r="P155" s="29"/>
      <c r="Q155" s="29"/>
      <c r="R155" s="28"/>
      <c r="S155" s="29"/>
      <c r="T155" s="15" t="str">
        <f aca="false">IF(COUNT(J155:M155)=0,"",SUM(J155:M155))</f>
        <v/>
      </c>
      <c r="U155" s="23" t="str">
        <f aca="false">IF(OR(T155="",I155="",I155=0),"",T155/I155)</f>
        <v/>
      </c>
      <c r="V155" s="10" t="str">
        <f aca="false">IF(A155="","",A155-WEEKDAY(A155,2)+1)</f>
        <v/>
      </c>
    </row>
    <row r="156" customFormat="false" ht="15" hidden="false" customHeight="false" outlineLevel="0" collapsed="false">
      <c r="A156" s="28"/>
      <c r="B156" s="29"/>
      <c r="C156" s="29"/>
      <c r="D156" s="29"/>
      <c r="E156" s="29"/>
      <c r="F156" s="29"/>
      <c r="G156" s="29"/>
      <c r="H156" s="29"/>
      <c r="I156" s="29"/>
      <c r="J156" s="29"/>
      <c r="K156" s="29"/>
      <c r="L156" s="29"/>
      <c r="M156" s="29"/>
      <c r="N156" s="29"/>
      <c r="O156" s="29"/>
      <c r="P156" s="29"/>
      <c r="Q156" s="29"/>
      <c r="R156" s="28"/>
      <c r="S156" s="29"/>
      <c r="T156" s="15" t="str">
        <f aca="false">IF(COUNT(J156:M156)=0,"",SUM(J156:M156))</f>
        <v/>
      </c>
      <c r="U156" s="23" t="str">
        <f aca="false">IF(OR(T156="",I156="",I156=0),"",T156/I156)</f>
        <v/>
      </c>
      <c r="V156" s="10" t="str">
        <f aca="false">IF(A156="","",A156-WEEKDAY(A156,2)+1)</f>
        <v/>
      </c>
    </row>
    <row r="157" customFormat="false" ht="15" hidden="false" customHeight="false" outlineLevel="0" collapsed="false">
      <c r="A157" s="28"/>
      <c r="B157" s="29"/>
      <c r="C157" s="29"/>
      <c r="D157" s="29"/>
      <c r="E157" s="29"/>
      <c r="F157" s="29"/>
      <c r="G157" s="29"/>
      <c r="H157" s="29"/>
      <c r="I157" s="29"/>
      <c r="J157" s="29"/>
      <c r="K157" s="29"/>
      <c r="L157" s="29"/>
      <c r="M157" s="29"/>
      <c r="N157" s="29"/>
      <c r="O157" s="29"/>
      <c r="P157" s="29"/>
      <c r="Q157" s="29"/>
      <c r="R157" s="28"/>
      <c r="S157" s="29"/>
      <c r="T157" s="15" t="str">
        <f aca="false">IF(COUNT(J157:M157)=0,"",SUM(J157:M157))</f>
        <v/>
      </c>
      <c r="U157" s="23" t="str">
        <f aca="false">IF(OR(T157="",I157="",I157=0),"",T157/I157)</f>
        <v/>
      </c>
      <c r="V157" s="10" t="str">
        <f aca="false">IF(A157="","",A157-WEEKDAY(A157,2)+1)</f>
        <v/>
      </c>
    </row>
    <row r="158" customFormat="false" ht="15" hidden="false" customHeight="false" outlineLevel="0" collapsed="false">
      <c r="A158" s="28"/>
      <c r="B158" s="29"/>
      <c r="C158" s="29"/>
      <c r="D158" s="29"/>
      <c r="E158" s="29"/>
      <c r="F158" s="29"/>
      <c r="G158" s="29"/>
      <c r="H158" s="29"/>
      <c r="I158" s="29"/>
      <c r="J158" s="29"/>
      <c r="K158" s="29"/>
      <c r="L158" s="29"/>
      <c r="M158" s="29"/>
      <c r="N158" s="29"/>
      <c r="O158" s="29"/>
      <c r="P158" s="29"/>
      <c r="Q158" s="29"/>
      <c r="R158" s="28"/>
      <c r="S158" s="29"/>
      <c r="T158" s="15" t="str">
        <f aca="false">IF(COUNT(J158:M158)=0,"",SUM(J158:M158))</f>
        <v/>
      </c>
      <c r="U158" s="23" t="str">
        <f aca="false">IF(OR(T158="",I158="",I158=0),"",T158/I158)</f>
        <v/>
      </c>
      <c r="V158" s="10" t="str">
        <f aca="false">IF(A158="","",A158-WEEKDAY(A158,2)+1)</f>
        <v/>
      </c>
    </row>
    <row r="159" customFormat="false" ht="15" hidden="false" customHeight="false" outlineLevel="0" collapsed="false">
      <c r="A159" s="28"/>
      <c r="B159" s="29"/>
      <c r="C159" s="29"/>
      <c r="D159" s="29"/>
      <c r="E159" s="29"/>
      <c r="F159" s="29"/>
      <c r="G159" s="29"/>
      <c r="H159" s="29"/>
      <c r="I159" s="29"/>
      <c r="J159" s="29"/>
      <c r="K159" s="29"/>
      <c r="L159" s="29"/>
      <c r="M159" s="29"/>
      <c r="N159" s="29"/>
      <c r="O159" s="29"/>
      <c r="P159" s="29"/>
      <c r="Q159" s="29"/>
      <c r="R159" s="28"/>
      <c r="S159" s="29"/>
      <c r="T159" s="15" t="str">
        <f aca="false">IF(COUNT(J159:M159)=0,"",SUM(J159:M159))</f>
        <v/>
      </c>
      <c r="U159" s="23" t="str">
        <f aca="false">IF(OR(T159="",I159="",I159=0),"",T159/I159)</f>
        <v/>
      </c>
      <c r="V159" s="10" t="str">
        <f aca="false">IF(A159="","",A159-WEEKDAY(A159,2)+1)</f>
        <v/>
      </c>
    </row>
    <row r="160" customFormat="false" ht="15" hidden="false" customHeight="false" outlineLevel="0" collapsed="false">
      <c r="A160" s="28"/>
      <c r="B160" s="29"/>
      <c r="C160" s="29"/>
      <c r="D160" s="29"/>
      <c r="E160" s="29"/>
      <c r="F160" s="29"/>
      <c r="G160" s="29"/>
      <c r="H160" s="29"/>
      <c r="I160" s="29"/>
      <c r="J160" s="29"/>
      <c r="K160" s="29"/>
      <c r="L160" s="29"/>
      <c r="M160" s="29"/>
      <c r="N160" s="29"/>
      <c r="O160" s="29"/>
      <c r="P160" s="29"/>
      <c r="Q160" s="29"/>
      <c r="R160" s="28"/>
      <c r="S160" s="29"/>
      <c r="T160" s="15" t="str">
        <f aca="false">IF(COUNT(J160:M160)=0,"",SUM(J160:M160))</f>
        <v/>
      </c>
      <c r="U160" s="23" t="str">
        <f aca="false">IF(OR(T160="",I160="",I160=0),"",T160/I160)</f>
        <v/>
      </c>
      <c r="V160" s="10" t="str">
        <f aca="false">IF(A160="","",A160-WEEKDAY(A160,2)+1)</f>
        <v/>
      </c>
    </row>
    <row r="161" customFormat="false" ht="15" hidden="false" customHeight="false" outlineLevel="0" collapsed="false">
      <c r="A161" s="28"/>
      <c r="B161" s="29"/>
      <c r="C161" s="29"/>
      <c r="D161" s="29"/>
      <c r="E161" s="29"/>
      <c r="F161" s="29"/>
      <c r="G161" s="29"/>
      <c r="H161" s="29"/>
      <c r="I161" s="29"/>
      <c r="J161" s="29"/>
      <c r="K161" s="29"/>
      <c r="L161" s="29"/>
      <c r="M161" s="29"/>
      <c r="N161" s="29"/>
      <c r="O161" s="29"/>
      <c r="P161" s="29"/>
      <c r="Q161" s="29"/>
      <c r="R161" s="28"/>
      <c r="S161" s="29"/>
      <c r="T161" s="15" t="str">
        <f aca="false">IF(COUNT(J161:M161)=0,"",SUM(J161:M161))</f>
        <v/>
      </c>
      <c r="U161" s="23" t="str">
        <f aca="false">IF(OR(T161="",I161="",I161=0),"",T161/I161)</f>
        <v/>
      </c>
      <c r="V161" s="10" t="str">
        <f aca="false">IF(A161="","",A161-WEEKDAY(A161,2)+1)</f>
        <v/>
      </c>
    </row>
    <row r="162" customFormat="false" ht="15" hidden="false" customHeight="false" outlineLevel="0" collapsed="false">
      <c r="A162" s="28"/>
      <c r="B162" s="29"/>
      <c r="C162" s="29"/>
      <c r="D162" s="29"/>
      <c r="E162" s="29"/>
      <c r="F162" s="29"/>
      <c r="G162" s="29"/>
      <c r="H162" s="29"/>
      <c r="I162" s="29"/>
      <c r="J162" s="29"/>
      <c r="K162" s="29"/>
      <c r="L162" s="29"/>
      <c r="M162" s="29"/>
      <c r="N162" s="29"/>
      <c r="O162" s="29"/>
      <c r="P162" s="29"/>
      <c r="Q162" s="29"/>
      <c r="R162" s="28"/>
      <c r="S162" s="29"/>
      <c r="T162" s="15" t="str">
        <f aca="false">IF(COUNT(J162:M162)=0,"",SUM(J162:M162))</f>
        <v/>
      </c>
      <c r="U162" s="23" t="str">
        <f aca="false">IF(OR(T162="",I162="",I162=0),"",T162/I162)</f>
        <v/>
      </c>
      <c r="V162" s="10" t="str">
        <f aca="false">IF(A162="","",A162-WEEKDAY(A162,2)+1)</f>
        <v/>
      </c>
    </row>
    <row r="163" customFormat="false" ht="15" hidden="false" customHeight="false" outlineLevel="0" collapsed="false">
      <c r="A163" s="28"/>
      <c r="B163" s="29"/>
      <c r="C163" s="29"/>
      <c r="D163" s="29"/>
      <c r="E163" s="29"/>
      <c r="F163" s="29"/>
      <c r="G163" s="29"/>
      <c r="H163" s="29"/>
      <c r="I163" s="29"/>
      <c r="J163" s="29"/>
      <c r="K163" s="29"/>
      <c r="L163" s="29"/>
      <c r="M163" s="29"/>
      <c r="N163" s="29"/>
      <c r="O163" s="29"/>
      <c r="P163" s="29"/>
      <c r="Q163" s="29"/>
      <c r="R163" s="28"/>
      <c r="S163" s="29"/>
      <c r="T163" s="15" t="str">
        <f aca="false">IF(COUNT(J163:M163)=0,"",SUM(J163:M163))</f>
        <v/>
      </c>
      <c r="U163" s="23" t="str">
        <f aca="false">IF(OR(T163="",I163="",I163=0),"",T163/I163)</f>
        <v/>
      </c>
      <c r="V163" s="10" t="str">
        <f aca="false">IF(A163="","",A163-WEEKDAY(A163,2)+1)</f>
        <v/>
      </c>
    </row>
    <row r="164" customFormat="false" ht="15" hidden="false" customHeight="false" outlineLevel="0" collapsed="false">
      <c r="A164" s="28"/>
      <c r="B164" s="29"/>
      <c r="C164" s="29"/>
      <c r="D164" s="29"/>
      <c r="E164" s="29"/>
      <c r="F164" s="29"/>
      <c r="G164" s="29"/>
      <c r="H164" s="29"/>
      <c r="I164" s="29"/>
      <c r="J164" s="29"/>
      <c r="K164" s="29"/>
      <c r="L164" s="29"/>
      <c r="M164" s="29"/>
      <c r="N164" s="29"/>
      <c r="O164" s="29"/>
      <c r="P164" s="29"/>
      <c r="Q164" s="29"/>
      <c r="R164" s="28"/>
      <c r="S164" s="29"/>
      <c r="T164" s="15" t="str">
        <f aca="false">IF(COUNT(J164:M164)=0,"",SUM(J164:M164))</f>
        <v/>
      </c>
      <c r="U164" s="23" t="str">
        <f aca="false">IF(OR(T164="",I164="",I164=0),"",T164/I164)</f>
        <v/>
      </c>
      <c r="V164" s="10" t="str">
        <f aca="false">IF(A164="","",A164-WEEKDAY(A164,2)+1)</f>
        <v/>
      </c>
    </row>
    <row r="165" customFormat="false" ht="15" hidden="false" customHeight="false" outlineLevel="0" collapsed="false">
      <c r="A165" s="28"/>
      <c r="B165" s="29"/>
      <c r="C165" s="29"/>
      <c r="D165" s="29"/>
      <c r="E165" s="29"/>
      <c r="F165" s="29"/>
      <c r="G165" s="29"/>
      <c r="H165" s="29"/>
      <c r="I165" s="29"/>
      <c r="J165" s="29"/>
      <c r="K165" s="29"/>
      <c r="L165" s="29"/>
      <c r="M165" s="29"/>
      <c r="N165" s="29"/>
      <c r="O165" s="29"/>
      <c r="P165" s="29"/>
      <c r="Q165" s="29"/>
      <c r="R165" s="28"/>
      <c r="S165" s="29"/>
      <c r="T165" s="15" t="str">
        <f aca="false">IF(COUNT(J165:M165)=0,"",SUM(J165:M165))</f>
        <v/>
      </c>
      <c r="U165" s="23" t="str">
        <f aca="false">IF(OR(T165="",I165="",I165=0),"",T165/I165)</f>
        <v/>
      </c>
      <c r="V165" s="10" t="str">
        <f aca="false">IF(A165="","",A165-WEEKDAY(A165,2)+1)</f>
        <v/>
      </c>
    </row>
    <row r="166" customFormat="false" ht="15" hidden="false" customHeight="false" outlineLevel="0" collapsed="false">
      <c r="A166" s="28"/>
      <c r="B166" s="29"/>
      <c r="C166" s="29"/>
      <c r="D166" s="29"/>
      <c r="E166" s="29"/>
      <c r="F166" s="29"/>
      <c r="G166" s="29"/>
      <c r="H166" s="29"/>
      <c r="I166" s="29"/>
      <c r="J166" s="29"/>
      <c r="K166" s="29"/>
      <c r="L166" s="29"/>
      <c r="M166" s="29"/>
      <c r="N166" s="29"/>
      <c r="O166" s="29"/>
      <c r="P166" s="29"/>
      <c r="Q166" s="29"/>
      <c r="R166" s="28"/>
      <c r="S166" s="29"/>
      <c r="T166" s="15" t="str">
        <f aca="false">IF(COUNT(J166:M166)=0,"",SUM(J166:M166))</f>
        <v/>
      </c>
      <c r="U166" s="23" t="str">
        <f aca="false">IF(OR(T166="",I166="",I166=0),"",T166/I166)</f>
        <v/>
      </c>
      <c r="V166" s="10" t="str">
        <f aca="false">IF(A166="","",A166-WEEKDAY(A166,2)+1)</f>
        <v/>
      </c>
    </row>
    <row r="167" customFormat="false" ht="15" hidden="false" customHeight="false" outlineLevel="0" collapsed="false">
      <c r="A167" s="28"/>
      <c r="B167" s="29"/>
      <c r="C167" s="29"/>
      <c r="D167" s="29"/>
      <c r="E167" s="29"/>
      <c r="F167" s="29"/>
      <c r="G167" s="29"/>
      <c r="H167" s="29"/>
      <c r="I167" s="29"/>
      <c r="J167" s="29"/>
      <c r="K167" s="29"/>
      <c r="L167" s="29"/>
      <c r="M167" s="29"/>
      <c r="N167" s="29"/>
      <c r="O167" s="29"/>
      <c r="P167" s="29"/>
      <c r="Q167" s="29"/>
      <c r="R167" s="28"/>
      <c r="S167" s="29"/>
      <c r="T167" s="15" t="str">
        <f aca="false">IF(COUNT(J167:M167)=0,"",SUM(J167:M167))</f>
        <v/>
      </c>
      <c r="U167" s="23" t="str">
        <f aca="false">IF(OR(T167="",I167="",I167=0),"",T167/I167)</f>
        <v/>
      </c>
      <c r="V167" s="10" t="str">
        <f aca="false">IF(A167="","",A167-WEEKDAY(A167,2)+1)</f>
        <v/>
      </c>
    </row>
    <row r="168" customFormat="false" ht="15" hidden="false" customHeight="false" outlineLevel="0" collapsed="false">
      <c r="A168" s="28"/>
      <c r="B168" s="29"/>
      <c r="C168" s="29"/>
      <c r="D168" s="29"/>
      <c r="E168" s="29"/>
      <c r="F168" s="29"/>
      <c r="G168" s="29"/>
      <c r="H168" s="29"/>
      <c r="I168" s="29"/>
      <c r="J168" s="29"/>
      <c r="K168" s="29"/>
      <c r="L168" s="29"/>
      <c r="M168" s="29"/>
      <c r="N168" s="29"/>
      <c r="O168" s="29"/>
      <c r="P168" s="29"/>
      <c r="Q168" s="29"/>
      <c r="R168" s="28"/>
      <c r="S168" s="29"/>
      <c r="T168" s="15" t="str">
        <f aca="false">IF(COUNT(J168:M168)=0,"",SUM(J168:M168))</f>
        <v/>
      </c>
      <c r="U168" s="23" t="str">
        <f aca="false">IF(OR(T168="",I168="",I168=0),"",T168/I168)</f>
        <v/>
      </c>
      <c r="V168" s="10" t="str">
        <f aca="false">IF(A168="","",A168-WEEKDAY(A168,2)+1)</f>
        <v/>
      </c>
    </row>
    <row r="169" customFormat="false" ht="15" hidden="false" customHeight="false" outlineLevel="0" collapsed="false">
      <c r="A169" s="28"/>
      <c r="B169" s="29"/>
      <c r="C169" s="29"/>
      <c r="D169" s="29"/>
      <c r="E169" s="29"/>
      <c r="F169" s="29"/>
      <c r="G169" s="29"/>
      <c r="H169" s="29"/>
      <c r="I169" s="29"/>
      <c r="J169" s="29"/>
      <c r="K169" s="29"/>
      <c r="L169" s="29"/>
      <c r="M169" s="29"/>
      <c r="N169" s="29"/>
      <c r="O169" s="29"/>
      <c r="P169" s="29"/>
      <c r="Q169" s="29"/>
      <c r="R169" s="28"/>
      <c r="S169" s="29"/>
      <c r="T169" s="15" t="str">
        <f aca="false">IF(COUNT(J169:M169)=0,"",SUM(J169:M169))</f>
        <v/>
      </c>
      <c r="U169" s="23" t="str">
        <f aca="false">IF(OR(T169="",I169="",I169=0),"",T169/I169)</f>
        <v/>
      </c>
      <c r="V169" s="10" t="str">
        <f aca="false">IF(A169="","",A169-WEEKDAY(A169,2)+1)</f>
        <v/>
      </c>
    </row>
    <row r="170" customFormat="false" ht="15" hidden="false" customHeight="false" outlineLevel="0" collapsed="false">
      <c r="A170" s="28"/>
      <c r="B170" s="29"/>
      <c r="C170" s="29"/>
      <c r="D170" s="29"/>
      <c r="E170" s="29"/>
      <c r="F170" s="29"/>
      <c r="G170" s="29"/>
      <c r="H170" s="29"/>
      <c r="I170" s="29"/>
      <c r="J170" s="29"/>
      <c r="K170" s="29"/>
      <c r="L170" s="29"/>
      <c r="M170" s="29"/>
      <c r="N170" s="29"/>
      <c r="O170" s="29"/>
      <c r="P170" s="29"/>
      <c r="Q170" s="29"/>
      <c r="R170" s="28"/>
      <c r="S170" s="29"/>
      <c r="T170" s="15" t="str">
        <f aca="false">IF(COUNT(J170:M170)=0,"",SUM(J170:M170))</f>
        <v/>
      </c>
      <c r="U170" s="23" t="str">
        <f aca="false">IF(OR(T170="",I170="",I170=0),"",T170/I170)</f>
        <v/>
      </c>
      <c r="V170" s="10" t="str">
        <f aca="false">IF(A170="","",A170-WEEKDAY(A170,2)+1)</f>
        <v/>
      </c>
    </row>
    <row r="171" customFormat="false" ht="15" hidden="false" customHeight="false" outlineLevel="0" collapsed="false">
      <c r="A171" s="28"/>
      <c r="B171" s="29"/>
      <c r="C171" s="29"/>
      <c r="D171" s="29"/>
      <c r="E171" s="29"/>
      <c r="F171" s="29"/>
      <c r="G171" s="29"/>
      <c r="H171" s="29"/>
      <c r="I171" s="29"/>
      <c r="J171" s="29"/>
      <c r="K171" s="29"/>
      <c r="L171" s="29"/>
      <c r="M171" s="29"/>
      <c r="N171" s="29"/>
      <c r="O171" s="29"/>
      <c r="P171" s="29"/>
      <c r="Q171" s="29"/>
      <c r="R171" s="28"/>
      <c r="S171" s="29"/>
      <c r="T171" s="15" t="str">
        <f aca="false">IF(COUNT(J171:M171)=0,"",SUM(J171:M171))</f>
        <v/>
      </c>
      <c r="U171" s="23" t="str">
        <f aca="false">IF(OR(T171="",I171="",I171=0),"",T171/I171)</f>
        <v/>
      </c>
      <c r="V171" s="10" t="str">
        <f aca="false">IF(A171="","",A171-WEEKDAY(A171,2)+1)</f>
        <v/>
      </c>
    </row>
    <row r="172" customFormat="false" ht="15" hidden="false" customHeight="false" outlineLevel="0" collapsed="false">
      <c r="A172" s="28"/>
      <c r="B172" s="29"/>
      <c r="C172" s="29"/>
      <c r="D172" s="29"/>
      <c r="E172" s="29"/>
      <c r="F172" s="29"/>
      <c r="G172" s="29"/>
      <c r="H172" s="29"/>
      <c r="I172" s="29"/>
      <c r="J172" s="29"/>
      <c r="K172" s="29"/>
      <c r="L172" s="29"/>
      <c r="M172" s="29"/>
      <c r="N172" s="29"/>
      <c r="O172" s="29"/>
      <c r="P172" s="29"/>
      <c r="Q172" s="29"/>
      <c r="R172" s="28"/>
      <c r="S172" s="29"/>
      <c r="T172" s="15" t="str">
        <f aca="false">IF(COUNT(J172:M172)=0,"",SUM(J172:M172))</f>
        <v/>
      </c>
      <c r="U172" s="23" t="str">
        <f aca="false">IF(OR(T172="",I172="",I172=0),"",T172/I172)</f>
        <v/>
      </c>
      <c r="V172" s="10" t="str">
        <f aca="false">IF(A172="","",A172-WEEKDAY(A172,2)+1)</f>
        <v/>
      </c>
    </row>
    <row r="173" customFormat="false" ht="15" hidden="false" customHeight="false" outlineLevel="0" collapsed="false">
      <c r="A173" s="28"/>
      <c r="B173" s="29"/>
      <c r="C173" s="29"/>
      <c r="D173" s="29"/>
      <c r="E173" s="29"/>
      <c r="F173" s="29"/>
      <c r="G173" s="29"/>
      <c r="H173" s="29"/>
      <c r="I173" s="29"/>
      <c r="J173" s="29"/>
      <c r="K173" s="29"/>
      <c r="L173" s="29"/>
      <c r="M173" s="29"/>
      <c r="N173" s="29"/>
      <c r="O173" s="29"/>
      <c r="P173" s="29"/>
      <c r="Q173" s="29"/>
      <c r="R173" s="28"/>
      <c r="S173" s="29"/>
      <c r="T173" s="15" t="str">
        <f aca="false">IF(COUNT(J173:M173)=0,"",SUM(J173:M173))</f>
        <v/>
      </c>
      <c r="U173" s="23" t="str">
        <f aca="false">IF(OR(T173="",I173="",I173=0),"",T173/I173)</f>
        <v/>
      </c>
      <c r="V173" s="10" t="str">
        <f aca="false">IF(A173="","",A173-WEEKDAY(A173,2)+1)</f>
        <v/>
      </c>
    </row>
    <row r="174" customFormat="false" ht="15" hidden="false" customHeight="false" outlineLevel="0" collapsed="false">
      <c r="A174" s="28"/>
      <c r="B174" s="29"/>
      <c r="C174" s="29"/>
      <c r="D174" s="29"/>
      <c r="E174" s="29"/>
      <c r="F174" s="29"/>
      <c r="G174" s="29"/>
      <c r="H174" s="29"/>
      <c r="I174" s="29"/>
      <c r="J174" s="29"/>
      <c r="K174" s="29"/>
      <c r="L174" s="29"/>
      <c r="M174" s="29"/>
      <c r="N174" s="29"/>
      <c r="O174" s="29"/>
      <c r="P174" s="29"/>
      <c r="Q174" s="29"/>
      <c r="R174" s="28"/>
      <c r="S174" s="29"/>
      <c r="T174" s="15" t="str">
        <f aca="false">IF(COUNT(J174:M174)=0,"",SUM(J174:M174))</f>
        <v/>
      </c>
      <c r="U174" s="23" t="str">
        <f aca="false">IF(OR(T174="",I174="",I174=0),"",T174/I174)</f>
        <v/>
      </c>
      <c r="V174" s="10" t="str">
        <f aca="false">IF(A174="","",A174-WEEKDAY(A174,2)+1)</f>
        <v/>
      </c>
    </row>
    <row r="175" customFormat="false" ht="15" hidden="false" customHeight="false" outlineLevel="0" collapsed="false">
      <c r="A175" s="28"/>
      <c r="B175" s="29"/>
      <c r="C175" s="29"/>
      <c r="D175" s="29"/>
      <c r="E175" s="29"/>
      <c r="F175" s="29"/>
      <c r="G175" s="29"/>
      <c r="H175" s="29"/>
      <c r="I175" s="29"/>
      <c r="J175" s="29"/>
      <c r="K175" s="29"/>
      <c r="L175" s="29"/>
      <c r="M175" s="29"/>
      <c r="N175" s="29"/>
      <c r="O175" s="29"/>
      <c r="P175" s="29"/>
      <c r="Q175" s="29"/>
      <c r="R175" s="28"/>
      <c r="S175" s="29"/>
      <c r="T175" s="15" t="str">
        <f aca="false">IF(COUNT(J175:M175)=0,"",SUM(J175:M175))</f>
        <v/>
      </c>
      <c r="U175" s="23" t="str">
        <f aca="false">IF(OR(T175="",I175="",I175=0),"",T175/I175)</f>
        <v/>
      </c>
      <c r="V175" s="10" t="str">
        <f aca="false">IF(A175="","",A175-WEEKDAY(A175,2)+1)</f>
        <v/>
      </c>
    </row>
    <row r="176" customFormat="false" ht="15" hidden="false" customHeight="false" outlineLevel="0" collapsed="false">
      <c r="A176" s="28"/>
      <c r="B176" s="29"/>
      <c r="C176" s="29"/>
      <c r="D176" s="29"/>
      <c r="E176" s="29"/>
      <c r="F176" s="29"/>
      <c r="G176" s="29"/>
      <c r="H176" s="29"/>
      <c r="I176" s="29"/>
      <c r="J176" s="29"/>
      <c r="K176" s="29"/>
      <c r="L176" s="29"/>
      <c r="M176" s="29"/>
      <c r="N176" s="29"/>
      <c r="O176" s="29"/>
      <c r="P176" s="29"/>
      <c r="Q176" s="29"/>
      <c r="R176" s="28"/>
      <c r="S176" s="29"/>
      <c r="T176" s="15" t="str">
        <f aca="false">IF(COUNT(J176:M176)=0,"",SUM(J176:M176))</f>
        <v/>
      </c>
      <c r="U176" s="23" t="str">
        <f aca="false">IF(OR(T176="",I176="",I176=0),"",T176/I176)</f>
        <v/>
      </c>
      <c r="V176" s="10" t="str">
        <f aca="false">IF(A176="","",A176-WEEKDAY(A176,2)+1)</f>
        <v/>
      </c>
    </row>
    <row r="177" customFormat="false" ht="15" hidden="false" customHeight="false" outlineLevel="0" collapsed="false">
      <c r="A177" s="28"/>
      <c r="B177" s="29"/>
      <c r="C177" s="29"/>
      <c r="D177" s="29"/>
      <c r="E177" s="29"/>
      <c r="F177" s="29"/>
      <c r="G177" s="29"/>
      <c r="H177" s="29"/>
      <c r="I177" s="29"/>
      <c r="J177" s="29"/>
      <c r="K177" s="29"/>
      <c r="L177" s="29"/>
      <c r="M177" s="29"/>
      <c r="N177" s="29"/>
      <c r="O177" s="29"/>
      <c r="P177" s="29"/>
      <c r="Q177" s="29"/>
      <c r="R177" s="28"/>
      <c r="S177" s="29"/>
      <c r="T177" s="15" t="str">
        <f aca="false">IF(COUNT(J177:M177)=0,"",SUM(J177:M177))</f>
        <v/>
      </c>
      <c r="U177" s="23" t="str">
        <f aca="false">IF(OR(T177="",I177="",I177=0),"",T177/I177)</f>
        <v/>
      </c>
      <c r="V177" s="10" t="str">
        <f aca="false">IF(A177="","",A177-WEEKDAY(A177,2)+1)</f>
        <v/>
      </c>
    </row>
    <row r="178" customFormat="false" ht="15" hidden="false" customHeight="false" outlineLevel="0" collapsed="false">
      <c r="A178" s="28"/>
      <c r="B178" s="29"/>
      <c r="C178" s="29"/>
      <c r="D178" s="29"/>
      <c r="E178" s="29"/>
      <c r="F178" s="29"/>
      <c r="G178" s="29"/>
      <c r="H178" s="29"/>
      <c r="I178" s="29"/>
      <c r="J178" s="29"/>
      <c r="K178" s="29"/>
      <c r="L178" s="29"/>
      <c r="M178" s="29"/>
      <c r="N178" s="29"/>
      <c r="O178" s="29"/>
      <c r="P178" s="29"/>
      <c r="Q178" s="29"/>
      <c r="R178" s="28"/>
      <c r="S178" s="29"/>
      <c r="T178" s="15" t="str">
        <f aca="false">IF(COUNT(J178:M178)=0,"",SUM(J178:M178))</f>
        <v/>
      </c>
      <c r="U178" s="23" t="str">
        <f aca="false">IF(OR(T178="",I178="",I178=0),"",T178/I178)</f>
        <v/>
      </c>
      <c r="V178" s="10" t="str">
        <f aca="false">IF(A178="","",A178-WEEKDAY(A178,2)+1)</f>
        <v/>
      </c>
    </row>
    <row r="179" customFormat="false" ht="15" hidden="false" customHeight="false" outlineLevel="0" collapsed="false">
      <c r="A179" s="28"/>
      <c r="B179" s="29"/>
      <c r="C179" s="29"/>
      <c r="D179" s="29"/>
      <c r="E179" s="29"/>
      <c r="F179" s="29"/>
      <c r="G179" s="29"/>
      <c r="H179" s="29"/>
      <c r="I179" s="29"/>
      <c r="J179" s="29"/>
      <c r="K179" s="29"/>
      <c r="L179" s="29"/>
      <c r="M179" s="29"/>
      <c r="N179" s="29"/>
      <c r="O179" s="29"/>
      <c r="P179" s="29"/>
      <c r="Q179" s="29"/>
      <c r="R179" s="28"/>
      <c r="S179" s="29"/>
      <c r="T179" s="15" t="str">
        <f aca="false">IF(COUNT(J179:M179)=0,"",SUM(J179:M179))</f>
        <v/>
      </c>
      <c r="U179" s="23" t="str">
        <f aca="false">IF(OR(T179="",I179="",I179=0),"",T179/I179)</f>
        <v/>
      </c>
      <c r="V179" s="10" t="str">
        <f aca="false">IF(A179="","",A179-WEEKDAY(A179,2)+1)</f>
        <v/>
      </c>
    </row>
    <row r="180" customFormat="false" ht="15" hidden="false" customHeight="false" outlineLevel="0" collapsed="false">
      <c r="A180" s="28"/>
      <c r="B180" s="29"/>
      <c r="C180" s="29"/>
      <c r="D180" s="29"/>
      <c r="E180" s="29"/>
      <c r="F180" s="29"/>
      <c r="G180" s="29"/>
      <c r="H180" s="29"/>
      <c r="I180" s="29"/>
      <c r="J180" s="29"/>
      <c r="K180" s="29"/>
      <c r="L180" s="29"/>
      <c r="M180" s="29"/>
      <c r="N180" s="29"/>
      <c r="O180" s="29"/>
      <c r="P180" s="29"/>
      <c r="Q180" s="29"/>
      <c r="R180" s="28"/>
      <c r="S180" s="29"/>
      <c r="T180" s="15" t="str">
        <f aca="false">IF(COUNT(J180:M180)=0,"",SUM(J180:M180))</f>
        <v/>
      </c>
      <c r="U180" s="23" t="str">
        <f aca="false">IF(OR(T180="",I180="",I180=0),"",T180/I180)</f>
        <v/>
      </c>
      <c r="V180" s="10" t="str">
        <f aca="false">IF(A180="","",A180-WEEKDAY(A180,2)+1)</f>
        <v/>
      </c>
    </row>
    <row r="181" customFormat="false" ht="15" hidden="false" customHeight="false" outlineLevel="0" collapsed="false">
      <c r="A181" s="28"/>
      <c r="B181" s="29"/>
      <c r="C181" s="29"/>
      <c r="D181" s="29"/>
      <c r="E181" s="29"/>
      <c r="F181" s="29"/>
      <c r="G181" s="29"/>
      <c r="H181" s="29"/>
      <c r="I181" s="29"/>
      <c r="J181" s="29"/>
      <c r="K181" s="29"/>
      <c r="L181" s="29"/>
      <c r="M181" s="29"/>
      <c r="N181" s="29"/>
      <c r="O181" s="29"/>
      <c r="P181" s="29"/>
      <c r="Q181" s="29"/>
      <c r="R181" s="28"/>
      <c r="S181" s="29"/>
      <c r="T181" s="15" t="str">
        <f aca="false">IF(COUNT(J181:M181)=0,"",SUM(J181:M181))</f>
        <v/>
      </c>
      <c r="U181" s="23" t="str">
        <f aca="false">IF(OR(T181="",I181="",I181=0),"",T181/I181)</f>
        <v/>
      </c>
      <c r="V181" s="10" t="str">
        <f aca="false">IF(A181="","",A181-WEEKDAY(A181,2)+1)</f>
        <v/>
      </c>
    </row>
    <row r="182" customFormat="false" ht="15" hidden="false" customHeight="false" outlineLevel="0" collapsed="false">
      <c r="A182" s="28"/>
      <c r="B182" s="29"/>
      <c r="C182" s="29"/>
      <c r="D182" s="29"/>
      <c r="E182" s="29"/>
      <c r="F182" s="29"/>
      <c r="G182" s="29"/>
      <c r="H182" s="29"/>
      <c r="I182" s="29"/>
      <c r="J182" s="29"/>
      <c r="K182" s="29"/>
      <c r="L182" s="29"/>
      <c r="M182" s="29"/>
      <c r="N182" s="29"/>
      <c r="O182" s="29"/>
      <c r="P182" s="29"/>
      <c r="Q182" s="29"/>
      <c r="R182" s="28"/>
      <c r="S182" s="29"/>
      <c r="T182" s="15" t="str">
        <f aca="false">IF(COUNT(J182:M182)=0,"",SUM(J182:M182))</f>
        <v/>
      </c>
      <c r="U182" s="23" t="str">
        <f aca="false">IF(OR(T182="",I182="",I182=0),"",T182/I182)</f>
        <v/>
      </c>
      <c r="V182" s="10" t="str">
        <f aca="false">IF(A182="","",A182-WEEKDAY(A182,2)+1)</f>
        <v/>
      </c>
    </row>
    <row r="183" customFormat="false" ht="15" hidden="false" customHeight="false" outlineLevel="0" collapsed="false">
      <c r="A183" s="28"/>
      <c r="B183" s="29"/>
      <c r="C183" s="29"/>
      <c r="D183" s="29"/>
      <c r="E183" s="29"/>
      <c r="F183" s="29"/>
      <c r="G183" s="29"/>
      <c r="H183" s="29"/>
      <c r="I183" s="29"/>
      <c r="J183" s="29"/>
      <c r="K183" s="29"/>
      <c r="L183" s="29"/>
      <c r="M183" s="29"/>
      <c r="N183" s="29"/>
      <c r="O183" s="29"/>
      <c r="P183" s="29"/>
      <c r="Q183" s="29"/>
      <c r="R183" s="28"/>
      <c r="S183" s="29"/>
      <c r="T183" s="15" t="str">
        <f aca="false">IF(COUNT(J183:M183)=0,"",SUM(J183:M183))</f>
        <v/>
      </c>
      <c r="U183" s="23" t="str">
        <f aca="false">IF(OR(T183="",I183="",I183=0),"",T183/I183)</f>
        <v/>
      </c>
      <c r="V183" s="10" t="str">
        <f aca="false">IF(A183="","",A183-WEEKDAY(A183,2)+1)</f>
        <v/>
      </c>
    </row>
    <row r="184" customFormat="false" ht="15" hidden="false" customHeight="false" outlineLevel="0" collapsed="false">
      <c r="A184" s="28"/>
      <c r="B184" s="29"/>
      <c r="C184" s="29"/>
      <c r="D184" s="29"/>
      <c r="E184" s="29"/>
      <c r="F184" s="29"/>
      <c r="G184" s="29"/>
      <c r="H184" s="29"/>
      <c r="I184" s="29"/>
      <c r="J184" s="29"/>
      <c r="K184" s="29"/>
      <c r="L184" s="29"/>
      <c r="M184" s="29"/>
      <c r="N184" s="29"/>
      <c r="O184" s="29"/>
      <c r="P184" s="29"/>
      <c r="Q184" s="29"/>
      <c r="R184" s="28"/>
      <c r="S184" s="29"/>
      <c r="T184" s="15" t="str">
        <f aca="false">IF(COUNT(J184:M184)=0,"",SUM(J184:M184))</f>
        <v/>
      </c>
      <c r="U184" s="23" t="str">
        <f aca="false">IF(OR(T184="",I184="",I184=0),"",T184/I184)</f>
        <v/>
      </c>
      <c r="V184" s="10" t="str">
        <f aca="false">IF(A184="","",A184-WEEKDAY(A184,2)+1)</f>
        <v/>
      </c>
    </row>
    <row r="185" customFormat="false" ht="15" hidden="false" customHeight="false" outlineLevel="0" collapsed="false">
      <c r="A185" s="28"/>
      <c r="B185" s="29"/>
      <c r="C185" s="29"/>
      <c r="D185" s="29"/>
      <c r="E185" s="29"/>
      <c r="F185" s="29"/>
      <c r="G185" s="29"/>
      <c r="H185" s="29"/>
      <c r="I185" s="29"/>
      <c r="J185" s="29"/>
      <c r="K185" s="29"/>
      <c r="L185" s="29"/>
      <c r="M185" s="29"/>
      <c r="N185" s="29"/>
      <c r="O185" s="29"/>
      <c r="P185" s="29"/>
      <c r="Q185" s="29"/>
      <c r="R185" s="28"/>
      <c r="S185" s="29"/>
      <c r="T185" s="15" t="str">
        <f aca="false">IF(COUNT(J185:M185)=0,"",SUM(J185:M185))</f>
        <v/>
      </c>
      <c r="U185" s="23" t="str">
        <f aca="false">IF(OR(T185="",I185="",I185=0),"",T185/I185)</f>
        <v/>
      </c>
      <c r="V185" s="10" t="str">
        <f aca="false">IF(A185="","",A185-WEEKDAY(A185,2)+1)</f>
        <v/>
      </c>
    </row>
    <row r="186" customFormat="false" ht="15" hidden="false" customHeight="false" outlineLevel="0" collapsed="false">
      <c r="A186" s="28"/>
      <c r="B186" s="29"/>
      <c r="C186" s="29"/>
      <c r="D186" s="29"/>
      <c r="E186" s="29"/>
      <c r="F186" s="29"/>
      <c r="G186" s="29"/>
      <c r="H186" s="29"/>
      <c r="I186" s="29"/>
      <c r="J186" s="29"/>
      <c r="K186" s="29"/>
      <c r="L186" s="29"/>
      <c r="M186" s="29"/>
      <c r="N186" s="29"/>
      <c r="O186" s="29"/>
      <c r="P186" s="29"/>
      <c r="Q186" s="29"/>
      <c r="R186" s="28"/>
      <c r="S186" s="29"/>
      <c r="T186" s="15" t="str">
        <f aca="false">IF(COUNT(J186:M186)=0,"",SUM(J186:M186))</f>
        <v/>
      </c>
      <c r="U186" s="23" t="str">
        <f aca="false">IF(OR(T186="",I186="",I186=0),"",T186/I186)</f>
        <v/>
      </c>
      <c r="V186" s="10" t="str">
        <f aca="false">IF(A186="","",A186-WEEKDAY(A186,2)+1)</f>
        <v/>
      </c>
    </row>
    <row r="187" customFormat="false" ht="15" hidden="false" customHeight="false" outlineLevel="0" collapsed="false">
      <c r="A187" s="28"/>
      <c r="B187" s="29"/>
      <c r="C187" s="29"/>
      <c r="D187" s="29"/>
      <c r="E187" s="29"/>
      <c r="F187" s="29"/>
      <c r="G187" s="29"/>
      <c r="H187" s="29"/>
      <c r="I187" s="29"/>
      <c r="J187" s="29"/>
      <c r="K187" s="29"/>
      <c r="L187" s="29"/>
      <c r="M187" s="29"/>
      <c r="N187" s="29"/>
      <c r="O187" s="29"/>
      <c r="P187" s="29"/>
      <c r="Q187" s="29"/>
      <c r="R187" s="28"/>
      <c r="S187" s="29"/>
      <c r="T187" s="15" t="str">
        <f aca="false">IF(COUNT(J187:M187)=0,"",SUM(J187:M187))</f>
        <v/>
      </c>
      <c r="U187" s="23" t="str">
        <f aca="false">IF(OR(T187="",I187="",I187=0),"",T187/I187)</f>
        <v/>
      </c>
      <c r="V187" s="10" t="str">
        <f aca="false">IF(A187="","",A187-WEEKDAY(A187,2)+1)</f>
        <v/>
      </c>
    </row>
    <row r="188" customFormat="false" ht="15" hidden="false" customHeight="false" outlineLevel="0" collapsed="false">
      <c r="A188" s="28"/>
      <c r="B188" s="29"/>
      <c r="C188" s="29"/>
      <c r="D188" s="29"/>
      <c r="E188" s="29"/>
      <c r="F188" s="29"/>
      <c r="G188" s="29"/>
      <c r="H188" s="29"/>
      <c r="I188" s="29"/>
      <c r="J188" s="29"/>
      <c r="K188" s="29"/>
      <c r="L188" s="29"/>
      <c r="M188" s="29"/>
      <c r="N188" s="29"/>
      <c r="O188" s="29"/>
      <c r="P188" s="29"/>
      <c r="Q188" s="29"/>
      <c r="R188" s="28"/>
      <c r="S188" s="29"/>
      <c r="T188" s="15" t="str">
        <f aca="false">IF(COUNT(J188:M188)=0,"",SUM(J188:M188))</f>
        <v/>
      </c>
      <c r="U188" s="23" t="str">
        <f aca="false">IF(OR(T188="",I188="",I188=0),"",T188/I188)</f>
        <v/>
      </c>
      <c r="V188" s="10" t="str">
        <f aca="false">IF(A188="","",A188-WEEKDAY(A188,2)+1)</f>
        <v/>
      </c>
    </row>
    <row r="189" customFormat="false" ht="15" hidden="false" customHeight="false" outlineLevel="0" collapsed="false">
      <c r="A189" s="28"/>
      <c r="B189" s="29"/>
      <c r="C189" s="29"/>
      <c r="D189" s="29"/>
      <c r="E189" s="29"/>
      <c r="F189" s="29"/>
      <c r="G189" s="29"/>
      <c r="H189" s="29"/>
      <c r="I189" s="29"/>
      <c r="J189" s="29"/>
      <c r="K189" s="29"/>
      <c r="L189" s="29"/>
      <c r="M189" s="29"/>
      <c r="N189" s="29"/>
      <c r="O189" s="29"/>
      <c r="P189" s="29"/>
      <c r="Q189" s="29"/>
      <c r="R189" s="28"/>
      <c r="S189" s="29"/>
      <c r="T189" s="15" t="str">
        <f aca="false">IF(COUNT(J189:M189)=0,"",SUM(J189:M189))</f>
        <v/>
      </c>
      <c r="U189" s="23" t="str">
        <f aca="false">IF(OR(T189="",I189="",I189=0),"",T189/I189)</f>
        <v/>
      </c>
      <c r="V189" s="10" t="str">
        <f aca="false">IF(A189="","",A189-WEEKDAY(A189,2)+1)</f>
        <v/>
      </c>
    </row>
    <row r="190" customFormat="false" ht="15" hidden="false" customHeight="false" outlineLevel="0" collapsed="false">
      <c r="A190" s="28"/>
      <c r="B190" s="29"/>
      <c r="C190" s="29"/>
      <c r="D190" s="29"/>
      <c r="E190" s="29"/>
      <c r="F190" s="29"/>
      <c r="G190" s="29"/>
      <c r="H190" s="29"/>
      <c r="I190" s="29"/>
      <c r="J190" s="29"/>
      <c r="K190" s="29"/>
      <c r="L190" s="29"/>
      <c r="M190" s="29"/>
      <c r="N190" s="29"/>
      <c r="O190" s="29"/>
      <c r="P190" s="29"/>
      <c r="Q190" s="29"/>
      <c r="R190" s="28"/>
      <c r="S190" s="29"/>
      <c r="T190" s="15" t="str">
        <f aca="false">IF(COUNT(J190:M190)=0,"",SUM(J190:M190))</f>
        <v/>
      </c>
      <c r="U190" s="23" t="str">
        <f aca="false">IF(OR(T190="",I190="",I190=0),"",T190/I190)</f>
        <v/>
      </c>
      <c r="V190" s="10" t="str">
        <f aca="false">IF(A190="","",A190-WEEKDAY(A190,2)+1)</f>
        <v/>
      </c>
    </row>
    <row r="191" customFormat="false" ht="15" hidden="false" customHeight="false" outlineLevel="0" collapsed="false">
      <c r="A191" s="28"/>
      <c r="B191" s="29"/>
      <c r="C191" s="29"/>
      <c r="D191" s="29"/>
      <c r="E191" s="29"/>
      <c r="F191" s="29"/>
      <c r="G191" s="29"/>
      <c r="H191" s="29"/>
      <c r="I191" s="29"/>
      <c r="J191" s="29"/>
      <c r="K191" s="29"/>
      <c r="L191" s="29"/>
      <c r="M191" s="29"/>
      <c r="N191" s="29"/>
      <c r="O191" s="29"/>
      <c r="P191" s="29"/>
      <c r="Q191" s="29"/>
      <c r="R191" s="28"/>
      <c r="S191" s="29"/>
      <c r="T191" s="15" t="str">
        <f aca="false">IF(COUNT(J191:M191)=0,"",SUM(J191:M191))</f>
        <v/>
      </c>
      <c r="U191" s="23" t="str">
        <f aca="false">IF(OR(T191="",I191="",I191=0),"",T191/I191)</f>
        <v/>
      </c>
      <c r="V191" s="10" t="str">
        <f aca="false">IF(A191="","",A191-WEEKDAY(A191,2)+1)</f>
        <v/>
      </c>
    </row>
    <row r="192" customFormat="false" ht="15" hidden="false" customHeight="false" outlineLevel="0" collapsed="false">
      <c r="A192" s="28"/>
      <c r="B192" s="29"/>
      <c r="C192" s="29"/>
      <c r="D192" s="29"/>
      <c r="E192" s="29"/>
      <c r="F192" s="29"/>
      <c r="G192" s="29"/>
      <c r="H192" s="29"/>
      <c r="I192" s="29"/>
      <c r="J192" s="29"/>
      <c r="K192" s="29"/>
      <c r="L192" s="29"/>
      <c r="M192" s="29"/>
      <c r="N192" s="29"/>
      <c r="O192" s="29"/>
      <c r="P192" s="29"/>
      <c r="Q192" s="29"/>
      <c r="R192" s="28"/>
      <c r="S192" s="29"/>
      <c r="T192" s="15" t="str">
        <f aca="false">IF(COUNT(J192:M192)=0,"",SUM(J192:M192))</f>
        <v/>
      </c>
      <c r="U192" s="23" t="str">
        <f aca="false">IF(OR(T192="",I192="",I192=0),"",T192/I192)</f>
        <v/>
      </c>
      <c r="V192" s="10" t="str">
        <f aca="false">IF(A192="","",A192-WEEKDAY(A192,2)+1)</f>
        <v/>
      </c>
    </row>
    <row r="193" customFormat="false" ht="15" hidden="false" customHeight="false" outlineLevel="0" collapsed="false">
      <c r="A193" s="28"/>
      <c r="B193" s="29"/>
      <c r="C193" s="29"/>
      <c r="D193" s="29"/>
      <c r="E193" s="29"/>
      <c r="F193" s="29"/>
      <c r="G193" s="29"/>
      <c r="H193" s="29"/>
      <c r="I193" s="29"/>
      <c r="J193" s="29"/>
      <c r="K193" s="29"/>
      <c r="L193" s="29"/>
      <c r="M193" s="29"/>
      <c r="N193" s="29"/>
      <c r="O193" s="29"/>
      <c r="P193" s="29"/>
      <c r="Q193" s="29"/>
      <c r="R193" s="28"/>
      <c r="S193" s="29"/>
      <c r="T193" s="15" t="str">
        <f aca="false">IF(COUNT(J193:M193)=0,"",SUM(J193:M193))</f>
        <v/>
      </c>
      <c r="U193" s="23" t="str">
        <f aca="false">IF(OR(T193="",I193="",I193=0),"",T193/I193)</f>
        <v/>
      </c>
      <c r="V193" s="10" t="str">
        <f aca="false">IF(A193="","",A193-WEEKDAY(A193,2)+1)</f>
        <v/>
      </c>
    </row>
    <row r="194" customFormat="false" ht="15" hidden="false" customHeight="false" outlineLevel="0" collapsed="false">
      <c r="A194" s="28"/>
      <c r="B194" s="29"/>
      <c r="C194" s="29"/>
      <c r="D194" s="29"/>
      <c r="E194" s="29"/>
      <c r="F194" s="29"/>
      <c r="G194" s="29"/>
      <c r="H194" s="29"/>
      <c r="I194" s="29"/>
      <c r="J194" s="29"/>
      <c r="K194" s="29"/>
      <c r="L194" s="29"/>
      <c r="M194" s="29"/>
      <c r="N194" s="29"/>
      <c r="O194" s="29"/>
      <c r="P194" s="29"/>
      <c r="Q194" s="29"/>
      <c r="R194" s="28"/>
      <c r="S194" s="29"/>
      <c r="T194" s="15" t="str">
        <f aca="false">IF(COUNT(J194:M194)=0,"",SUM(J194:M194))</f>
        <v/>
      </c>
      <c r="U194" s="23" t="str">
        <f aca="false">IF(OR(T194="",I194="",I194=0),"",T194/I194)</f>
        <v/>
      </c>
      <c r="V194" s="10" t="str">
        <f aca="false">IF(A194="","",A194-WEEKDAY(A194,2)+1)</f>
        <v/>
      </c>
    </row>
    <row r="195" customFormat="false" ht="15" hidden="false" customHeight="false" outlineLevel="0" collapsed="false">
      <c r="A195" s="28"/>
      <c r="B195" s="29"/>
      <c r="C195" s="29"/>
      <c r="D195" s="29"/>
      <c r="E195" s="29"/>
      <c r="F195" s="29"/>
      <c r="G195" s="29"/>
      <c r="H195" s="29"/>
      <c r="I195" s="29"/>
      <c r="J195" s="29"/>
      <c r="K195" s="29"/>
      <c r="L195" s="29"/>
      <c r="M195" s="29"/>
      <c r="N195" s="29"/>
      <c r="O195" s="29"/>
      <c r="P195" s="29"/>
      <c r="Q195" s="29"/>
      <c r="R195" s="28"/>
      <c r="S195" s="29"/>
      <c r="T195" s="15" t="str">
        <f aca="false">IF(COUNT(J195:M195)=0,"",SUM(J195:M195))</f>
        <v/>
      </c>
      <c r="U195" s="23" t="str">
        <f aca="false">IF(OR(T195="",I195="",I195=0),"",T195/I195)</f>
        <v/>
      </c>
      <c r="V195" s="10" t="str">
        <f aca="false">IF(A195="","",A195-WEEKDAY(A195,2)+1)</f>
        <v/>
      </c>
    </row>
    <row r="196" customFormat="false" ht="15" hidden="false" customHeight="false" outlineLevel="0" collapsed="false">
      <c r="A196" s="28"/>
      <c r="B196" s="29"/>
      <c r="C196" s="29"/>
      <c r="D196" s="29"/>
      <c r="E196" s="29"/>
      <c r="F196" s="29"/>
      <c r="G196" s="29"/>
      <c r="H196" s="29"/>
      <c r="I196" s="29"/>
      <c r="J196" s="29"/>
      <c r="K196" s="29"/>
      <c r="L196" s="29"/>
      <c r="M196" s="29"/>
      <c r="N196" s="29"/>
      <c r="O196" s="29"/>
      <c r="P196" s="29"/>
      <c r="Q196" s="29"/>
      <c r="R196" s="28"/>
      <c r="S196" s="29"/>
      <c r="T196" s="15" t="str">
        <f aca="false">IF(COUNT(J196:M196)=0,"",SUM(J196:M196))</f>
        <v/>
      </c>
      <c r="U196" s="23" t="str">
        <f aca="false">IF(OR(T196="",I196="",I196=0),"",T196/I196)</f>
        <v/>
      </c>
      <c r="V196" s="10" t="str">
        <f aca="false">IF(A196="","",A196-WEEKDAY(A196,2)+1)</f>
        <v/>
      </c>
    </row>
    <row r="197" customFormat="false" ht="15" hidden="false" customHeight="false" outlineLevel="0" collapsed="false">
      <c r="A197" s="28"/>
      <c r="B197" s="29"/>
      <c r="C197" s="29"/>
      <c r="D197" s="29"/>
      <c r="E197" s="29"/>
      <c r="F197" s="29"/>
      <c r="G197" s="29"/>
      <c r="H197" s="29"/>
      <c r="I197" s="29"/>
      <c r="J197" s="29"/>
      <c r="K197" s="29"/>
      <c r="L197" s="29"/>
      <c r="M197" s="29"/>
      <c r="N197" s="29"/>
      <c r="O197" s="29"/>
      <c r="P197" s="29"/>
      <c r="Q197" s="29"/>
      <c r="R197" s="28"/>
      <c r="S197" s="29"/>
      <c r="T197" s="15" t="str">
        <f aca="false">IF(COUNT(J197:M197)=0,"",SUM(J197:M197))</f>
        <v/>
      </c>
      <c r="U197" s="23" t="str">
        <f aca="false">IF(OR(T197="",I197="",I197=0),"",T197/I197)</f>
        <v/>
      </c>
      <c r="V197" s="10" t="str">
        <f aca="false">IF(A197="","",A197-WEEKDAY(A197,2)+1)</f>
        <v/>
      </c>
    </row>
    <row r="198" customFormat="false" ht="15" hidden="false" customHeight="false" outlineLevel="0" collapsed="false">
      <c r="A198" s="28"/>
      <c r="B198" s="29"/>
      <c r="C198" s="29"/>
      <c r="D198" s="29"/>
      <c r="E198" s="29"/>
      <c r="F198" s="29"/>
      <c r="G198" s="29"/>
      <c r="H198" s="29"/>
      <c r="I198" s="29"/>
      <c r="J198" s="29"/>
      <c r="K198" s="29"/>
      <c r="L198" s="29"/>
      <c r="M198" s="29"/>
      <c r="N198" s="29"/>
      <c r="O198" s="29"/>
      <c r="P198" s="29"/>
      <c r="Q198" s="29"/>
      <c r="R198" s="28"/>
      <c r="S198" s="29"/>
      <c r="T198" s="15" t="str">
        <f aca="false">IF(COUNT(J198:M198)=0,"",SUM(J198:M198))</f>
        <v/>
      </c>
      <c r="U198" s="23" t="str">
        <f aca="false">IF(OR(T198="",I198="",I198=0),"",T198/I198)</f>
        <v/>
      </c>
      <c r="V198" s="10" t="str">
        <f aca="false">IF(A198="","",A198-WEEKDAY(A198,2)+1)</f>
        <v/>
      </c>
    </row>
    <row r="199" customFormat="false" ht="15" hidden="false" customHeight="false" outlineLevel="0" collapsed="false">
      <c r="A199" s="28"/>
      <c r="B199" s="29"/>
      <c r="C199" s="29"/>
      <c r="D199" s="29"/>
      <c r="E199" s="29"/>
      <c r="F199" s="29"/>
      <c r="G199" s="29"/>
      <c r="H199" s="29"/>
      <c r="I199" s="29"/>
      <c r="J199" s="29"/>
      <c r="K199" s="29"/>
      <c r="L199" s="29"/>
      <c r="M199" s="29"/>
      <c r="N199" s="29"/>
      <c r="O199" s="29"/>
      <c r="P199" s="29"/>
      <c r="Q199" s="29"/>
      <c r="R199" s="28"/>
      <c r="S199" s="29"/>
      <c r="T199" s="15" t="str">
        <f aca="false">IF(COUNT(J199:M199)=0,"",SUM(J199:M199))</f>
        <v/>
      </c>
      <c r="U199" s="23" t="str">
        <f aca="false">IF(OR(T199="",I199="",I199=0),"",T199/I199)</f>
        <v/>
      </c>
      <c r="V199" s="10" t="str">
        <f aca="false">IF(A199="","",A199-WEEKDAY(A199,2)+1)</f>
        <v/>
      </c>
    </row>
    <row r="200" customFormat="false" ht="15" hidden="false" customHeight="false" outlineLevel="0" collapsed="false">
      <c r="A200" s="28"/>
      <c r="B200" s="29"/>
      <c r="C200" s="29"/>
      <c r="D200" s="29"/>
      <c r="E200" s="29"/>
      <c r="F200" s="29"/>
      <c r="G200" s="29"/>
      <c r="H200" s="29"/>
      <c r="I200" s="29"/>
      <c r="J200" s="29"/>
      <c r="K200" s="29"/>
      <c r="L200" s="29"/>
      <c r="M200" s="29"/>
      <c r="N200" s="29"/>
      <c r="O200" s="29"/>
      <c r="P200" s="29"/>
      <c r="Q200" s="29"/>
      <c r="R200" s="28"/>
      <c r="S200" s="29"/>
      <c r="T200" s="15" t="str">
        <f aca="false">IF(COUNT(J200:M200)=0,"",SUM(J200:M200))</f>
        <v/>
      </c>
      <c r="U200" s="23" t="str">
        <f aca="false">IF(OR(T200="",I200="",I200=0),"",T200/I200)</f>
        <v/>
      </c>
      <c r="V200" s="10" t="str">
        <f aca="false">IF(A200="","",A200-WEEKDAY(A200,2)+1)</f>
        <v/>
      </c>
    </row>
    <row r="201" customFormat="false" ht="15" hidden="false" customHeight="false" outlineLevel="0" collapsed="false">
      <c r="A201" s="28"/>
      <c r="B201" s="29"/>
      <c r="C201" s="29"/>
      <c r="D201" s="29"/>
      <c r="E201" s="29"/>
      <c r="F201" s="29"/>
      <c r="G201" s="29"/>
      <c r="H201" s="29"/>
      <c r="I201" s="29"/>
      <c r="J201" s="29"/>
      <c r="K201" s="29"/>
      <c r="L201" s="29"/>
      <c r="M201" s="29"/>
      <c r="N201" s="29"/>
      <c r="O201" s="29"/>
      <c r="P201" s="29"/>
      <c r="Q201" s="29"/>
      <c r="R201" s="28"/>
      <c r="S201" s="29"/>
      <c r="T201" s="15" t="str">
        <f aca="false">IF(COUNT(J201:M201)=0,"",SUM(J201:M201))</f>
        <v/>
      </c>
      <c r="U201" s="23" t="str">
        <f aca="false">IF(OR(T201="",I201="",I201=0),"",T201/I201)</f>
        <v/>
      </c>
      <c r="V201" s="10" t="str">
        <f aca="false">IF(A201="","",A201-WEEKDAY(A201,2)+1)</f>
        <v/>
      </c>
    </row>
    <row r="202" customFormat="false" ht="15" hidden="false" customHeight="false" outlineLevel="0" collapsed="false">
      <c r="A202" s="28"/>
      <c r="B202" s="29"/>
      <c r="C202" s="29"/>
      <c r="D202" s="29"/>
      <c r="E202" s="29"/>
      <c r="F202" s="29"/>
      <c r="G202" s="29"/>
      <c r="H202" s="29"/>
      <c r="I202" s="29"/>
      <c r="J202" s="29"/>
      <c r="K202" s="29"/>
      <c r="L202" s="29"/>
      <c r="M202" s="29"/>
      <c r="N202" s="29"/>
      <c r="O202" s="29"/>
      <c r="P202" s="29"/>
      <c r="Q202" s="29"/>
      <c r="R202" s="28"/>
      <c r="S202" s="29"/>
      <c r="T202" s="15" t="str">
        <f aca="false">IF(COUNT(J202:M202)=0,"",SUM(J202:M202))</f>
        <v/>
      </c>
      <c r="U202" s="23" t="str">
        <f aca="false">IF(OR(T202="",I202="",I202=0),"",T202/I202)</f>
        <v/>
      </c>
      <c r="V202" s="10" t="str">
        <f aca="false">IF(A202="","",A202-WEEKDAY(A202,2)+1)</f>
        <v/>
      </c>
    </row>
    <row r="203" customFormat="false" ht="15" hidden="false" customHeight="false" outlineLevel="0" collapsed="false">
      <c r="A203" s="28"/>
      <c r="B203" s="29"/>
      <c r="C203" s="29"/>
      <c r="D203" s="29"/>
      <c r="E203" s="29"/>
      <c r="F203" s="29"/>
      <c r="G203" s="29"/>
      <c r="H203" s="29"/>
      <c r="I203" s="29"/>
      <c r="J203" s="29"/>
      <c r="K203" s="29"/>
      <c r="L203" s="29"/>
      <c r="M203" s="29"/>
      <c r="N203" s="29"/>
      <c r="O203" s="29"/>
      <c r="P203" s="29"/>
      <c r="Q203" s="29"/>
      <c r="R203" s="28"/>
      <c r="S203" s="29"/>
      <c r="T203" s="15" t="str">
        <f aca="false">IF(COUNT(J203:M203)=0,"",SUM(J203:M203))</f>
        <v/>
      </c>
      <c r="U203" s="23" t="str">
        <f aca="false">IF(OR(T203="",I203="",I203=0),"",T203/I203)</f>
        <v/>
      </c>
      <c r="V203" s="10" t="str">
        <f aca="false">IF(A203="","",A203-WEEKDAY(A203,2)+1)</f>
        <v/>
      </c>
    </row>
    <row r="204" customFormat="false" ht="15" hidden="false" customHeight="false" outlineLevel="0" collapsed="false">
      <c r="A204" s="28"/>
      <c r="B204" s="29"/>
      <c r="C204" s="29"/>
      <c r="D204" s="29"/>
      <c r="E204" s="29"/>
      <c r="F204" s="29"/>
      <c r="G204" s="29"/>
      <c r="H204" s="29"/>
      <c r="I204" s="29"/>
      <c r="J204" s="29"/>
      <c r="K204" s="29"/>
      <c r="L204" s="29"/>
      <c r="M204" s="29"/>
      <c r="N204" s="29"/>
      <c r="O204" s="29"/>
      <c r="P204" s="29"/>
      <c r="Q204" s="29"/>
      <c r="R204" s="28"/>
      <c r="S204" s="29"/>
      <c r="T204" s="15" t="str">
        <f aca="false">IF(COUNT(J204:M204)=0,"",SUM(J204:M204))</f>
        <v/>
      </c>
      <c r="U204" s="23" t="str">
        <f aca="false">IF(OR(T204="",I204="",I204=0),"",T204/I204)</f>
        <v/>
      </c>
      <c r="V204" s="10" t="str">
        <f aca="false">IF(A204="","",A204-WEEKDAY(A204,2)+1)</f>
        <v/>
      </c>
    </row>
    <row r="205" customFormat="false" ht="15" hidden="false" customHeight="false" outlineLevel="0" collapsed="false">
      <c r="A205" s="28"/>
      <c r="B205" s="29"/>
      <c r="C205" s="29"/>
      <c r="D205" s="29"/>
      <c r="E205" s="29"/>
      <c r="F205" s="29"/>
      <c r="G205" s="29"/>
      <c r="H205" s="29"/>
      <c r="I205" s="29"/>
      <c r="J205" s="29"/>
      <c r="K205" s="29"/>
      <c r="L205" s="29"/>
      <c r="M205" s="29"/>
      <c r="N205" s="29"/>
      <c r="O205" s="29"/>
      <c r="P205" s="29"/>
      <c r="Q205" s="29"/>
      <c r="R205" s="28"/>
      <c r="S205" s="29"/>
      <c r="T205" s="15" t="str">
        <f aca="false">IF(COUNT(J205:M205)=0,"",SUM(J205:M205))</f>
        <v/>
      </c>
      <c r="U205" s="23" t="str">
        <f aca="false">IF(OR(T205="",I205="",I205=0),"",T205/I205)</f>
        <v/>
      </c>
      <c r="V205" s="10" t="str">
        <f aca="false">IF(A205="","",A205-WEEKDAY(A205,2)+1)</f>
        <v/>
      </c>
    </row>
    <row r="206" customFormat="false" ht="15" hidden="false" customHeight="false" outlineLevel="0" collapsed="false">
      <c r="A206" s="28"/>
      <c r="B206" s="29"/>
      <c r="C206" s="29"/>
      <c r="D206" s="29"/>
      <c r="E206" s="29"/>
      <c r="F206" s="29"/>
      <c r="G206" s="29"/>
      <c r="H206" s="29"/>
      <c r="I206" s="29"/>
      <c r="J206" s="29"/>
      <c r="K206" s="29"/>
      <c r="L206" s="29"/>
      <c r="M206" s="29"/>
      <c r="N206" s="29"/>
      <c r="O206" s="29"/>
      <c r="P206" s="29"/>
      <c r="Q206" s="29"/>
      <c r="R206" s="28"/>
      <c r="S206" s="29"/>
      <c r="T206" s="15" t="str">
        <f aca="false">IF(COUNT(J206:M206)=0,"",SUM(J206:M206))</f>
        <v/>
      </c>
      <c r="U206" s="23" t="str">
        <f aca="false">IF(OR(T206="",I206="",I206=0),"",T206/I206)</f>
        <v/>
      </c>
      <c r="V206" s="10" t="str">
        <f aca="false">IF(A206="","",A206-WEEKDAY(A206,2)+1)</f>
        <v/>
      </c>
    </row>
    <row r="207" customFormat="false" ht="15" hidden="false" customHeight="false" outlineLevel="0" collapsed="false">
      <c r="A207" s="28"/>
      <c r="B207" s="29"/>
      <c r="C207" s="29"/>
      <c r="D207" s="29"/>
      <c r="E207" s="29"/>
      <c r="F207" s="29"/>
      <c r="G207" s="29"/>
      <c r="H207" s="29"/>
      <c r="I207" s="29"/>
      <c r="J207" s="29"/>
      <c r="K207" s="29"/>
      <c r="L207" s="29"/>
      <c r="M207" s="29"/>
      <c r="N207" s="29"/>
      <c r="O207" s="29"/>
      <c r="P207" s="29"/>
      <c r="Q207" s="29"/>
      <c r="R207" s="28"/>
      <c r="S207" s="29"/>
      <c r="T207" s="15" t="str">
        <f aca="false">IF(COUNT(J207:M207)=0,"",SUM(J207:M207))</f>
        <v/>
      </c>
      <c r="U207" s="23" t="str">
        <f aca="false">IF(OR(T207="",I207="",I207=0),"",T207/I207)</f>
        <v/>
      </c>
      <c r="V207" s="10" t="str">
        <f aca="false">IF(A207="","",A207-WEEKDAY(A207,2)+1)</f>
        <v/>
      </c>
    </row>
    <row r="208" customFormat="false" ht="15" hidden="false" customHeight="false" outlineLevel="0" collapsed="false">
      <c r="A208" s="28"/>
      <c r="B208" s="29"/>
      <c r="C208" s="29"/>
      <c r="D208" s="29"/>
      <c r="E208" s="29"/>
      <c r="F208" s="29"/>
      <c r="G208" s="29"/>
      <c r="H208" s="29"/>
      <c r="I208" s="29"/>
      <c r="J208" s="29"/>
      <c r="K208" s="29"/>
      <c r="L208" s="29"/>
      <c r="M208" s="29"/>
      <c r="N208" s="29"/>
      <c r="O208" s="29"/>
      <c r="P208" s="29"/>
      <c r="Q208" s="29"/>
      <c r="R208" s="28"/>
      <c r="S208" s="29"/>
      <c r="T208" s="15" t="str">
        <f aca="false">IF(COUNT(J208:M208)=0,"",SUM(J208:M208))</f>
        <v/>
      </c>
      <c r="U208" s="23" t="str">
        <f aca="false">IF(OR(T208="",I208="",I208=0),"",T208/I208)</f>
        <v/>
      </c>
      <c r="V208" s="10" t="str">
        <f aca="false">IF(A208="","",A208-WEEKDAY(A208,2)+1)</f>
        <v/>
      </c>
    </row>
    <row r="209" customFormat="false" ht="15" hidden="false" customHeight="false" outlineLevel="0" collapsed="false">
      <c r="A209" s="28"/>
      <c r="B209" s="29"/>
      <c r="C209" s="29"/>
      <c r="D209" s="29"/>
      <c r="E209" s="29"/>
      <c r="F209" s="29"/>
      <c r="G209" s="29"/>
      <c r="H209" s="29"/>
      <c r="I209" s="29"/>
      <c r="J209" s="29"/>
      <c r="K209" s="29"/>
      <c r="L209" s="29"/>
      <c r="M209" s="29"/>
      <c r="N209" s="29"/>
      <c r="O209" s="29"/>
      <c r="P209" s="29"/>
      <c r="Q209" s="29"/>
      <c r="R209" s="28"/>
      <c r="S209" s="29"/>
      <c r="T209" s="15" t="str">
        <f aca="false">IF(COUNT(J209:M209)=0,"",SUM(J209:M209))</f>
        <v/>
      </c>
      <c r="U209" s="23" t="str">
        <f aca="false">IF(OR(T209="",I209="",I209=0),"",T209/I209)</f>
        <v/>
      </c>
      <c r="V209" s="10" t="str">
        <f aca="false">IF(A209="","",A209-WEEKDAY(A209,2)+1)</f>
        <v/>
      </c>
    </row>
    <row r="210" customFormat="false" ht="15" hidden="false" customHeight="false" outlineLevel="0" collapsed="false">
      <c r="A210" s="28"/>
      <c r="B210" s="29"/>
      <c r="C210" s="29"/>
      <c r="D210" s="29"/>
      <c r="E210" s="29"/>
      <c r="F210" s="29"/>
      <c r="G210" s="29"/>
      <c r="H210" s="29"/>
      <c r="I210" s="29"/>
      <c r="J210" s="29"/>
      <c r="K210" s="29"/>
      <c r="L210" s="29"/>
      <c r="M210" s="29"/>
      <c r="N210" s="29"/>
      <c r="O210" s="29"/>
      <c r="P210" s="29"/>
      <c r="Q210" s="29"/>
      <c r="R210" s="28"/>
      <c r="S210" s="29"/>
      <c r="T210" s="15" t="str">
        <f aca="false">IF(COUNT(J210:M210)=0,"",SUM(J210:M210))</f>
        <v/>
      </c>
      <c r="U210" s="23" t="str">
        <f aca="false">IF(OR(T210="",I210="",I210=0),"",T210/I210)</f>
        <v/>
      </c>
      <c r="V210" s="10" t="str">
        <f aca="false">IF(A210="","",A210-WEEKDAY(A210,2)+1)</f>
        <v/>
      </c>
    </row>
    <row r="211" customFormat="false" ht="15" hidden="false" customHeight="false" outlineLevel="0" collapsed="false">
      <c r="A211" s="28"/>
      <c r="B211" s="29"/>
      <c r="C211" s="29"/>
      <c r="D211" s="29"/>
      <c r="E211" s="29"/>
      <c r="F211" s="29"/>
      <c r="G211" s="29"/>
      <c r="H211" s="29"/>
      <c r="I211" s="29"/>
      <c r="J211" s="29"/>
      <c r="K211" s="29"/>
      <c r="L211" s="29"/>
      <c r="M211" s="29"/>
      <c r="N211" s="29"/>
      <c r="O211" s="29"/>
      <c r="P211" s="29"/>
      <c r="Q211" s="29"/>
      <c r="R211" s="28"/>
      <c r="S211" s="29"/>
      <c r="T211" s="15" t="str">
        <f aca="false">IF(COUNT(J211:M211)=0,"",SUM(J211:M211))</f>
        <v/>
      </c>
      <c r="U211" s="23" t="str">
        <f aca="false">IF(OR(T211="",I211="",I211=0),"",T211/I211)</f>
        <v/>
      </c>
      <c r="V211" s="10" t="str">
        <f aca="false">IF(A211="","",A211-WEEKDAY(A211,2)+1)</f>
        <v/>
      </c>
    </row>
    <row r="212" customFormat="false" ht="15" hidden="false" customHeight="false" outlineLevel="0" collapsed="false">
      <c r="A212" s="28"/>
      <c r="B212" s="29"/>
      <c r="C212" s="29"/>
      <c r="D212" s="29"/>
      <c r="E212" s="29"/>
      <c r="F212" s="29"/>
      <c r="G212" s="29"/>
      <c r="H212" s="29"/>
      <c r="I212" s="29"/>
      <c r="J212" s="29"/>
      <c r="K212" s="29"/>
      <c r="L212" s="29"/>
      <c r="M212" s="29"/>
      <c r="N212" s="29"/>
      <c r="O212" s="29"/>
      <c r="P212" s="29"/>
      <c r="Q212" s="29"/>
      <c r="R212" s="28"/>
      <c r="S212" s="29"/>
      <c r="T212" s="15" t="str">
        <f aca="false">IF(COUNT(J212:M212)=0,"",SUM(J212:M212))</f>
        <v/>
      </c>
      <c r="U212" s="23" t="str">
        <f aca="false">IF(OR(T212="",I212="",I212=0),"",T212/I212)</f>
        <v/>
      </c>
      <c r="V212" s="10" t="str">
        <f aca="false">IF(A212="","",A212-WEEKDAY(A212,2)+1)</f>
        <v/>
      </c>
    </row>
    <row r="213" customFormat="false" ht="15" hidden="false" customHeight="false" outlineLevel="0" collapsed="false">
      <c r="A213" s="28"/>
      <c r="B213" s="29"/>
      <c r="C213" s="29"/>
      <c r="D213" s="29"/>
      <c r="E213" s="29"/>
      <c r="F213" s="29"/>
      <c r="G213" s="29"/>
      <c r="H213" s="29"/>
      <c r="I213" s="29"/>
      <c r="J213" s="29"/>
      <c r="K213" s="29"/>
      <c r="L213" s="29"/>
      <c r="M213" s="29"/>
      <c r="N213" s="29"/>
      <c r="O213" s="29"/>
      <c r="P213" s="29"/>
      <c r="Q213" s="29"/>
      <c r="R213" s="28"/>
      <c r="S213" s="29"/>
      <c r="T213" s="15" t="str">
        <f aca="false">IF(COUNT(J213:M213)=0,"",SUM(J213:M213))</f>
        <v/>
      </c>
      <c r="U213" s="23" t="str">
        <f aca="false">IF(OR(T213="",I213="",I213=0),"",T213/I213)</f>
        <v/>
      </c>
      <c r="V213" s="10" t="str">
        <f aca="false">IF(A213="","",A213-WEEKDAY(A213,2)+1)</f>
        <v/>
      </c>
    </row>
    <row r="214" customFormat="false" ht="15" hidden="false" customHeight="false" outlineLevel="0" collapsed="false">
      <c r="A214" s="28"/>
      <c r="B214" s="29"/>
      <c r="C214" s="29"/>
      <c r="D214" s="29"/>
      <c r="E214" s="29"/>
      <c r="F214" s="29"/>
      <c r="G214" s="29"/>
      <c r="H214" s="29"/>
      <c r="I214" s="29"/>
      <c r="J214" s="29"/>
      <c r="K214" s="29"/>
      <c r="L214" s="29"/>
      <c r="M214" s="29"/>
      <c r="N214" s="29"/>
      <c r="O214" s="29"/>
      <c r="P214" s="29"/>
      <c r="Q214" s="29"/>
      <c r="R214" s="28"/>
      <c r="S214" s="29"/>
      <c r="T214" s="15" t="str">
        <f aca="false">IF(COUNT(J214:M214)=0,"",SUM(J214:M214))</f>
        <v/>
      </c>
      <c r="U214" s="23" t="str">
        <f aca="false">IF(OR(T214="",I214="",I214=0),"",T214/I214)</f>
        <v/>
      </c>
      <c r="V214" s="10" t="str">
        <f aca="false">IF(A214="","",A214-WEEKDAY(A214,2)+1)</f>
        <v/>
      </c>
    </row>
    <row r="215" customFormat="false" ht="15" hidden="false" customHeight="false" outlineLevel="0" collapsed="false">
      <c r="A215" s="28"/>
      <c r="B215" s="29"/>
      <c r="C215" s="29"/>
      <c r="D215" s="29"/>
      <c r="E215" s="29"/>
      <c r="F215" s="29"/>
      <c r="G215" s="29"/>
      <c r="H215" s="29"/>
      <c r="I215" s="29"/>
      <c r="J215" s="29"/>
      <c r="K215" s="29"/>
      <c r="L215" s="29"/>
      <c r="M215" s="29"/>
      <c r="N215" s="29"/>
      <c r="O215" s="29"/>
      <c r="P215" s="29"/>
      <c r="Q215" s="29"/>
      <c r="R215" s="28"/>
      <c r="S215" s="29"/>
      <c r="T215" s="15" t="str">
        <f aca="false">IF(COUNT(J215:M215)=0,"",SUM(J215:M215))</f>
        <v/>
      </c>
      <c r="U215" s="23" t="str">
        <f aca="false">IF(OR(T215="",I215="",I215=0),"",T215/I215)</f>
        <v/>
      </c>
      <c r="V215" s="10" t="str">
        <f aca="false">IF(A215="","",A215-WEEKDAY(A215,2)+1)</f>
        <v/>
      </c>
    </row>
    <row r="216" customFormat="false" ht="15" hidden="false" customHeight="false" outlineLevel="0" collapsed="false">
      <c r="A216" s="28"/>
      <c r="B216" s="29"/>
      <c r="C216" s="29"/>
      <c r="D216" s="29"/>
      <c r="E216" s="29"/>
      <c r="F216" s="29"/>
      <c r="G216" s="29"/>
      <c r="H216" s="29"/>
      <c r="I216" s="29"/>
      <c r="J216" s="29"/>
      <c r="K216" s="29"/>
      <c r="L216" s="29"/>
      <c r="M216" s="29"/>
      <c r="N216" s="29"/>
      <c r="O216" s="29"/>
      <c r="P216" s="29"/>
      <c r="Q216" s="29"/>
      <c r="R216" s="28"/>
      <c r="S216" s="29"/>
      <c r="T216" s="15" t="str">
        <f aca="false">IF(COUNT(J216:M216)=0,"",SUM(J216:M216))</f>
        <v/>
      </c>
      <c r="U216" s="23" t="str">
        <f aca="false">IF(OR(T216="",I216="",I216=0),"",T216/I216)</f>
        <v/>
      </c>
      <c r="V216" s="10" t="str">
        <f aca="false">IF(A216="","",A216-WEEKDAY(A216,2)+1)</f>
        <v/>
      </c>
    </row>
    <row r="217" customFormat="false" ht="15" hidden="false" customHeight="false" outlineLevel="0" collapsed="false">
      <c r="A217" s="28"/>
      <c r="B217" s="29"/>
      <c r="C217" s="29"/>
      <c r="D217" s="29"/>
      <c r="E217" s="29"/>
      <c r="F217" s="29"/>
      <c r="G217" s="29"/>
      <c r="H217" s="29"/>
      <c r="I217" s="29"/>
      <c r="J217" s="29"/>
      <c r="K217" s="29"/>
      <c r="L217" s="29"/>
      <c r="M217" s="29"/>
      <c r="N217" s="29"/>
      <c r="O217" s="29"/>
      <c r="P217" s="29"/>
      <c r="Q217" s="29"/>
      <c r="R217" s="28"/>
      <c r="S217" s="29"/>
      <c r="T217" s="15" t="str">
        <f aca="false">IF(COUNT(J217:M217)=0,"",SUM(J217:M217))</f>
        <v/>
      </c>
      <c r="U217" s="23" t="str">
        <f aca="false">IF(OR(T217="",I217="",I217=0),"",T217/I217)</f>
        <v/>
      </c>
      <c r="V217" s="10" t="str">
        <f aca="false">IF(A217="","",A217-WEEKDAY(A217,2)+1)</f>
        <v/>
      </c>
    </row>
    <row r="218" customFormat="false" ht="15" hidden="false" customHeight="false" outlineLevel="0" collapsed="false">
      <c r="A218" s="28"/>
      <c r="B218" s="29"/>
      <c r="C218" s="29"/>
      <c r="D218" s="29"/>
      <c r="E218" s="29"/>
      <c r="F218" s="29"/>
      <c r="G218" s="29"/>
      <c r="H218" s="29"/>
      <c r="I218" s="29"/>
      <c r="J218" s="29"/>
      <c r="K218" s="29"/>
      <c r="L218" s="29"/>
      <c r="M218" s="29"/>
      <c r="N218" s="29"/>
      <c r="O218" s="29"/>
      <c r="P218" s="29"/>
      <c r="Q218" s="29"/>
      <c r="R218" s="28"/>
      <c r="S218" s="29"/>
      <c r="T218" s="15" t="str">
        <f aca="false">IF(COUNT(J218:M218)=0,"",SUM(J218:M218))</f>
        <v/>
      </c>
      <c r="U218" s="23" t="str">
        <f aca="false">IF(OR(T218="",I218="",I218=0),"",T218/I218)</f>
        <v/>
      </c>
      <c r="V218" s="10" t="str">
        <f aca="false">IF(A218="","",A218-WEEKDAY(A218,2)+1)</f>
        <v/>
      </c>
    </row>
    <row r="219" customFormat="false" ht="15" hidden="false" customHeight="false" outlineLevel="0" collapsed="false">
      <c r="A219" s="28"/>
      <c r="B219" s="29"/>
      <c r="C219" s="29"/>
      <c r="D219" s="29"/>
      <c r="E219" s="29"/>
      <c r="F219" s="29"/>
      <c r="G219" s="29"/>
      <c r="H219" s="29"/>
      <c r="I219" s="29"/>
      <c r="J219" s="29"/>
      <c r="K219" s="29"/>
      <c r="L219" s="29"/>
      <c r="M219" s="29"/>
      <c r="N219" s="29"/>
      <c r="O219" s="29"/>
      <c r="P219" s="29"/>
      <c r="Q219" s="29"/>
      <c r="R219" s="28"/>
      <c r="S219" s="29"/>
      <c r="T219" s="15" t="str">
        <f aca="false">IF(COUNT(J219:M219)=0,"",SUM(J219:M219))</f>
        <v/>
      </c>
      <c r="U219" s="23" t="str">
        <f aca="false">IF(OR(T219="",I219="",I219=0),"",T219/I219)</f>
        <v/>
      </c>
      <c r="V219" s="10" t="str">
        <f aca="false">IF(A219="","",A219-WEEKDAY(A219,2)+1)</f>
        <v/>
      </c>
    </row>
    <row r="220" customFormat="false" ht="15" hidden="false" customHeight="false" outlineLevel="0" collapsed="false">
      <c r="A220" s="28"/>
      <c r="B220" s="29"/>
      <c r="C220" s="29"/>
      <c r="D220" s="29"/>
      <c r="E220" s="29"/>
      <c r="F220" s="29"/>
      <c r="G220" s="29"/>
      <c r="H220" s="29"/>
      <c r="I220" s="29"/>
      <c r="J220" s="29"/>
      <c r="K220" s="29"/>
      <c r="L220" s="29"/>
      <c r="M220" s="29"/>
      <c r="N220" s="29"/>
      <c r="O220" s="29"/>
      <c r="P220" s="29"/>
      <c r="Q220" s="29"/>
      <c r="R220" s="28"/>
      <c r="S220" s="29"/>
      <c r="T220" s="15" t="str">
        <f aca="false">IF(COUNT(J220:M220)=0,"",SUM(J220:M220))</f>
        <v/>
      </c>
      <c r="U220" s="23" t="str">
        <f aca="false">IF(OR(T220="",I220="",I220=0),"",T220/I220)</f>
        <v/>
      </c>
      <c r="V220" s="10" t="str">
        <f aca="false">IF(A220="","",A220-WEEKDAY(A220,2)+1)</f>
        <v/>
      </c>
    </row>
    <row r="221" customFormat="false" ht="15" hidden="false" customHeight="false" outlineLevel="0" collapsed="false">
      <c r="A221" s="28"/>
      <c r="B221" s="29"/>
      <c r="C221" s="29"/>
      <c r="D221" s="29"/>
      <c r="E221" s="29"/>
      <c r="F221" s="29"/>
      <c r="G221" s="29"/>
      <c r="H221" s="29"/>
      <c r="I221" s="29"/>
      <c r="J221" s="29"/>
      <c r="K221" s="29"/>
      <c r="L221" s="29"/>
      <c r="M221" s="29"/>
      <c r="N221" s="29"/>
      <c r="O221" s="29"/>
      <c r="P221" s="29"/>
      <c r="Q221" s="29"/>
      <c r="R221" s="28"/>
      <c r="S221" s="29"/>
      <c r="T221" s="15" t="str">
        <f aca="false">IF(COUNT(J221:M221)=0,"",SUM(J221:M221))</f>
        <v/>
      </c>
      <c r="U221" s="23" t="str">
        <f aca="false">IF(OR(T221="",I221="",I221=0),"",T221/I221)</f>
        <v/>
      </c>
      <c r="V221" s="10" t="str">
        <f aca="false">IF(A221="","",A221-WEEKDAY(A221,2)+1)</f>
        <v/>
      </c>
    </row>
    <row r="222" customFormat="false" ht="15" hidden="false" customHeight="false" outlineLevel="0" collapsed="false">
      <c r="A222" s="28"/>
      <c r="B222" s="29"/>
      <c r="C222" s="29"/>
      <c r="D222" s="29"/>
      <c r="E222" s="29"/>
      <c r="F222" s="29"/>
      <c r="G222" s="29"/>
      <c r="H222" s="29"/>
      <c r="I222" s="29"/>
      <c r="J222" s="29"/>
      <c r="K222" s="29"/>
      <c r="L222" s="29"/>
      <c r="M222" s="29"/>
      <c r="N222" s="29"/>
      <c r="O222" s="29"/>
      <c r="P222" s="29"/>
      <c r="Q222" s="29"/>
      <c r="R222" s="28"/>
      <c r="S222" s="29"/>
      <c r="T222" s="15" t="str">
        <f aca="false">IF(COUNT(J222:M222)=0,"",SUM(J222:M222))</f>
        <v/>
      </c>
      <c r="U222" s="23" t="str">
        <f aca="false">IF(OR(T222="",I222="",I222=0),"",T222/I222)</f>
        <v/>
      </c>
      <c r="V222" s="10" t="str">
        <f aca="false">IF(A222="","",A222-WEEKDAY(A222,2)+1)</f>
        <v/>
      </c>
    </row>
    <row r="223" customFormat="false" ht="15" hidden="false" customHeight="false" outlineLevel="0" collapsed="false">
      <c r="A223" s="28"/>
      <c r="B223" s="29"/>
      <c r="C223" s="29"/>
      <c r="D223" s="29"/>
      <c r="E223" s="29"/>
      <c r="F223" s="29"/>
      <c r="G223" s="29"/>
      <c r="H223" s="29"/>
      <c r="I223" s="29"/>
      <c r="J223" s="29"/>
      <c r="K223" s="29"/>
      <c r="L223" s="29"/>
      <c r="M223" s="29"/>
      <c r="N223" s="29"/>
      <c r="O223" s="29"/>
      <c r="P223" s="29"/>
      <c r="Q223" s="29"/>
      <c r="R223" s="28"/>
      <c r="S223" s="29"/>
      <c r="T223" s="15" t="str">
        <f aca="false">IF(COUNT(J223:M223)=0,"",SUM(J223:M223))</f>
        <v/>
      </c>
      <c r="U223" s="23" t="str">
        <f aca="false">IF(OR(T223="",I223="",I223=0),"",T223/I223)</f>
        <v/>
      </c>
      <c r="V223" s="10" t="str">
        <f aca="false">IF(A223="","",A223-WEEKDAY(A223,2)+1)</f>
        <v/>
      </c>
    </row>
    <row r="224" customFormat="false" ht="15" hidden="false" customHeight="false" outlineLevel="0" collapsed="false">
      <c r="A224" s="28"/>
      <c r="B224" s="29"/>
      <c r="C224" s="29"/>
      <c r="D224" s="29"/>
      <c r="E224" s="29"/>
      <c r="F224" s="29"/>
      <c r="G224" s="29"/>
      <c r="H224" s="29"/>
      <c r="I224" s="29"/>
      <c r="J224" s="29"/>
      <c r="K224" s="29"/>
      <c r="L224" s="29"/>
      <c r="M224" s="29"/>
      <c r="N224" s="29"/>
      <c r="O224" s="29"/>
      <c r="P224" s="29"/>
      <c r="Q224" s="29"/>
      <c r="R224" s="28"/>
      <c r="S224" s="29"/>
      <c r="T224" s="15" t="str">
        <f aca="false">IF(COUNT(J224:M224)=0,"",SUM(J224:M224))</f>
        <v/>
      </c>
      <c r="U224" s="23" t="str">
        <f aca="false">IF(OR(T224="",I224="",I224=0),"",T224/I224)</f>
        <v/>
      </c>
      <c r="V224" s="10" t="str">
        <f aca="false">IF(A224="","",A224-WEEKDAY(A224,2)+1)</f>
        <v/>
      </c>
    </row>
    <row r="225" customFormat="false" ht="15" hidden="false" customHeight="false" outlineLevel="0" collapsed="false">
      <c r="A225" s="28"/>
      <c r="B225" s="29"/>
      <c r="C225" s="29"/>
      <c r="D225" s="29"/>
      <c r="E225" s="29"/>
      <c r="F225" s="29"/>
      <c r="G225" s="29"/>
      <c r="H225" s="29"/>
      <c r="I225" s="29"/>
      <c r="J225" s="29"/>
      <c r="K225" s="29"/>
      <c r="L225" s="29"/>
      <c r="M225" s="29"/>
      <c r="N225" s="29"/>
      <c r="O225" s="29"/>
      <c r="P225" s="29"/>
      <c r="Q225" s="29"/>
      <c r="R225" s="28"/>
      <c r="S225" s="29"/>
      <c r="T225" s="15" t="str">
        <f aca="false">IF(COUNT(J225:M225)=0,"",SUM(J225:M225))</f>
        <v/>
      </c>
      <c r="U225" s="23" t="str">
        <f aca="false">IF(OR(T225="",I225="",I225=0),"",T225/I225)</f>
        <v/>
      </c>
      <c r="V225" s="10" t="str">
        <f aca="false">IF(A225="","",A225-WEEKDAY(A225,2)+1)</f>
        <v/>
      </c>
    </row>
    <row r="226" customFormat="false" ht="15" hidden="false" customHeight="false" outlineLevel="0" collapsed="false">
      <c r="A226" s="28"/>
      <c r="B226" s="29"/>
      <c r="C226" s="29"/>
      <c r="D226" s="29"/>
      <c r="E226" s="29"/>
      <c r="F226" s="29"/>
      <c r="G226" s="29"/>
      <c r="H226" s="29"/>
      <c r="I226" s="29"/>
      <c r="J226" s="29"/>
      <c r="K226" s="29"/>
      <c r="L226" s="29"/>
      <c r="M226" s="29"/>
      <c r="N226" s="29"/>
      <c r="O226" s="29"/>
      <c r="P226" s="29"/>
      <c r="Q226" s="29"/>
      <c r="R226" s="28"/>
      <c r="S226" s="29"/>
      <c r="T226" s="15" t="str">
        <f aca="false">IF(COUNT(J226:M226)=0,"",SUM(J226:M226))</f>
        <v/>
      </c>
      <c r="U226" s="23" t="str">
        <f aca="false">IF(OR(T226="",I226="",I226=0),"",T226/I226)</f>
        <v/>
      </c>
      <c r="V226" s="10" t="str">
        <f aca="false">IF(A226="","",A226-WEEKDAY(A226,2)+1)</f>
        <v/>
      </c>
    </row>
    <row r="227" customFormat="false" ht="15" hidden="false" customHeight="false" outlineLevel="0" collapsed="false">
      <c r="A227" s="28"/>
      <c r="B227" s="29"/>
      <c r="C227" s="29"/>
      <c r="D227" s="29"/>
      <c r="E227" s="29"/>
      <c r="F227" s="29"/>
      <c r="G227" s="29"/>
      <c r="H227" s="29"/>
      <c r="I227" s="29"/>
      <c r="J227" s="29"/>
      <c r="K227" s="29"/>
      <c r="L227" s="29"/>
      <c r="M227" s="29"/>
      <c r="N227" s="29"/>
      <c r="O227" s="29"/>
      <c r="P227" s="29"/>
      <c r="Q227" s="29"/>
      <c r="R227" s="28"/>
      <c r="S227" s="29"/>
      <c r="T227" s="15" t="str">
        <f aca="false">IF(COUNT(J227:M227)=0,"",SUM(J227:M227))</f>
        <v/>
      </c>
      <c r="U227" s="23" t="str">
        <f aca="false">IF(OR(T227="",I227="",I227=0),"",T227/I227)</f>
        <v/>
      </c>
      <c r="V227" s="10" t="str">
        <f aca="false">IF(A227="","",A227-WEEKDAY(A227,2)+1)</f>
        <v/>
      </c>
    </row>
    <row r="228" customFormat="false" ht="15" hidden="false" customHeight="false" outlineLevel="0" collapsed="false">
      <c r="A228" s="28"/>
      <c r="B228" s="29"/>
      <c r="C228" s="29"/>
      <c r="D228" s="29"/>
      <c r="E228" s="29"/>
      <c r="F228" s="29"/>
      <c r="G228" s="29"/>
      <c r="H228" s="29"/>
      <c r="I228" s="29"/>
      <c r="J228" s="29"/>
      <c r="K228" s="29"/>
      <c r="L228" s="29"/>
      <c r="M228" s="29"/>
      <c r="N228" s="29"/>
      <c r="O228" s="29"/>
      <c r="P228" s="29"/>
      <c r="Q228" s="29"/>
      <c r="R228" s="28"/>
      <c r="S228" s="29"/>
      <c r="T228" s="15" t="str">
        <f aca="false">IF(COUNT(J228:M228)=0,"",SUM(J228:M228))</f>
        <v/>
      </c>
      <c r="U228" s="23" t="str">
        <f aca="false">IF(OR(T228="",I228="",I228=0),"",T228/I228)</f>
        <v/>
      </c>
      <c r="V228" s="10" t="str">
        <f aca="false">IF(A228="","",A228-WEEKDAY(A228,2)+1)</f>
        <v/>
      </c>
    </row>
    <row r="229" customFormat="false" ht="15" hidden="false" customHeight="false" outlineLevel="0" collapsed="false">
      <c r="A229" s="28"/>
      <c r="B229" s="29"/>
      <c r="C229" s="29"/>
      <c r="D229" s="29"/>
      <c r="E229" s="29"/>
      <c r="F229" s="29"/>
      <c r="G229" s="29"/>
      <c r="H229" s="29"/>
      <c r="I229" s="29"/>
      <c r="J229" s="29"/>
      <c r="K229" s="29"/>
      <c r="L229" s="29"/>
      <c r="M229" s="29"/>
      <c r="N229" s="29"/>
      <c r="O229" s="29"/>
      <c r="P229" s="29"/>
      <c r="Q229" s="29"/>
      <c r="R229" s="28"/>
      <c r="S229" s="29"/>
      <c r="T229" s="15" t="str">
        <f aca="false">IF(COUNT(J229:M229)=0,"",SUM(J229:M229))</f>
        <v/>
      </c>
      <c r="U229" s="23" t="str">
        <f aca="false">IF(OR(T229="",I229="",I229=0),"",T229/I229)</f>
        <v/>
      </c>
      <c r="V229" s="10" t="str">
        <f aca="false">IF(A229="","",A229-WEEKDAY(A229,2)+1)</f>
        <v/>
      </c>
    </row>
    <row r="230" customFormat="false" ht="15" hidden="false" customHeight="false" outlineLevel="0" collapsed="false">
      <c r="A230" s="28"/>
      <c r="B230" s="29"/>
      <c r="C230" s="29"/>
      <c r="D230" s="29"/>
      <c r="E230" s="29"/>
      <c r="F230" s="29"/>
      <c r="G230" s="29"/>
      <c r="H230" s="29"/>
      <c r="I230" s="29"/>
      <c r="J230" s="29"/>
      <c r="K230" s="29"/>
      <c r="L230" s="29"/>
      <c r="M230" s="29"/>
      <c r="N230" s="29"/>
      <c r="O230" s="29"/>
      <c r="P230" s="29"/>
      <c r="Q230" s="29"/>
      <c r="R230" s="28"/>
      <c r="S230" s="29"/>
      <c r="T230" s="15" t="str">
        <f aca="false">IF(COUNT(J230:M230)=0,"",SUM(J230:M230))</f>
        <v/>
      </c>
      <c r="U230" s="23" t="str">
        <f aca="false">IF(OR(T230="",I230="",I230=0),"",T230/I230)</f>
        <v/>
      </c>
      <c r="V230" s="10" t="str">
        <f aca="false">IF(A230="","",A230-WEEKDAY(A230,2)+1)</f>
        <v/>
      </c>
    </row>
    <row r="231" customFormat="false" ht="15" hidden="false" customHeight="false" outlineLevel="0" collapsed="false">
      <c r="A231" s="28"/>
      <c r="B231" s="29"/>
      <c r="C231" s="29"/>
      <c r="D231" s="29"/>
      <c r="E231" s="29"/>
      <c r="F231" s="29"/>
      <c r="G231" s="29"/>
      <c r="H231" s="29"/>
      <c r="I231" s="29"/>
      <c r="J231" s="29"/>
      <c r="K231" s="29"/>
      <c r="L231" s="29"/>
      <c r="M231" s="29"/>
      <c r="N231" s="29"/>
      <c r="O231" s="29"/>
      <c r="P231" s="29"/>
      <c r="Q231" s="29"/>
      <c r="R231" s="28"/>
      <c r="S231" s="29"/>
      <c r="T231" s="15" t="str">
        <f aca="false">IF(COUNT(J231:M231)=0,"",SUM(J231:M231))</f>
        <v/>
      </c>
      <c r="U231" s="23" t="str">
        <f aca="false">IF(OR(T231="",I231="",I231=0),"",T231/I231)</f>
        <v/>
      </c>
      <c r="V231" s="10" t="str">
        <f aca="false">IF(A231="","",A231-WEEKDAY(A231,2)+1)</f>
        <v/>
      </c>
    </row>
    <row r="232" customFormat="false" ht="15" hidden="false" customHeight="false" outlineLevel="0" collapsed="false">
      <c r="A232" s="28"/>
      <c r="B232" s="29"/>
      <c r="C232" s="29"/>
      <c r="D232" s="29"/>
      <c r="E232" s="29"/>
      <c r="F232" s="29"/>
      <c r="G232" s="29"/>
      <c r="H232" s="29"/>
      <c r="I232" s="29"/>
      <c r="J232" s="29"/>
      <c r="K232" s="29"/>
      <c r="L232" s="29"/>
      <c r="M232" s="29"/>
      <c r="N232" s="29"/>
      <c r="O232" s="29"/>
      <c r="P232" s="29"/>
      <c r="Q232" s="29"/>
      <c r="R232" s="28"/>
      <c r="S232" s="29"/>
      <c r="T232" s="15" t="str">
        <f aca="false">IF(COUNT(J232:M232)=0,"",SUM(J232:M232))</f>
        <v/>
      </c>
      <c r="U232" s="23" t="str">
        <f aca="false">IF(OR(T232="",I232="",I232=0),"",T232/I232)</f>
        <v/>
      </c>
      <c r="V232" s="10" t="str">
        <f aca="false">IF(A232="","",A232-WEEKDAY(A232,2)+1)</f>
        <v/>
      </c>
    </row>
    <row r="233" customFormat="false" ht="15" hidden="false" customHeight="false" outlineLevel="0" collapsed="false">
      <c r="A233" s="28"/>
      <c r="B233" s="29"/>
      <c r="C233" s="29"/>
      <c r="D233" s="29"/>
      <c r="E233" s="29"/>
      <c r="F233" s="29"/>
      <c r="G233" s="29"/>
      <c r="H233" s="29"/>
      <c r="I233" s="29"/>
      <c r="J233" s="29"/>
      <c r="K233" s="29"/>
      <c r="L233" s="29"/>
      <c r="M233" s="29"/>
      <c r="N233" s="29"/>
      <c r="O233" s="29"/>
      <c r="P233" s="29"/>
      <c r="Q233" s="29"/>
      <c r="R233" s="28"/>
      <c r="S233" s="29"/>
      <c r="T233" s="15" t="str">
        <f aca="false">IF(COUNT(J233:M233)=0,"",SUM(J233:M233))</f>
        <v/>
      </c>
      <c r="U233" s="23" t="str">
        <f aca="false">IF(OR(T233="",I233="",I233=0),"",T233/I233)</f>
        <v/>
      </c>
      <c r="V233" s="10" t="str">
        <f aca="false">IF(A233="","",A233-WEEKDAY(A233,2)+1)</f>
        <v/>
      </c>
    </row>
    <row r="234" customFormat="false" ht="15" hidden="false" customHeight="false" outlineLevel="0" collapsed="false">
      <c r="A234" s="28"/>
      <c r="B234" s="29"/>
      <c r="C234" s="29"/>
      <c r="D234" s="29"/>
      <c r="E234" s="29"/>
      <c r="F234" s="29"/>
      <c r="G234" s="29"/>
      <c r="H234" s="29"/>
      <c r="I234" s="29"/>
      <c r="J234" s="29"/>
      <c r="K234" s="29"/>
      <c r="L234" s="29"/>
      <c r="M234" s="29"/>
      <c r="N234" s="29"/>
      <c r="O234" s="29"/>
      <c r="P234" s="29"/>
      <c r="Q234" s="29"/>
      <c r="R234" s="28"/>
      <c r="S234" s="29"/>
      <c r="T234" s="15" t="str">
        <f aca="false">IF(COUNT(J234:M234)=0,"",SUM(J234:M234))</f>
        <v/>
      </c>
      <c r="U234" s="23" t="str">
        <f aca="false">IF(OR(T234="",I234="",I234=0),"",T234/I234)</f>
        <v/>
      </c>
      <c r="V234" s="10" t="str">
        <f aca="false">IF(A234="","",A234-WEEKDAY(A234,2)+1)</f>
        <v/>
      </c>
    </row>
    <row r="235" customFormat="false" ht="15" hidden="false" customHeight="false" outlineLevel="0" collapsed="false">
      <c r="A235" s="28"/>
      <c r="B235" s="29"/>
      <c r="C235" s="29"/>
      <c r="D235" s="29"/>
      <c r="E235" s="29"/>
      <c r="F235" s="29"/>
      <c r="G235" s="29"/>
      <c r="H235" s="29"/>
      <c r="I235" s="29"/>
      <c r="J235" s="29"/>
      <c r="K235" s="29"/>
      <c r="L235" s="29"/>
      <c r="M235" s="29"/>
      <c r="N235" s="29"/>
      <c r="O235" s="29"/>
      <c r="P235" s="29"/>
      <c r="Q235" s="29"/>
      <c r="R235" s="28"/>
      <c r="S235" s="29"/>
      <c r="T235" s="15" t="str">
        <f aca="false">IF(COUNT(J235:M235)=0,"",SUM(J235:M235))</f>
        <v/>
      </c>
      <c r="U235" s="23" t="str">
        <f aca="false">IF(OR(T235="",I235="",I235=0),"",T235/I235)</f>
        <v/>
      </c>
      <c r="V235" s="10" t="str">
        <f aca="false">IF(A235="","",A235-WEEKDAY(A235,2)+1)</f>
        <v/>
      </c>
    </row>
    <row r="236" customFormat="false" ht="15" hidden="false" customHeight="false" outlineLevel="0" collapsed="false">
      <c r="A236" s="28"/>
      <c r="B236" s="29"/>
      <c r="C236" s="29"/>
      <c r="D236" s="29"/>
      <c r="E236" s="29"/>
      <c r="F236" s="29"/>
      <c r="G236" s="29"/>
      <c r="H236" s="29"/>
      <c r="I236" s="29"/>
      <c r="J236" s="29"/>
      <c r="K236" s="29"/>
      <c r="L236" s="29"/>
      <c r="M236" s="29"/>
      <c r="N236" s="29"/>
      <c r="O236" s="29"/>
      <c r="P236" s="29"/>
      <c r="Q236" s="29"/>
      <c r="R236" s="28"/>
      <c r="S236" s="29"/>
      <c r="T236" s="15" t="str">
        <f aca="false">IF(COUNT(J236:M236)=0,"",SUM(J236:M236))</f>
        <v/>
      </c>
      <c r="U236" s="23" t="str">
        <f aca="false">IF(OR(T236="",I236="",I236=0),"",T236/I236)</f>
        <v/>
      </c>
      <c r="V236" s="10" t="str">
        <f aca="false">IF(A236="","",A236-WEEKDAY(A236,2)+1)</f>
        <v/>
      </c>
    </row>
    <row r="237" customFormat="false" ht="15" hidden="false" customHeight="false" outlineLevel="0" collapsed="false">
      <c r="A237" s="28"/>
      <c r="B237" s="29"/>
      <c r="C237" s="29"/>
      <c r="D237" s="29"/>
      <c r="E237" s="29"/>
      <c r="F237" s="29"/>
      <c r="G237" s="29"/>
      <c r="H237" s="29"/>
      <c r="I237" s="29"/>
      <c r="J237" s="29"/>
      <c r="K237" s="29"/>
      <c r="L237" s="29"/>
      <c r="M237" s="29"/>
      <c r="N237" s="29"/>
      <c r="O237" s="29"/>
      <c r="P237" s="29"/>
      <c r="Q237" s="29"/>
      <c r="R237" s="28"/>
      <c r="S237" s="29"/>
      <c r="T237" s="15" t="str">
        <f aca="false">IF(COUNT(J237:M237)=0,"",SUM(J237:M237))</f>
        <v/>
      </c>
      <c r="U237" s="23" t="str">
        <f aca="false">IF(OR(T237="",I237="",I237=0),"",T237/I237)</f>
        <v/>
      </c>
      <c r="V237" s="10" t="str">
        <f aca="false">IF(A237="","",A237-WEEKDAY(A237,2)+1)</f>
        <v/>
      </c>
    </row>
    <row r="238" customFormat="false" ht="15" hidden="false" customHeight="false" outlineLevel="0" collapsed="false">
      <c r="A238" s="28"/>
      <c r="B238" s="29"/>
      <c r="C238" s="29"/>
      <c r="D238" s="29"/>
      <c r="E238" s="29"/>
      <c r="F238" s="29"/>
      <c r="G238" s="29"/>
      <c r="H238" s="29"/>
      <c r="I238" s="29"/>
      <c r="J238" s="29"/>
      <c r="K238" s="29"/>
      <c r="L238" s="29"/>
      <c r="M238" s="29"/>
      <c r="N238" s="29"/>
      <c r="O238" s="29"/>
      <c r="P238" s="29"/>
      <c r="Q238" s="29"/>
      <c r="R238" s="28"/>
      <c r="S238" s="29"/>
      <c r="T238" s="15" t="str">
        <f aca="false">IF(COUNT(J238:M238)=0,"",SUM(J238:M238))</f>
        <v/>
      </c>
      <c r="U238" s="23" t="str">
        <f aca="false">IF(OR(T238="",I238="",I238=0),"",T238/I238)</f>
        <v/>
      </c>
      <c r="V238" s="10" t="str">
        <f aca="false">IF(A238="","",A238-WEEKDAY(A238,2)+1)</f>
        <v/>
      </c>
    </row>
    <row r="239" customFormat="false" ht="15" hidden="false" customHeight="false" outlineLevel="0" collapsed="false">
      <c r="A239" s="28"/>
      <c r="B239" s="29"/>
      <c r="C239" s="29"/>
      <c r="D239" s="29"/>
      <c r="E239" s="29"/>
      <c r="F239" s="29"/>
      <c r="G239" s="29"/>
      <c r="H239" s="29"/>
      <c r="I239" s="29"/>
      <c r="J239" s="29"/>
      <c r="K239" s="29"/>
      <c r="L239" s="29"/>
      <c r="M239" s="29"/>
      <c r="N239" s="29"/>
      <c r="O239" s="29"/>
      <c r="P239" s="29"/>
      <c r="Q239" s="29"/>
      <c r="R239" s="28"/>
      <c r="S239" s="29"/>
      <c r="T239" s="15" t="str">
        <f aca="false">IF(COUNT(J239:M239)=0,"",SUM(J239:M239))</f>
        <v/>
      </c>
      <c r="U239" s="23" t="str">
        <f aca="false">IF(OR(T239="",I239="",I239=0),"",T239/I239)</f>
        <v/>
      </c>
      <c r="V239" s="10" t="str">
        <f aca="false">IF(A239="","",A239-WEEKDAY(A239,2)+1)</f>
        <v/>
      </c>
    </row>
    <row r="240" customFormat="false" ht="15" hidden="false" customHeight="false" outlineLevel="0" collapsed="false">
      <c r="A240" s="28"/>
      <c r="B240" s="29"/>
      <c r="C240" s="29"/>
      <c r="D240" s="29"/>
      <c r="E240" s="29"/>
      <c r="F240" s="29"/>
      <c r="G240" s="29"/>
      <c r="H240" s="29"/>
      <c r="I240" s="29"/>
      <c r="J240" s="29"/>
      <c r="K240" s="29"/>
      <c r="L240" s="29"/>
      <c r="M240" s="29"/>
      <c r="N240" s="29"/>
      <c r="O240" s="29"/>
      <c r="P240" s="29"/>
      <c r="Q240" s="29"/>
      <c r="R240" s="28"/>
      <c r="S240" s="29"/>
      <c r="T240" s="15" t="str">
        <f aca="false">IF(COUNT(J240:M240)=0,"",SUM(J240:M240))</f>
        <v/>
      </c>
      <c r="U240" s="23" t="str">
        <f aca="false">IF(OR(T240="",I240="",I240=0),"",T240/I240)</f>
        <v/>
      </c>
      <c r="V240" s="10" t="str">
        <f aca="false">IF(A240="","",A240-WEEKDAY(A240,2)+1)</f>
        <v/>
      </c>
    </row>
    <row r="241" customFormat="false" ht="15" hidden="false" customHeight="false" outlineLevel="0" collapsed="false">
      <c r="A241" s="28"/>
      <c r="B241" s="29"/>
      <c r="C241" s="29"/>
      <c r="D241" s="29"/>
      <c r="E241" s="29"/>
      <c r="F241" s="29"/>
      <c r="G241" s="29"/>
      <c r="H241" s="29"/>
      <c r="I241" s="29"/>
      <c r="J241" s="29"/>
      <c r="K241" s="29"/>
      <c r="L241" s="29"/>
      <c r="M241" s="29"/>
      <c r="N241" s="29"/>
      <c r="O241" s="29"/>
      <c r="P241" s="29"/>
      <c r="Q241" s="29"/>
      <c r="R241" s="28"/>
      <c r="S241" s="29"/>
      <c r="T241" s="15" t="str">
        <f aca="false">IF(COUNT(J241:M241)=0,"",SUM(J241:M241))</f>
        <v/>
      </c>
      <c r="U241" s="23" t="str">
        <f aca="false">IF(OR(T241="",I241="",I241=0),"",T241/I241)</f>
        <v/>
      </c>
      <c r="V241" s="10" t="str">
        <f aca="false">IF(A241="","",A241-WEEKDAY(A241,2)+1)</f>
        <v/>
      </c>
    </row>
    <row r="242" customFormat="false" ht="15" hidden="false" customHeight="false" outlineLevel="0" collapsed="false">
      <c r="A242" s="28"/>
      <c r="B242" s="29"/>
      <c r="C242" s="29"/>
      <c r="D242" s="29"/>
      <c r="E242" s="29"/>
      <c r="F242" s="29"/>
      <c r="G242" s="29"/>
      <c r="H242" s="29"/>
      <c r="I242" s="29"/>
      <c r="J242" s="29"/>
      <c r="K242" s="29"/>
      <c r="L242" s="29"/>
      <c r="M242" s="29"/>
      <c r="N242" s="29"/>
      <c r="O242" s="29"/>
      <c r="P242" s="29"/>
      <c r="Q242" s="29"/>
      <c r="R242" s="28"/>
      <c r="S242" s="29"/>
      <c r="T242" s="15" t="str">
        <f aca="false">IF(COUNT(J242:M242)=0,"",SUM(J242:M242))</f>
        <v/>
      </c>
      <c r="U242" s="23" t="str">
        <f aca="false">IF(OR(T242="",I242="",I242=0),"",T242/I242)</f>
        <v/>
      </c>
      <c r="V242" s="10" t="str">
        <f aca="false">IF(A242="","",A242-WEEKDAY(A242,2)+1)</f>
        <v/>
      </c>
    </row>
    <row r="243" customFormat="false" ht="15" hidden="false" customHeight="false" outlineLevel="0" collapsed="false">
      <c r="A243" s="28"/>
      <c r="B243" s="29"/>
      <c r="C243" s="29"/>
      <c r="D243" s="29"/>
      <c r="E243" s="29"/>
      <c r="F243" s="29"/>
      <c r="G243" s="29"/>
      <c r="H243" s="29"/>
      <c r="I243" s="29"/>
      <c r="J243" s="29"/>
      <c r="K243" s="29"/>
      <c r="L243" s="29"/>
      <c r="M243" s="29"/>
      <c r="N243" s="29"/>
      <c r="O243" s="29"/>
      <c r="P243" s="29"/>
      <c r="Q243" s="29"/>
      <c r="R243" s="28"/>
      <c r="S243" s="29"/>
      <c r="T243" s="15" t="str">
        <f aca="false">IF(COUNT(J243:M243)=0,"",SUM(J243:M243))</f>
        <v/>
      </c>
      <c r="U243" s="23" t="str">
        <f aca="false">IF(OR(T243="",I243="",I243=0),"",T243/I243)</f>
        <v/>
      </c>
      <c r="V243" s="10" t="str">
        <f aca="false">IF(A243="","",A243-WEEKDAY(A243,2)+1)</f>
        <v/>
      </c>
    </row>
    <row r="244" customFormat="false" ht="15" hidden="false" customHeight="false" outlineLevel="0" collapsed="false">
      <c r="A244" s="28"/>
      <c r="B244" s="29"/>
      <c r="C244" s="29"/>
      <c r="D244" s="29"/>
      <c r="E244" s="29"/>
      <c r="F244" s="29"/>
      <c r="G244" s="29"/>
      <c r="H244" s="29"/>
      <c r="I244" s="29"/>
      <c r="J244" s="29"/>
      <c r="K244" s="29"/>
      <c r="L244" s="29"/>
      <c r="M244" s="29"/>
      <c r="N244" s="29"/>
      <c r="O244" s="29"/>
      <c r="P244" s="29"/>
      <c r="Q244" s="29"/>
      <c r="R244" s="28"/>
      <c r="S244" s="29"/>
      <c r="T244" s="15" t="str">
        <f aca="false">IF(COUNT(J244:M244)=0,"",SUM(J244:M244))</f>
        <v/>
      </c>
      <c r="U244" s="23" t="str">
        <f aca="false">IF(OR(T244="",I244="",I244=0),"",T244/I244)</f>
        <v/>
      </c>
      <c r="V244" s="10" t="str">
        <f aca="false">IF(A244="","",A244-WEEKDAY(A244,2)+1)</f>
        <v/>
      </c>
    </row>
    <row r="245" customFormat="false" ht="15" hidden="false" customHeight="false" outlineLevel="0" collapsed="false">
      <c r="A245" s="28"/>
      <c r="B245" s="29"/>
      <c r="C245" s="29"/>
      <c r="D245" s="29"/>
      <c r="E245" s="29"/>
      <c r="F245" s="29"/>
      <c r="G245" s="29"/>
      <c r="H245" s="29"/>
      <c r="I245" s="29"/>
      <c r="J245" s="29"/>
      <c r="K245" s="29"/>
      <c r="L245" s="29"/>
      <c r="M245" s="29"/>
      <c r="N245" s="29"/>
      <c r="O245" s="29"/>
      <c r="P245" s="29"/>
      <c r="Q245" s="29"/>
      <c r="R245" s="28"/>
      <c r="S245" s="29"/>
      <c r="T245" s="15" t="str">
        <f aca="false">IF(COUNT(J245:M245)=0,"",SUM(J245:M245))</f>
        <v/>
      </c>
      <c r="U245" s="23" t="str">
        <f aca="false">IF(OR(T245="",I245="",I245=0),"",T245/I245)</f>
        <v/>
      </c>
      <c r="V245" s="10" t="str">
        <f aca="false">IF(A245="","",A245-WEEKDAY(A245,2)+1)</f>
        <v/>
      </c>
    </row>
    <row r="246" customFormat="false" ht="15" hidden="false" customHeight="false" outlineLevel="0" collapsed="false">
      <c r="A246" s="28"/>
      <c r="B246" s="29"/>
      <c r="C246" s="29"/>
      <c r="D246" s="29"/>
      <c r="E246" s="29"/>
      <c r="F246" s="29"/>
      <c r="G246" s="29"/>
      <c r="H246" s="29"/>
      <c r="I246" s="29"/>
      <c r="J246" s="29"/>
      <c r="K246" s="29"/>
      <c r="L246" s="29"/>
      <c r="M246" s="29"/>
      <c r="N246" s="29"/>
      <c r="O246" s="29"/>
      <c r="P246" s="29"/>
      <c r="Q246" s="29"/>
      <c r="R246" s="28"/>
      <c r="S246" s="29"/>
      <c r="T246" s="15" t="str">
        <f aca="false">IF(COUNT(J246:M246)=0,"",SUM(J246:M246))</f>
        <v/>
      </c>
      <c r="U246" s="23" t="str">
        <f aca="false">IF(OR(T246="",I246="",I246=0),"",T246/I246)</f>
        <v/>
      </c>
      <c r="V246" s="10" t="str">
        <f aca="false">IF(A246="","",A246-WEEKDAY(A246,2)+1)</f>
        <v/>
      </c>
    </row>
    <row r="247" customFormat="false" ht="15" hidden="false" customHeight="false" outlineLevel="0" collapsed="false">
      <c r="A247" s="28"/>
      <c r="B247" s="29"/>
      <c r="C247" s="29"/>
      <c r="D247" s="29"/>
      <c r="E247" s="29"/>
      <c r="F247" s="29"/>
      <c r="G247" s="29"/>
      <c r="H247" s="29"/>
      <c r="I247" s="29"/>
      <c r="J247" s="29"/>
      <c r="K247" s="29"/>
      <c r="L247" s="29"/>
      <c r="M247" s="29"/>
      <c r="N247" s="29"/>
      <c r="O247" s="29"/>
      <c r="P247" s="29"/>
      <c r="Q247" s="29"/>
      <c r="R247" s="28"/>
      <c r="S247" s="29"/>
      <c r="T247" s="15" t="str">
        <f aca="false">IF(COUNT(J247:M247)=0,"",SUM(J247:M247))</f>
        <v/>
      </c>
      <c r="U247" s="23" t="str">
        <f aca="false">IF(OR(T247="",I247="",I247=0),"",T247/I247)</f>
        <v/>
      </c>
      <c r="V247" s="10" t="str">
        <f aca="false">IF(A247="","",A247-WEEKDAY(A247,2)+1)</f>
        <v/>
      </c>
    </row>
    <row r="248" customFormat="false" ht="15" hidden="false" customHeight="false" outlineLevel="0" collapsed="false">
      <c r="A248" s="28"/>
      <c r="B248" s="29"/>
      <c r="C248" s="29"/>
      <c r="D248" s="29"/>
      <c r="E248" s="29"/>
      <c r="F248" s="29"/>
      <c r="G248" s="29"/>
      <c r="H248" s="29"/>
      <c r="I248" s="29"/>
      <c r="J248" s="29"/>
      <c r="K248" s="29"/>
      <c r="L248" s="29"/>
      <c r="M248" s="29"/>
      <c r="N248" s="29"/>
      <c r="O248" s="29"/>
      <c r="P248" s="29"/>
      <c r="Q248" s="29"/>
      <c r="R248" s="28"/>
      <c r="S248" s="29"/>
      <c r="T248" s="15" t="str">
        <f aca="false">IF(COUNT(J248:M248)=0,"",SUM(J248:M248))</f>
        <v/>
      </c>
      <c r="U248" s="23" t="str">
        <f aca="false">IF(OR(T248="",I248="",I248=0),"",T248/I248)</f>
        <v/>
      </c>
      <c r="V248" s="10" t="str">
        <f aca="false">IF(A248="","",A248-WEEKDAY(A248,2)+1)</f>
        <v/>
      </c>
    </row>
    <row r="249" customFormat="false" ht="15" hidden="false" customHeight="false" outlineLevel="0" collapsed="false">
      <c r="A249" s="28"/>
      <c r="B249" s="29"/>
      <c r="C249" s="29"/>
      <c r="D249" s="29"/>
      <c r="E249" s="29"/>
      <c r="F249" s="29"/>
      <c r="G249" s="29"/>
      <c r="H249" s="29"/>
      <c r="I249" s="29"/>
      <c r="J249" s="29"/>
      <c r="K249" s="29"/>
      <c r="L249" s="29"/>
      <c r="M249" s="29"/>
      <c r="N249" s="29"/>
      <c r="O249" s="29"/>
      <c r="P249" s="29"/>
      <c r="Q249" s="29"/>
      <c r="R249" s="28"/>
      <c r="S249" s="29"/>
      <c r="T249" s="15" t="str">
        <f aca="false">IF(COUNT(J249:M249)=0,"",SUM(J249:M249))</f>
        <v/>
      </c>
      <c r="U249" s="23" t="str">
        <f aca="false">IF(OR(T249="",I249="",I249=0),"",T249/I249)</f>
        <v/>
      </c>
      <c r="V249" s="10" t="str">
        <f aca="false">IF(A249="","",A249-WEEKDAY(A249,2)+1)</f>
        <v/>
      </c>
    </row>
    <row r="250" customFormat="false" ht="15" hidden="false" customHeight="false" outlineLevel="0" collapsed="false">
      <c r="A250" s="28"/>
      <c r="B250" s="29"/>
      <c r="C250" s="29"/>
      <c r="D250" s="29"/>
      <c r="E250" s="29"/>
      <c r="F250" s="29"/>
      <c r="G250" s="29"/>
      <c r="H250" s="29"/>
      <c r="I250" s="29"/>
      <c r="J250" s="29"/>
      <c r="K250" s="29"/>
      <c r="L250" s="29"/>
      <c r="M250" s="29"/>
      <c r="N250" s="29"/>
      <c r="O250" s="29"/>
      <c r="P250" s="29"/>
      <c r="Q250" s="29"/>
      <c r="R250" s="28"/>
      <c r="S250" s="29"/>
      <c r="T250" s="15" t="str">
        <f aca="false">IF(COUNT(J250:M250)=0,"",SUM(J250:M250))</f>
        <v/>
      </c>
      <c r="U250" s="23" t="str">
        <f aca="false">IF(OR(T250="",I250="",I250=0),"",T250/I250)</f>
        <v/>
      </c>
      <c r="V250" s="10" t="str">
        <f aca="false">IF(A250="","",A250-WEEKDAY(A250,2)+1)</f>
        <v/>
      </c>
    </row>
    <row r="251" customFormat="false" ht="15" hidden="false" customHeight="false" outlineLevel="0" collapsed="false">
      <c r="A251" s="28"/>
      <c r="B251" s="29"/>
      <c r="C251" s="29"/>
      <c r="D251" s="29"/>
      <c r="E251" s="29"/>
      <c r="F251" s="29"/>
      <c r="G251" s="29"/>
      <c r="H251" s="29"/>
      <c r="I251" s="29"/>
      <c r="J251" s="29"/>
      <c r="K251" s="29"/>
      <c r="L251" s="29"/>
      <c r="M251" s="29"/>
      <c r="N251" s="29"/>
      <c r="O251" s="29"/>
      <c r="P251" s="29"/>
      <c r="Q251" s="29"/>
      <c r="R251" s="28"/>
      <c r="S251" s="29"/>
      <c r="T251" s="15" t="str">
        <f aca="false">IF(COUNT(J251:M251)=0,"",SUM(J251:M251))</f>
        <v/>
      </c>
      <c r="U251" s="23" t="str">
        <f aca="false">IF(OR(T251="",I251="",I251=0),"",T251/I251)</f>
        <v/>
      </c>
      <c r="V251" s="10" t="str">
        <f aca="false">IF(A251="","",A251-WEEKDAY(A251,2)+1)</f>
        <v/>
      </c>
    </row>
  </sheetData>
  <autoFilter ref="A1:V251"/>
  <conditionalFormatting sqref="A2:S251">
    <cfRule type="expression" priority="2" aboveAverage="0" equalAverage="0" bottom="0" percent="0" rank="0" text="" dxfId="1">
      <formula>AND($A2&lt;&gt;"",$I2="",$A2&lt;=TODAY()-3)</formula>
    </cfRule>
  </conditionalFormatting>
  <dataValidations count="4">
    <dataValidation allowBlank="true" error="Pick one from the list, or add it on the Lists tab." errorStyle="stop" operator="between" showDropDown="false" showErrorMessage="false" showInputMessage="false" sqref="B2:B251" type="list">
      <formula1>Lists!$A$5:$A$40</formula1>
      <formula2>0</formula2>
    </dataValidation>
    <dataValidation allowBlank="true" error="Pick one from the list, or add it on the Lists tab." errorStyle="stop" operator="between" showDropDown="false" showErrorMessage="false" showInputMessage="false" sqref="C2:C251" type="list">
      <formula1>Lists!$B$5:$B$40</formula1>
      <formula2>0</formula2>
    </dataValidation>
    <dataValidation allowBlank="true" error="Pick one from the list, or add it on the Lists tab." errorStyle="stop" operator="between" showDropDown="false" showErrorMessage="false" showInputMessage="false" sqref="F2:F251" type="list">
      <formula1>Lists!$C$5:$C$40</formula1>
      <formula2>0</formula2>
    </dataValidation>
    <dataValidation allowBlank="true" errorStyle="stop" operator="between" showDropDown="false" showErrorMessage="false" showInputMessage="false" sqref="A2:A251" type="dat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16"/>
    <col collapsed="false" customWidth="true" hidden="false" outlineLevel="0" max="3" min="3" style="0" width="14"/>
    <col collapsed="false" customWidth="true" hidden="false" outlineLevel="0" max="4" min="4" style="0" width="22"/>
    <col collapsed="false" customWidth="true" hidden="false" outlineLevel="0" max="5" min="5" style="0" width="12"/>
    <col collapsed="false" customWidth="true" hidden="false" outlineLevel="0" max="6" min="6" style="0" width="11"/>
    <col collapsed="false" customWidth="true" hidden="false" outlineLevel="0" max="7" min="7" style="0" width="20"/>
    <col collapsed="false" customWidth="true" hidden="false" outlineLevel="0" max="8" min="8" style="0" width="18"/>
    <col collapsed="false" customWidth="true" hidden="false" outlineLevel="0" max="9" min="9" style="0" width="15"/>
    <col collapsed="false" customWidth="true" hidden="false" outlineLevel="0" max="12" min="10" style="0" width="12"/>
    <col collapsed="false" customWidth="true" hidden="false" outlineLevel="0" max="13" min="13" style="0" width="9"/>
    <col collapsed="false" customWidth="true" hidden="false" outlineLevel="0" max="14" min="14" style="0" width="10"/>
    <col collapsed="false" customWidth="true" hidden="false" outlineLevel="0" max="15" min="15" style="0" width="12"/>
    <col collapsed="false" customWidth="true" hidden="false" outlineLevel="0" max="16" min="16" style="0" width="16"/>
    <col collapsed="false" customWidth="true" hidden="false" outlineLevel="0" max="18" min="17" style="0" width="24"/>
    <col collapsed="false" customWidth="true" hidden="false" outlineLevel="0" max="20" min="19" style="0" width="11"/>
    <col collapsed="false" customWidth="true" hidden="false" outlineLevel="0" max="21" min="21" style="0" width="9"/>
    <col collapsed="false" customWidth="true" hidden="false" outlineLevel="0" max="22" min="22" style="0" width="11"/>
    <col collapsed="false" customWidth="true" hidden="false" outlineLevel="0" max="23" min="23" style="0" width="9"/>
    <col collapsed="false" customWidth="true" hidden="false" outlineLevel="0" max="24" min="24" style="0" width="8"/>
    <col collapsed="false" customWidth="true" hidden="false" outlineLevel="0" max="25" min="25" style="0" width="46"/>
    <col collapsed="false" customWidth="true" hidden="true" outlineLevel="0" max="26" min="26" style="0" width="8"/>
  </cols>
  <sheetData>
    <row r="1" customFormat="false" ht="30" hidden="false" customHeight="true" outlineLevel="0" collapsed="false">
      <c r="A1" s="26" t="s">
        <v>102</v>
      </c>
      <c r="B1" s="26" t="s">
        <v>217</v>
      </c>
      <c r="C1" s="26" t="s">
        <v>218</v>
      </c>
      <c r="D1" s="26" t="s">
        <v>147</v>
      </c>
      <c r="E1" s="26" t="s">
        <v>219</v>
      </c>
      <c r="F1" s="26" t="s">
        <v>220</v>
      </c>
      <c r="G1" s="26" t="s">
        <v>221</v>
      </c>
      <c r="H1" s="26" t="s">
        <v>222</v>
      </c>
      <c r="I1" s="26" t="s">
        <v>103</v>
      </c>
      <c r="J1" s="26" t="s">
        <v>223</v>
      </c>
      <c r="K1" s="26" t="s">
        <v>224</v>
      </c>
      <c r="L1" s="26" t="s">
        <v>225</v>
      </c>
      <c r="M1" s="26" t="s">
        <v>226</v>
      </c>
      <c r="N1" s="26" t="s">
        <v>113</v>
      </c>
      <c r="O1" s="26" t="s">
        <v>227</v>
      </c>
      <c r="P1" s="26" t="s">
        <v>228</v>
      </c>
      <c r="Q1" s="26" t="s">
        <v>229</v>
      </c>
      <c r="R1" s="26" t="s">
        <v>201</v>
      </c>
      <c r="S1" s="26" t="s">
        <v>230</v>
      </c>
      <c r="T1" s="26" t="s">
        <v>231</v>
      </c>
      <c r="U1" s="26" t="s">
        <v>232</v>
      </c>
      <c r="V1" s="26" t="s">
        <v>105</v>
      </c>
      <c r="W1" s="26" t="s">
        <v>34</v>
      </c>
      <c r="X1" s="26" t="s">
        <v>104</v>
      </c>
      <c r="Y1" s="26" t="s">
        <v>233</v>
      </c>
      <c r="Z1" s="26" t="s">
        <v>234</v>
      </c>
    </row>
    <row r="2" customFormat="false" ht="15" hidden="false" customHeight="false" outlineLevel="0" collapsed="false">
      <c r="A2" s="0" t="s">
        <v>235</v>
      </c>
      <c r="B2" s="0" t="s">
        <v>236</v>
      </c>
      <c r="C2" s="0" t="s">
        <v>237</v>
      </c>
      <c r="D2" s="0" t="s">
        <v>238</v>
      </c>
      <c r="F2" s="0" t="s">
        <v>119</v>
      </c>
      <c r="G2" s="0" t="s">
        <v>239</v>
      </c>
      <c r="H2" s="29" t="s">
        <v>146</v>
      </c>
      <c r="I2" s="29" t="s">
        <v>153</v>
      </c>
      <c r="J2" s="28" t="n">
        <v>46285</v>
      </c>
      <c r="K2" s="28"/>
      <c r="L2" s="28"/>
      <c r="M2" s="30"/>
      <c r="O2" s="28"/>
      <c r="P2" s="29" t="s">
        <v>240</v>
      </c>
      <c r="Q2" s="29" t="s">
        <v>206</v>
      </c>
      <c r="R2" s="29" t="s">
        <v>204</v>
      </c>
      <c r="S2" s="28" t="n">
        <v>46277</v>
      </c>
      <c r="T2" s="10" t="n">
        <f aca="false">IF(A2="","",IF(COUNTIF(Touches!$B$2:$B$501,A2)=0,"",SUMPRODUCT(MAX((Touches!$B$2:$B$501=A2)*Touches!$A$2:$A$501))))</f>
        <v>46285</v>
      </c>
      <c r="U2" s="15" t="n">
        <f aca="false">IF(A2="","",IF(N2&lt;&gt;"",N2,IFERROR(INDEX(Lists!$H$5:$H$12,MATCH(I2,Lists!$G$5:$G$12,0)),"")))</f>
        <v>3</v>
      </c>
      <c r="V2" s="10" t="n">
        <f aca="true">IF(A2="","",IF(O2&lt;&gt;"",O2,IF(OR(U2="",U2="never",U2=0),"",IF(T2="",TODAY(),T2+U2))))</f>
        <v>46288</v>
      </c>
      <c r="W2" s="17" t="str">
        <f aca="true">IF(A2="","",IF(V2="","no rhythm",IF(V2&lt;TODAY(),"Overdue",IF(V2=TODAY(),"Today",IF(V2&lt;=TODAY()+7,"Soon","Later")))))</f>
        <v>Overdue</v>
      </c>
      <c r="X2" s="15" t="n">
        <f aca="true">IF(OR(A2="",V2=""),"",TODAY()-V2)</f>
        <v>3</v>
      </c>
      <c r="Y2" s="15" t="str">
        <f aca="false">IF(A2="","",IFERROR(INDEX(Lists!$I$5:$I$12,MATCH(I2,Lists!$G$5:$G$12,0)),""))</f>
        <v>An email or a voice note. Offer the next step plainly.</v>
      </c>
      <c r="Z2" s="15" t="n">
        <f aca="false">IF(AND(X2&lt;&gt;"",X2&gt;=0),X2+ROW()/100000,"")</f>
        <v>3.00002</v>
      </c>
    </row>
    <row r="3" customFormat="false" ht="15" hidden="false" customHeight="false" outlineLevel="0" collapsed="false">
      <c r="A3" s="0" t="s">
        <v>241</v>
      </c>
      <c r="B3" s="0" t="s">
        <v>242</v>
      </c>
      <c r="C3" s="0" t="s">
        <v>243</v>
      </c>
      <c r="D3" s="0" t="s">
        <v>244</v>
      </c>
      <c r="F3" s="0" t="s">
        <v>149</v>
      </c>
      <c r="H3" s="29" t="s">
        <v>163</v>
      </c>
      <c r="I3" s="29" t="s">
        <v>148</v>
      </c>
      <c r="J3" s="28" t="n">
        <v>46281</v>
      </c>
      <c r="K3" s="28" t="n">
        <v>46287</v>
      </c>
      <c r="L3" s="28"/>
      <c r="M3" s="30"/>
      <c r="O3" s="28"/>
      <c r="R3" s="29" t="s">
        <v>204</v>
      </c>
      <c r="S3" s="28" t="n">
        <v>46271</v>
      </c>
      <c r="T3" s="10" t="n">
        <f aca="false">IF(A3="","",IF(COUNTIF(Touches!$B$2:$B$501,A3)=0,"",SUMPRODUCT(MAX((Touches!$B$2:$B$501=A3)*Touches!$A$2:$A$501))))</f>
        <v>46287</v>
      </c>
      <c r="U3" s="15" t="n">
        <f aca="false">IF(A3="","",IF(N3&lt;&gt;"",N3,IFERROR(INDEX(Lists!$H$5:$H$12,MATCH(I3,Lists!$G$5:$G$12,0)),"")))</f>
        <v>1</v>
      </c>
      <c r="V3" s="10" t="n">
        <f aca="true">IF(A3="","",IF(O3&lt;&gt;"",O3,IF(OR(U3="",U3="never",U3=0),"",IF(T3="",TODAY(),T3+U3))))</f>
        <v>46288</v>
      </c>
      <c r="W3" s="17" t="str">
        <f aca="true">IF(A3="","",IF(V3="","no rhythm",IF(V3&lt;TODAY(),"Overdue",IF(V3=TODAY(),"Today",IF(V3&lt;=TODAY()+7,"Soon","Later")))))</f>
        <v>Overdue</v>
      </c>
      <c r="X3" s="15" t="n">
        <f aca="true">IF(OR(A3="",V3=""),"",TODAY()-V3)</f>
        <v>3</v>
      </c>
      <c r="Y3" s="15" t="str">
        <f aca="false">IF(A3="","",IFERROR(INDEX(Lists!$I$5:$I$12,MATCH(I3,Lists!$G$5:$G$12,0)),""))</f>
        <v>Confirm the call the day before. Send what to bring.</v>
      </c>
      <c r="Z3" s="15" t="n">
        <f aca="false">IF(AND(X3&lt;&gt;"",X3&gt;=0),X3+ROW()/100000,"")</f>
        <v>3.00003</v>
      </c>
    </row>
    <row r="4" customFormat="false" ht="15" hidden="false" customHeight="false" outlineLevel="0" collapsed="false">
      <c r="A4" s="0" t="s">
        <v>245</v>
      </c>
      <c r="B4" s="0" t="s">
        <v>246</v>
      </c>
      <c r="D4" s="0" t="s">
        <v>247</v>
      </c>
      <c r="E4" s="0" t="s">
        <v>248</v>
      </c>
      <c r="F4" s="0" t="s">
        <v>147</v>
      </c>
      <c r="H4" s="29" t="s">
        <v>126</v>
      </c>
      <c r="I4" s="29" t="s">
        <v>169</v>
      </c>
      <c r="J4" s="28" t="n">
        <v>46251</v>
      </c>
      <c r="K4" s="28" t="n">
        <v>46258</v>
      </c>
      <c r="L4" s="28" t="n">
        <v>46270</v>
      </c>
      <c r="M4" s="30" t="n">
        <v>2500</v>
      </c>
      <c r="O4" s="28"/>
      <c r="P4" s="29" t="s">
        <v>249</v>
      </c>
      <c r="R4" s="29" t="s">
        <v>204</v>
      </c>
      <c r="S4" s="28" t="n">
        <v>46241</v>
      </c>
      <c r="T4" s="10" t="n">
        <f aca="false">IF(A4="","",IF(COUNTIF(Touches!$B$2:$B$501,A4)=0,"",SUMPRODUCT(MAX((Touches!$B$2:$B$501=A4)*Touches!$A$2:$A$501))))</f>
        <v>46270</v>
      </c>
      <c r="U4" s="15" t="n">
        <f aca="false">IF(A4="","",IF(N4&lt;&gt;"",N4,IFERROR(INDEX(Lists!$H$5:$H$12,MATCH(I4,Lists!$G$5:$G$12,0)),"")))</f>
        <v>30</v>
      </c>
      <c r="V4" s="10" t="n">
        <f aca="true">IF(A4="","",IF(O4&lt;&gt;"",O4,IF(OR(U4="",U4="never",U4=0),"",IF(T4="",TODAY(),T4+U4))))</f>
        <v>46300</v>
      </c>
      <c r="W4" s="17" t="str">
        <f aca="true">IF(A4="","",IF(V4="","no rhythm",IF(V4&lt;TODAY(),"Overdue",IF(V4=TODAY(),"Today",IF(V4&lt;=TODAY()+7,"Soon","Later")))))</f>
        <v>Later</v>
      </c>
      <c r="X4" s="15" t="n">
        <f aca="true">IF(OR(A4="",V4=""),"",TODAY()-V4)</f>
        <v>-9</v>
      </c>
      <c r="Y4" s="15" t="str">
        <f aca="false">IF(A4="","",IFERROR(INDEX(Lists!$I$5:$I$12,MATCH(I4,Lists!$G$5:$G$12,0)),""))</f>
        <v>A check-in call or email. Ask what changed.</v>
      </c>
      <c r="Z4" s="15" t="str">
        <f aca="false">IF(AND(X4&lt;&gt;"",X4&gt;=0),X4+ROW()/100000,"")</f>
        <v/>
      </c>
    </row>
    <row r="5" customFormat="false" ht="15" hidden="false" customHeight="false" outlineLevel="0" collapsed="false">
      <c r="A5" s="0" t="s">
        <v>250</v>
      </c>
      <c r="D5" s="0" t="s">
        <v>251</v>
      </c>
      <c r="F5" s="0" t="s">
        <v>119</v>
      </c>
      <c r="G5" s="0" t="s">
        <v>252</v>
      </c>
      <c r="H5" s="29" t="s">
        <v>146</v>
      </c>
      <c r="I5" s="29" t="s">
        <v>144</v>
      </c>
      <c r="J5" s="28"/>
      <c r="K5" s="28"/>
      <c r="L5" s="28"/>
      <c r="M5" s="30"/>
      <c r="O5" s="28"/>
      <c r="Q5" s="29" t="s">
        <v>203</v>
      </c>
      <c r="R5" s="29" t="s">
        <v>204</v>
      </c>
      <c r="S5" s="28" t="n">
        <v>46279</v>
      </c>
      <c r="T5" s="10" t="n">
        <f aca="false">IF(A5="","",IF(COUNTIF(Touches!$B$2:$B$501,A5)=0,"",SUMPRODUCT(MAX((Touches!$B$2:$B$501=A5)*Touches!$A$2:$A$501))))</f>
        <v>46279</v>
      </c>
      <c r="U5" s="15" t="n">
        <f aca="false">IF(A5="","",IF(N5&lt;&gt;"",N5,IFERROR(INDEX(Lists!$H$5:$H$12,MATCH(I5,Lists!$G$5:$G$12,0)),"")))</f>
        <v>7</v>
      </c>
      <c r="V5" s="10" t="n">
        <f aca="true">IF(A5="","",IF(O5&lt;&gt;"",O5,IF(OR(U5="",U5="never",U5=0),"",IF(T5="",TODAY(),T5+U5))))</f>
        <v>46286</v>
      </c>
      <c r="W5" s="17" t="str">
        <f aca="true">IF(A5="","",IF(V5="","no rhythm",IF(V5&lt;TODAY(),"Overdue",IF(V5=TODAY(),"Today",IF(V5&lt;=TODAY()+7,"Soon","Later")))))</f>
        <v>Overdue</v>
      </c>
      <c r="X5" s="15" t="n">
        <f aca="true">IF(OR(A5="",V5=""),"",TODAY()-V5)</f>
        <v>5</v>
      </c>
      <c r="Y5" s="15" t="str">
        <f aca="false">IF(A5="","",IFERROR(INDEX(Lists!$I$5:$I$12,MATCH(I5,Lists!$G$5:$G$12,0)),""))</f>
        <v>A DM or a message that asks a question about them.</v>
      </c>
      <c r="Z5" s="15" t="n">
        <f aca="false">IF(AND(X5&lt;&gt;"",X5&gt;=0),X5+ROW()/100000,"")</f>
        <v>5.00005</v>
      </c>
    </row>
    <row r="6" customFormat="false" ht="15" hidden="false" customHeight="false" outlineLevel="0" collapsed="false">
      <c r="A6" s="0" t="s">
        <v>253</v>
      </c>
      <c r="B6" s="0" t="s">
        <v>254</v>
      </c>
      <c r="C6" s="0" t="s">
        <v>255</v>
      </c>
      <c r="D6" s="0" t="s">
        <v>256</v>
      </c>
      <c r="F6" s="0" t="s">
        <v>149</v>
      </c>
      <c r="H6" s="29" t="s">
        <v>136</v>
      </c>
      <c r="I6" s="29" t="s">
        <v>134</v>
      </c>
      <c r="J6" s="28"/>
      <c r="K6" s="28"/>
      <c r="L6" s="28"/>
      <c r="M6" s="30"/>
      <c r="O6" s="28"/>
      <c r="R6" s="29" t="s">
        <v>204</v>
      </c>
      <c r="S6" s="28" t="n">
        <v>46282</v>
      </c>
      <c r="T6" s="10" t="n">
        <f aca="false">IF(A6="","",IF(COUNTIF(Touches!$B$2:$B$501,A6)=0,"",SUMPRODUCT(MAX((Touches!$B$2:$B$501=A6)*Touches!$A$2:$A$501))))</f>
        <v>46289</v>
      </c>
      <c r="U6" s="15" t="n">
        <f aca="false">IF(A6="","",IF(N6&lt;&gt;"",N6,IFERROR(INDEX(Lists!$H$5:$H$12,MATCH(I6,Lists!$G$5:$G$12,0)),"")))</f>
        <v>30</v>
      </c>
      <c r="V6" s="10" t="n">
        <f aca="true">IF(A6="","",IF(O6&lt;&gt;"",O6,IF(OR(U6="",U6="never",U6=0),"",IF(T6="",TODAY(),T6+U6))))</f>
        <v>46319</v>
      </c>
      <c r="W6" s="17" t="str">
        <f aca="true">IF(A6="","",IF(V6="","no rhythm",IF(V6&lt;TODAY(),"Overdue",IF(V6=TODAY(),"Today",IF(V6&lt;=TODAY()+7,"Soon","Later")))))</f>
        <v>Later</v>
      </c>
      <c r="X6" s="15" t="n">
        <f aca="true">IF(OR(A6="",V6=""),"",TODAY()-V6)</f>
        <v>-28</v>
      </c>
      <c r="Y6" s="15" t="str">
        <f aca="false">IF(A6="","",IFERROR(INDEX(Lists!$I$5:$I$12,MATCH(I6,Lists!$G$5:$G$12,0)),""))</f>
        <v>Reply to their content, or a DM about something they posted.</v>
      </c>
      <c r="Z6" s="15" t="str">
        <f aca="false">IF(AND(X6&lt;&gt;"",X6&gt;=0),X6+ROW()/100000,"")</f>
        <v/>
      </c>
    </row>
    <row r="7" customFormat="false" ht="15" hidden="false" customHeight="false" outlineLevel="0" collapsed="false">
      <c r="A7" s="0" t="s">
        <v>257</v>
      </c>
      <c r="B7" s="0" t="s">
        <v>258</v>
      </c>
      <c r="D7" s="0" t="s">
        <v>259</v>
      </c>
      <c r="F7" s="0" t="s">
        <v>147</v>
      </c>
      <c r="H7" s="29" t="s">
        <v>163</v>
      </c>
      <c r="I7" s="29" t="s">
        <v>175</v>
      </c>
      <c r="J7" s="28" t="n">
        <v>46171</v>
      </c>
      <c r="K7" s="28" t="n">
        <v>46181</v>
      </c>
      <c r="L7" s="28" t="n">
        <v>46196</v>
      </c>
      <c r="M7" s="30" t="n">
        <v>4800</v>
      </c>
      <c r="O7" s="28"/>
      <c r="R7" s="29" t="s">
        <v>204</v>
      </c>
      <c r="S7" s="28" t="n">
        <v>46161</v>
      </c>
      <c r="T7" s="10" t="str">
        <f aca="false">IF(A7="","",IF(COUNTIF(Touches!$B$2:$B$501,A7)=0,"",SUMPRODUCT(MAX((Touches!$B$2:$B$501=A7)*Touches!$A$2:$A$501))))</f>
        <v/>
      </c>
      <c r="U7" s="15" t="n">
        <f aca="false">IF(A7="","",IF(N7&lt;&gt;"",N7,IFERROR(INDEX(Lists!$H$5:$H$12,MATCH(I7,Lists!$G$5:$G$12,0)),"")))</f>
        <v>90</v>
      </c>
      <c r="V7" s="10" t="n">
        <f aca="true">IF(A7="","",IF(O7&lt;&gt;"",O7,IF(OR(U7="",U7="never",U7=0),"",IF(T7="",TODAY(),T7+U7))))</f>
        <v>46291</v>
      </c>
      <c r="W7" s="17" t="str">
        <f aca="true">IF(A7="","",IF(V7="","no rhythm",IF(V7&lt;TODAY(),"Overdue",IF(V7=TODAY(),"Today",IF(V7&lt;=TODAY()+7,"Soon","Later")))))</f>
        <v>Today</v>
      </c>
      <c r="X7" s="15" t="n">
        <f aca="true">IF(OR(A7="",V7=""),"",TODAY()-V7)</f>
        <v>0</v>
      </c>
      <c r="Y7" s="15" t="str">
        <f aca="false">IF(A7="","",IFERROR(INDEX(Lists!$I$5:$I$12,MATCH(I7,Lists!$G$5:$G$12,0)),""))</f>
        <v>Thank them. Ask who else should hear about this.</v>
      </c>
      <c r="Z7" s="15" t="n">
        <f aca="false">IF(AND(X7&lt;&gt;"",X7&gt;=0),X7+ROW()/100000,"")</f>
        <v>7E-005</v>
      </c>
    </row>
    <row r="8" customFormat="false" ht="15" hidden="false" customHeight="false" outlineLevel="0" collapsed="false">
      <c r="H8" s="29"/>
      <c r="I8" s="29"/>
      <c r="J8" s="28"/>
      <c r="K8" s="28"/>
      <c r="L8" s="28"/>
      <c r="M8" s="30"/>
      <c r="O8" s="28"/>
      <c r="S8" s="28"/>
      <c r="T8" s="10" t="str">
        <f aca="false">IF(A8="","",IF(COUNTIF(Touches!$B$2:$B$501,A8)=0,"",SUMPRODUCT(MAX((Touches!$B$2:$B$501=A8)*Touches!$A$2:$A$501))))</f>
        <v/>
      </c>
      <c r="U8" s="15" t="str">
        <f aca="false">IF(A8="","",IF(N8&lt;&gt;"",N8,IFERROR(INDEX(Lists!$H$5:$H$12,MATCH(I8,Lists!$G$5:$G$12,0)),"")))</f>
        <v/>
      </c>
      <c r="V8" s="10" t="str">
        <f aca="true">IF(A8="","",IF(O8&lt;&gt;"",O8,IF(OR(U8="",U8="never",U8=0),"",IF(T8="",TODAY(),T8+U8))))</f>
        <v/>
      </c>
      <c r="W8" s="17" t="str">
        <f aca="true">IF(A8="","",IF(V8="","no rhythm",IF(V8&lt;TODAY(),"Overdue",IF(V8=TODAY(),"Today",IF(V8&lt;=TODAY()+7,"Soon","Later")))))</f>
        <v/>
      </c>
      <c r="X8" s="15" t="str">
        <f aca="true">IF(OR(A8="",V8=""),"",TODAY()-V8)</f>
        <v/>
      </c>
      <c r="Y8" s="15" t="str">
        <f aca="false">IF(A8="","",IFERROR(INDEX(Lists!$I$5:$I$12,MATCH(I8,Lists!$G$5:$G$12,0)),""))</f>
        <v/>
      </c>
      <c r="Z8" s="15" t="str">
        <f aca="false">IF(AND(X8&lt;&gt;"",X8&gt;=0),X8+ROW()/100000,"")</f>
        <v/>
      </c>
    </row>
    <row r="9" customFormat="false" ht="15" hidden="false" customHeight="false" outlineLevel="0" collapsed="false">
      <c r="H9" s="29"/>
      <c r="I9" s="29"/>
      <c r="J9" s="28"/>
      <c r="K9" s="28"/>
      <c r="L9" s="28"/>
      <c r="M9" s="30"/>
      <c r="O9" s="28"/>
      <c r="S9" s="28"/>
      <c r="T9" s="10" t="str">
        <f aca="false">IF(A9="","",IF(COUNTIF(Touches!$B$2:$B$501,A9)=0,"",SUMPRODUCT(MAX((Touches!$B$2:$B$501=A9)*Touches!$A$2:$A$501))))</f>
        <v/>
      </c>
      <c r="U9" s="15" t="str">
        <f aca="false">IF(A9="","",IF(N9&lt;&gt;"",N9,IFERROR(INDEX(Lists!$H$5:$H$12,MATCH(I9,Lists!$G$5:$G$12,0)),"")))</f>
        <v/>
      </c>
      <c r="V9" s="10" t="str">
        <f aca="true">IF(A9="","",IF(O9&lt;&gt;"",O9,IF(OR(U9="",U9="never",U9=0),"",IF(T9="",TODAY(),T9+U9))))</f>
        <v/>
      </c>
      <c r="W9" s="17" t="str">
        <f aca="true">IF(A9="","",IF(V9="","no rhythm",IF(V9&lt;TODAY(),"Overdue",IF(V9=TODAY(),"Today",IF(V9&lt;=TODAY()+7,"Soon","Later")))))</f>
        <v/>
      </c>
      <c r="X9" s="15" t="str">
        <f aca="true">IF(OR(A9="",V9=""),"",TODAY()-V9)</f>
        <v/>
      </c>
      <c r="Y9" s="15" t="str">
        <f aca="false">IF(A9="","",IFERROR(INDEX(Lists!$I$5:$I$12,MATCH(I9,Lists!$G$5:$G$12,0)),""))</f>
        <v/>
      </c>
      <c r="Z9" s="15" t="str">
        <f aca="false">IF(AND(X9&lt;&gt;"",X9&gt;=0),X9+ROW()/100000,"")</f>
        <v/>
      </c>
    </row>
    <row r="10" customFormat="false" ht="15" hidden="false" customHeight="false" outlineLevel="0" collapsed="false">
      <c r="H10" s="29"/>
      <c r="I10" s="29"/>
      <c r="J10" s="28"/>
      <c r="K10" s="28"/>
      <c r="L10" s="28"/>
      <c r="M10" s="30"/>
      <c r="O10" s="28"/>
      <c r="S10" s="28"/>
      <c r="T10" s="10" t="str">
        <f aca="false">IF(A10="","",IF(COUNTIF(Touches!$B$2:$B$501,A10)=0,"",SUMPRODUCT(MAX((Touches!$B$2:$B$501=A10)*Touches!$A$2:$A$501))))</f>
        <v/>
      </c>
      <c r="U10" s="15" t="str">
        <f aca="false">IF(A10="","",IF(N10&lt;&gt;"",N10,IFERROR(INDEX(Lists!$H$5:$H$12,MATCH(I10,Lists!$G$5:$G$12,0)),"")))</f>
        <v/>
      </c>
      <c r="V10" s="10" t="str">
        <f aca="true">IF(A10="","",IF(O10&lt;&gt;"",O10,IF(OR(U10="",U10="never",U10=0),"",IF(T10="",TODAY(),T10+U10))))</f>
        <v/>
      </c>
      <c r="W10" s="17" t="str">
        <f aca="true">IF(A10="","",IF(V10="","no rhythm",IF(V10&lt;TODAY(),"Overdue",IF(V10=TODAY(),"Today",IF(V10&lt;=TODAY()+7,"Soon","Later")))))</f>
        <v/>
      </c>
      <c r="X10" s="15" t="str">
        <f aca="true">IF(OR(A10="",V10=""),"",TODAY()-V10)</f>
        <v/>
      </c>
      <c r="Y10" s="15" t="str">
        <f aca="false">IF(A10="","",IFERROR(INDEX(Lists!$I$5:$I$12,MATCH(I10,Lists!$G$5:$G$12,0)),""))</f>
        <v/>
      </c>
      <c r="Z10" s="15" t="str">
        <f aca="false">IF(AND(X10&lt;&gt;"",X10&gt;=0),X10+ROW()/100000,"")</f>
        <v/>
      </c>
    </row>
    <row r="11" customFormat="false" ht="15" hidden="false" customHeight="false" outlineLevel="0" collapsed="false">
      <c r="H11" s="29"/>
      <c r="I11" s="29"/>
      <c r="J11" s="28"/>
      <c r="K11" s="28"/>
      <c r="L11" s="28"/>
      <c r="M11" s="30"/>
      <c r="O11" s="28"/>
      <c r="S11" s="28"/>
      <c r="T11" s="10" t="str">
        <f aca="false">IF(A11="","",IF(COUNTIF(Touches!$B$2:$B$501,A11)=0,"",SUMPRODUCT(MAX((Touches!$B$2:$B$501=A11)*Touches!$A$2:$A$501))))</f>
        <v/>
      </c>
      <c r="U11" s="15" t="str">
        <f aca="false">IF(A11="","",IF(N11&lt;&gt;"",N11,IFERROR(INDEX(Lists!$H$5:$H$12,MATCH(I11,Lists!$G$5:$G$12,0)),"")))</f>
        <v/>
      </c>
      <c r="V11" s="10" t="str">
        <f aca="true">IF(A11="","",IF(O11&lt;&gt;"",O11,IF(OR(U11="",U11="never",U11=0),"",IF(T11="",TODAY(),T11+U11))))</f>
        <v/>
      </c>
      <c r="W11" s="17" t="str">
        <f aca="true">IF(A11="","",IF(V11="","no rhythm",IF(V11&lt;TODAY(),"Overdue",IF(V11=TODAY(),"Today",IF(V11&lt;=TODAY()+7,"Soon","Later")))))</f>
        <v/>
      </c>
      <c r="X11" s="15" t="str">
        <f aca="true">IF(OR(A11="",V11=""),"",TODAY()-V11)</f>
        <v/>
      </c>
      <c r="Y11" s="15" t="str">
        <f aca="false">IF(A11="","",IFERROR(INDEX(Lists!$I$5:$I$12,MATCH(I11,Lists!$G$5:$G$12,0)),""))</f>
        <v/>
      </c>
      <c r="Z11" s="15" t="str">
        <f aca="false">IF(AND(X11&lt;&gt;"",X11&gt;=0),X11+ROW()/100000,"")</f>
        <v/>
      </c>
    </row>
    <row r="12" customFormat="false" ht="15" hidden="false" customHeight="false" outlineLevel="0" collapsed="false">
      <c r="H12" s="29"/>
      <c r="I12" s="29"/>
      <c r="J12" s="28"/>
      <c r="K12" s="28"/>
      <c r="L12" s="28"/>
      <c r="M12" s="30"/>
      <c r="O12" s="28"/>
      <c r="S12" s="28"/>
      <c r="T12" s="10" t="str">
        <f aca="false">IF(A12="","",IF(COUNTIF(Touches!$B$2:$B$501,A12)=0,"",SUMPRODUCT(MAX((Touches!$B$2:$B$501=A12)*Touches!$A$2:$A$501))))</f>
        <v/>
      </c>
      <c r="U12" s="15" t="str">
        <f aca="false">IF(A12="","",IF(N12&lt;&gt;"",N12,IFERROR(INDEX(Lists!$H$5:$H$12,MATCH(I12,Lists!$G$5:$G$12,0)),"")))</f>
        <v/>
      </c>
      <c r="V12" s="10" t="str">
        <f aca="true">IF(A12="","",IF(O12&lt;&gt;"",O12,IF(OR(U12="",U12="never",U12=0),"",IF(T12="",TODAY(),T12+U12))))</f>
        <v/>
      </c>
      <c r="W12" s="17" t="str">
        <f aca="true">IF(A12="","",IF(V12="","no rhythm",IF(V12&lt;TODAY(),"Overdue",IF(V12=TODAY(),"Today",IF(V12&lt;=TODAY()+7,"Soon","Later")))))</f>
        <v/>
      </c>
      <c r="X12" s="15" t="str">
        <f aca="true">IF(OR(A12="",V12=""),"",TODAY()-V12)</f>
        <v/>
      </c>
      <c r="Y12" s="15" t="str">
        <f aca="false">IF(A12="","",IFERROR(INDEX(Lists!$I$5:$I$12,MATCH(I12,Lists!$G$5:$G$12,0)),""))</f>
        <v/>
      </c>
      <c r="Z12" s="15" t="str">
        <f aca="false">IF(AND(X12&lt;&gt;"",X12&gt;=0),X12+ROW()/100000,"")</f>
        <v/>
      </c>
    </row>
    <row r="13" customFormat="false" ht="15" hidden="false" customHeight="false" outlineLevel="0" collapsed="false">
      <c r="H13" s="29"/>
      <c r="I13" s="29"/>
      <c r="J13" s="28"/>
      <c r="K13" s="28"/>
      <c r="L13" s="28"/>
      <c r="M13" s="30"/>
      <c r="O13" s="28"/>
      <c r="S13" s="28"/>
      <c r="T13" s="10" t="str">
        <f aca="false">IF(A13="","",IF(COUNTIF(Touches!$B$2:$B$501,A13)=0,"",SUMPRODUCT(MAX((Touches!$B$2:$B$501=A13)*Touches!$A$2:$A$501))))</f>
        <v/>
      </c>
      <c r="U13" s="15" t="str">
        <f aca="false">IF(A13="","",IF(N13&lt;&gt;"",N13,IFERROR(INDEX(Lists!$H$5:$H$12,MATCH(I13,Lists!$G$5:$G$12,0)),"")))</f>
        <v/>
      </c>
      <c r="V13" s="10" t="str">
        <f aca="true">IF(A13="","",IF(O13&lt;&gt;"",O13,IF(OR(U13="",U13="never",U13=0),"",IF(T13="",TODAY(),T13+U13))))</f>
        <v/>
      </c>
      <c r="W13" s="17" t="str">
        <f aca="true">IF(A13="","",IF(V13="","no rhythm",IF(V13&lt;TODAY(),"Overdue",IF(V13=TODAY(),"Today",IF(V13&lt;=TODAY()+7,"Soon","Later")))))</f>
        <v/>
      </c>
      <c r="X13" s="15" t="str">
        <f aca="true">IF(OR(A13="",V13=""),"",TODAY()-V13)</f>
        <v/>
      </c>
      <c r="Y13" s="15" t="str">
        <f aca="false">IF(A13="","",IFERROR(INDEX(Lists!$I$5:$I$12,MATCH(I13,Lists!$G$5:$G$12,0)),""))</f>
        <v/>
      </c>
      <c r="Z13" s="15" t="str">
        <f aca="false">IF(AND(X13&lt;&gt;"",X13&gt;=0),X13+ROW()/100000,"")</f>
        <v/>
      </c>
    </row>
    <row r="14" customFormat="false" ht="15" hidden="false" customHeight="false" outlineLevel="0" collapsed="false">
      <c r="H14" s="29"/>
      <c r="I14" s="29"/>
      <c r="J14" s="28"/>
      <c r="K14" s="28"/>
      <c r="L14" s="28"/>
      <c r="M14" s="30"/>
      <c r="O14" s="28"/>
      <c r="S14" s="28"/>
      <c r="T14" s="10" t="str">
        <f aca="false">IF(A14="","",IF(COUNTIF(Touches!$B$2:$B$501,A14)=0,"",SUMPRODUCT(MAX((Touches!$B$2:$B$501=A14)*Touches!$A$2:$A$501))))</f>
        <v/>
      </c>
      <c r="U14" s="15" t="str">
        <f aca="false">IF(A14="","",IF(N14&lt;&gt;"",N14,IFERROR(INDEX(Lists!$H$5:$H$12,MATCH(I14,Lists!$G$5:$G$12,0)),"")))</f>
        <v/>
      </c>
      <c r="V14" s="10" t="str">
        <f aca="true">IF(A14="","",IF(O14&lt;&gt;"",O14,IF(OR(U14="",U14="never",U14=0),"",IF(T14="",TODAY(),T14+U14))))</f>
        <v/>
      </c>
      <c r="W14" s="17" t="str">
        <f aca="true">IF(A14="","",IF(V14="","no rhythm",IF(V14&lt;TODAY(),"Overdue",IF(V14=TODAY(),"Today",IF(V14&lt;=TODAY()+7,"Soon","Later")))))</f>
        <v/>
      </c>
      <c r="X14" s="15" t="str">
        <f aca="true">IF(OR(A14="",V14=""),"",TODAY()-V14)</f>
        <v/>
      </c>
      <c r="Y14" s="15" t="str">
        <f aca="false">IF(A14="","",IFERROR(INDEX(Lists!$I$5:$I$12,MATCH(I14,Lists!$G$5:$G$12,0)),""))</f>
        <v/>
      </c>
      <c r="Z14" s="15" t="str">
        <f aca="false">IF(AND(X14&lt;&gt;"",X14&gt;=0),X14+ROW()/100000,"")</f>
        <v/>
      </c>
    </row>
    <row r="15" customFormat="false" ht="15" hidden="false" customHeight="false" outlineLevel="0" collapsed="false">
      <c r="H15" s="29"/>
      <c r="I15" s="29"/>
      <c r="J15" s="28"/>
      <c r="K15" s="28"/>
      <c r="L15" s="28"/>
      <c r="M15" s="30"/>
      <c r="O15" s="28"/>
      <c r="S15" s="28"/>
      <c r="T15" s="10" t="str">
        <f aca="false">IF(A15="","",IF(COUNTIF(Touches!$B$2:$B$501,A15)=0,"",SUMPRODUCT(MAX((Touches!$B$2:$B$501=A15)*Touches!$A$2:$A$501))))</f>
        <v/>
      </c>
      <c r="U15" s="15" t="str">
        <f aca="false">IF(A15="","",IF(N15&lt;&gt;"",N15,IFERROR(INDEX(Lists!$H$5:$H$12,MATCH(I15,Lists!$G$5:$G$12,0)),"")))</f>
        <v/>
      </c>
      <c r="V15" s="10" t="str">
        <f aca="true">IF(A15="","",IF(O15&lt;&gt;"",O15,IF(OR(U15="",U15="never",U15=0),"",IF(T15="",TODAY(),T15+U15))))</f>
        <v/>
      </c>
      <c r="W15" s="17" t="str">
        <f aca="true">IF(A15="","",IF(V15="","no rhythm",IF(V15&lt;TODAY(),"Overdue",IF(V15=TODAY(),"Today",IF(V15&lt;=TODAY()+7,"Soon","Later")))))</f>
        <v/>
      </c>
      <c r="X15" s="15" t="str">
        <f aca="true">IF(OR(A15="",V15=""),"",TODAY()-V15)</f>
        <v/>
      </c>
      <c r="Y15" s="15" t="str">
        <f aca="false">IF(A15="","",IFERROR(INDEX(Lists!$I$5:$I$12,MATCH(I15,Lists!$G$5:$G$12,0)),""))</f>
        <v/>
      </c>
      <c r="Z15" s="15" t="str">
        <f aca="false">IF(AND(X15&lt;&gt;"",X15&gt;=0),X15+ROW()/100000,"")</f>
        <v/>
      </c>
    </row>
    <row r="16" customFormat="false" ht="15" hidden="false" customHeight="false" outlineLevel="0" collapsed="false">
      <c r="H16" s="29"/>
      <c r="I16" s="29"/>
      <c r="J16" s="28"/>
      <c r="K16" s="28"/>
      <c r="L16" s="28"/>
      <c r="M16" s="30"/>
      <c r="O16" s="28"/>
      <c r="S16" s="28"/>
      <c r="T16" s="10" t="str">
        <f aca="false">IF(A16="","",IF(COUNTIF(Touches!$B$2:$B$501,A16)=0,"",SUMPRODUCT(MAX((Touches!$B$2:$B$501=A16)*Touches!$A$2:$A$501))))</f>
        <v/>
      </c>
      <c r="U16" s="15" t="str">
        <f aca="false">IF(A16="","",IF(N16&lt;&gt;"",N16,IFERROR(INDEX(Lists!$H$5:$H$12,MATCH(I16,Lists!$G$5:$G$12,0)),"")))</f>
        <v/>
      </c>
      <c r="V16" s="10" t="str">
        <f aca="true">IF(A16="","",IF(O16&lt;&gt;"",O16,IF(OR(U16="",U16="never",U16=0),"",IF(T16="",TODAY(),T16+U16))))</f>
        <v/>
      </c>
      <c r="W16" s="17" t="str">
        <f aca="true">IF(A16="","",IF(V16="","no rhythm",IF(V16&lt;TODAY(),"Overdue",IF(V16=TODAY(),"Today",IF(V16&lt;=TODAY()+7,"Soon","Later")))))</f>
        <v/>
      </c>
      <c r="X16" s="15" t="str">
        <f aca="true">IF(OR(A16="",V16=""),"",TODAY()-V16)</f>
        <v/>
      </c>
      <c r="Y16" s="15" t="str">
        <f aca="false">IF(A16="","",IFERROR(INDEX(Lists!$I$5:$I$12,MATCH(I16,Lists!$G$5:$G$12,0)),""))</f>
        <v/>
      </c>
      <c r="Z16" s="15" t="str">
        <f aca="false">IF(AND(X16&lt;&gt;"",X16&gt;=0),X16+ROW()/100000,"")</f>
        <v/>
      </c>
    </row>
    <row r="17" customFormat="false" ht="15" hidden="false" customHeight="false" outlineLevel="0" collapsed="false">
      <c r="H17" s="29"/>
      <c r="I17" s="29"/>
      <c r="J17" s="28"/>
      <c r="K17" s="28"/>
      <c r="L17" s="28"/>
      <c r="M17" s="30"/>
      <c r="O17" s="28"/>
      <c r="S17" s="28"/>
      <c r="T17" s="10" t="str">
        <f aca="false">IF(A17="","",IF(COUNTIF(Touches!$B$2:$B$501,A17)=0,"",SUMPRODUCT(MAX((Touches!$B$2:$B$501=A17)*Touches!$A$2:$A$501))))</f>
        <v/>
      </c>
      <c r="U17" s="15" t="str">
        <f aca="false">IF(A17="","",IF(N17&lt;&gt;"",N17,IFERROR(INDEX(Lists!$H$5:$H$12,MATCH(I17,Lists!$G$5:$G$12,0)),"")))</f>
        <v/>
      </c>
      <c r="V17" s="10" t="str">
        <f aca="true">IF(A17="","",IF(O17&lt;&gt;"",O17,IF(OR(U17="",U17="never",U17=0),"",IF(T17="",TODAY(),T17+U17))))</f>
        <v/>
      </c>
      <c r="W17" s="17" t="str">
        <f aca="true">IF(A17="","",IF(V17="","no rhythm",IF(V17&lt;TODAY(),"Overdue",IF(V17=TODAY(),"Today",IF(V17&lt;=TODAY()+7,"Soon","Later")))))</f>
        <v/>
      </c>
      <c r="X17" s="15" t="str">
        <f aca="true">IF(OR(A17="",V17=""),"",TODAY()-V17)</f>
        <v/>
      </c>
      <c r="Y17" s="15" t="str">
        <f aca="false">IF(A17="","",IFERROR(INDEX(Lists!$I$5:$I$12,MATCH(I17,Lists!$G$5:$G$12,0)),""))</f>
        <v/>
      </c>
      <c r="Z17" s="15" t="str">
        <f aca="false">IF(AND(X17&lt;&gt;"",X17&gt;=0),X17+ROW()/100000,"")</f>
        <v/>
      </c>
    </row>
    <row r="18" customFormat="false" ht="15" hidden="false" customHeight="false" outlineLevel="0" collapsed="false">
      <c r="H18" s="29"/>
      <c r="I18" s="29"/>
      <c r="J18" s="28"/>
      <c r="K18" s="28"/>
      <c r="L18" s="28"/>
      <c r="M18" s="30"/>
      <c r="O18" s="28"/>
      <c r="S18" s="28"/>
      <c r="T18" s="10" t="str">
        <f aca="false">IF(A18="","",IF(COUNTIF(Touches!$B$2:$B$501,A18)=0,"",SUMPRODUCT(MAX((Touches!$B$2:$B$501=A18)*Touches!$A$2:$A$501))))</f>
        <v/>
      </c>
      <c r="U18" s="15" t="str">
        <f aca="false">IF(A18="","",IF(N18&lt;&gt;"",N18,IFERROR(INDEX(Lists!$H$5:$H$12,MATCH(I18,Lists!$G$5:$G$12,0)),"")))</f>
        <v/>
      </c>
      <c r="V18" s="10" t="str">
        <f aca="true">IF(A18="","",IF(O18&lt;&gt;"",O18,IF(OR(U18="",U18="never",U18=0),"",IF(T18="",TODAY(),T18+U18))))</f>
        <v/>
      </c>
      <c r="W18" s="17" t="str">
        <f aca="true">IF(A18="","",IF(V18="","no rhythm",IF(V18&lt;TODAY(),"Overdue",IF(V18=TODAY(),"Today",IF(V18&lt;=TODAY()+7,"Soon","Later")))))</f>
        <v/>
      </c>
      <c r="X18" s="15" t="str">
        <f aca="true">IF(OR(A18="",V18=""),"",TODAY()-V18)</f>
        <v/>
      </c>
      <c r="Y18" s="15" t="str">
        <f aca="false">IF(A18="","",IFERROR(INDEX(Lists!$I$5:$I$12,MATCH(I18,Lists!$G$5:$G$12,0)),""))</f>
        <v/>
      </c>
      <c r="Z18" s="15" t="str">
        <f aca="false">IF(AND(X18&lt;&gt;"",X18&gt;=0),X18+ROW()/100000,"")</f>
        <v/>
      </c>
    </row>
    <row r="19" customFormat="false" ht="15" hidden="false" customHeight="false" outlineLevel="0" collapsed="false">
      <c r="H19" s="29"/>
      <c r="I19" s="29"/>
      <c r="J19" s="28"/>
      <c r="K19" s="28"/>
      <c r="L19" s="28"/>
      <c r="M19" s="30"/>
      <c r="O19" s="28"/>
      <c r="S19" s="28"/>
      <c r="T19" s="10" t="str">
        <f aca="false">IF(A19="","",IF(COUNTIF(Touches!$B$2:$B$501,A19)=0,"",SUMPRODUCT(MAX((Touches!$B$2:$B$501=A19)*Touches!$A$2:$A$501))))</f>
        <v/>
      </c>
      <c r="U19" s="15" t="str">
        <f aca="false">IF(A19="","",IF(N19&lt;&gt;"",N19,IFERROR(INDEX(Lists!$H$5:$H$12,MATCH(I19,Lists!$G$5:$G$12,0)),"")))</f>
        <v/>
      </c>
      <c r="V19" s="10" t="str">
        <f aca="true">IF(A19="","",IF(O19&lt;&gt;"",O19,IF(OR(U19="",U19="never",U19=0),"",IF(T19="",TODAY(),T19+U19))))</f>
        <v/>
      </c>
      <c r="W19" s="17" t="str">
        <f aca="true">IF(A19="","",IF(V19="","no rhythm",IF(V19&lt;TODAY(),"Overdue",IF(V19=TODAY(),"Today",IF(V19&lt;=TODAY()+7,"Soon","Later")))))</f>
        <v/>
      </c>
      <c r="X19" s="15" t="str">
        <f aca="true">IF(OR(A19="",V19=""),"",TODAY()-V19)</f>
        <v/>
      </c>
      <c r="Y19" s="15" t="str">
        <f aca="false">IF(A19="","",IFERROR(INDEX(Lists!$I$5:$I$12,MATCH(I19,Lists!$G$5:$G$12,0)),""))</f>
        <v/>
      </c>
      <c r="Z19" s="15" t="str">
        <f aca="false">IF(AND(X19&lt;&gt;"",X19&gt;=0),X19+ROW()/100000,"")</f>
        <v/>
      </c>
    </row>
    <row r="20" customFormat="false" ht="15" hidden="false" customHeight="false" outlineLevel="0" collapsed="false">
      <c r="H20" s="29"/>
      <c r="I20" s="29"/>
      <c r="J20" s="28"/>
      <c r="K20" s="28"/>
      <c r="L20" s="28"/>
      <c r="M20" s="30"/>
      <c r="O20" s="28"/>
      <c r="S20" s="28"/>
      <c r="T20" s="10" t="str">
        <f aca="false">IF(A20="","",IF(COUNTIF(Touches!$B$2:$B$501,A20)=0,"",SUMPRODUCT(MAX((Touches!$B$2:$B$501=A20)*Touches!$A$2:$A$501))))</f>
        <v/>
      </c>
      <c r="U20" s="15" t="str">
        <f aca="false">IF(A20="","",IF(N20&lt;&gt;"",N20,IFERROR(INDEX(Lists!$H$5:$H$12,MATCH(I20,Lists!$G$5:$G$12,0)),"")))</f>
        <v/>
      </c>
      <c r="V20" s="10" t="str">
        <f aca="true">IF(A20="","",IF(O20&lt;&gt;"",O20,IF(OR(U20="",U20="never",U20=0),"",IF(T20="",TODAY(),T20+U20))))</f>
        <v/>
      </c>
      <c r="W20" s="17" t="str">
        <f aca="true">IF(A20="","",IF(V20="","no rhythm",IF(V20&lt;TODAY(),"Overdue",IF(V20=TODAY(),"Today",IF(V20&lt;=TODAY()+7,"Soon","Later")))))</f>
        <v/>
      </c>
      <c r="X20" s="15" t="str">
        <f aca="true">IF(OR(A20="",V20=""),"",TODAY()-V20)</f>
        <v/>
      </c>
      <c r="Y20" s="15" t="str">
        <f aca="false">IF(A20="","",IFERROR(INDEX(Lists!$I$5:$I$12,MATCH(I20,Lists!$G$5:$G$12,0)),""))</f>
        <v/>
      </c>
      <c r="Z20" s="15" t="str">
        <f aca="false">IF(AND(X20&lt;&gt;"",X20&gt;=0),X20+ROW()/100000,"")</f>
        <v/>
      </c>
    </row>
    <row r="21" customFormat="false" ht="15" hidden="false" customHeight="false" outlineLevel="0" collapsed="false">
      <c r="H21" s="29"/>
      <c r="I21" s="29"/>
      <c r="J21" s="28"/>
      <c r="K21" s="28"/>
      <c r="L21" s="28"/>
      <c r="M21" s="30"/>
      <c r="O21" s="28"/>
      <c r="S21" s="28"/>
      <c r="T21" s="10" t="str">
        <f aca="false">IF(A21="","",IF(COUNTIF(Touches!$B$2:$B$501,A21)=0,"",SUMPRODUCT(MAX((Touches!$B$2:$B$501=A21)*Touches!$A$2:$A$501))))</f>
        <v/>
      </c>
      <c r="U21" s="15" t="str">
        <f aca="false">IF(A21="","",IF(N21&lt;&gt;"",N21,IFERROR(INDEX(Lists!$H$5:$H$12,MATCH(I21,Lists!$G$5:$G$12,0)),"")))</f>
        <v/>
      </c>
      <c r="V21" s="10" t="str">
        <f aca="true">IF(A21="","",IF(O21&lt;&gt;"",O21,IF(OR(U21="",U21="never",U21=0),"",IF(T21="",TODAY(),T21+U21))))</f>
        <v/>
      </c>
      <c r="W21" s="17" t="str">
        <f aca="true">IF(A21="","",IF(V21="","no rhythm",IF(V21&lt;TODAY(),"Overdue",IF(V21=TODAY(),"Today",IF(V21&lt;=TODAY()+7,"Soon","Later")))))</f>
        <v/>
      </c>
      <c r="X21" s="15" t="str">
        <f aca="true">IF(OR(A21="",V21=""),"",TODAY()-V21)</f>
        <v/>
      </c>
      <c r="Y21" s="15" t="str">
        <f aca="false">IF(A21="","",IFERROR(INDEX(Lists!$I$5:$I$12,MATCH(I21,Lists!$G$5:$G$12,0)),""))</f>
        <v/>
      </c>
      <c r="Z21" s="15" t="str">
        <f aca="false">IF(AND(X21&lt;&gt;"",X21&gt;=0),X21+ROW()/100000,"")</f>
        <v/>
      </c>
    </row>
    <row r="22" customFormat="false" ht="15" hidden="false" customHeight="false" outlineLevel="0" collapsed="false">
      <c r="H22" s="29"/>
      <c r="I22" s="29"/>
      <c r="J22" s="28"/>
      <c r="K22" s="28"/>
      <c r="L22" s="28"/>
      <c r="M22" s="30"/>
      <c r="O22" s="28"/>
      <c r="S22" s="28"/>
      <c r="T22" s="10" t="str">
        <f aca="false">IF(A22="","",IF(COUNTIF(Touches!$B$2:$B$501,A22)=0,"",SUMPRODUCT(MAX((Touches!$B$2:$B$501=A22)*Touches!$A$2:$A$501))))</f>
        <v/>
      </c>
      <c r="U22" s="15" t="str">
        <f aca="false">IF(A22="","",IF(N22&lt;&gt;"",N22,IFERROR(INDEX(Lists!$H$5:$H$12,MATCH(I22,Lists!$G$5:$G$12,0)),"")))</f>
        <v/>
      </c>
      <c r="V22" s="10" t="str">
        <f aca="true">IF(A22="","",IF(O22&lt;&gt;"",O22,IF(OR(U22="",U22="never",U22=0),"",IF(T22="",TODAY(),T22+U22))))</f>
        <v/>
      </c>
      <c r="W22" s="17" t="str">
        <f aca="true">IF(A22="","",IF(V22="","no rhythm",IF(V22&lt;TODAY(),"Overdue",IF(V22=TODAY(),"Today",IF(V22&lt;=TODAY()+7,"Soon","Later")))))</f>
        <v/>
      </c>
      <c r="X22" s="15" t="str">
        <f aca="true">IF(OR(A22="",V22=""),"",TODAY()-V22)</f>
        <v/>
      </c>
      <c r="Y22" s="15" t="str">
        <f aca="false">IF(A22="","",IFERROR(INDEX(Lists!$I$5:$I$12,MATCH(I22,Lists!$G$5:$G$12,0)),""))</f>
        <v/>
      </c>
      <c r="Z22" s="15" t="str">
        <f aca="false">IF(AND(X22&lt;&gt;"",X22&gt;=0),X22+ROW()/100000,"")</f>
        <v/>
      </c>
    </row>
    <row r="23" customFormat="false" ht="15" hidden="false" customHeight="false" outlineLevel="0" collapsed="false">
      <c r="H23" s="29"/>
      <c r="I23" s="29"/>
      <c r="J23" s="28"/>
      <c r="K23" s="28"/>
      <c r="L23" s="28"/>
      <c r="M23" s="30"/>
      <c r="O23" s="28"/>
      <c r="S23" s="28"/>
      <c r="T23" s="10" t="str">
        <f aca="false">IF(A23="","",IF(COUNTIF(Touches!$B$2:$B$501,A23)=0,"",SUMPRODUCT(MAX((Touches!$B$2:$B$501=A23)*Touches!$A$2:$A$501))))</f>
        <v/>
      </c>
      <c r="U23" s="15" t="str">
        <f aca="false">IF(A23="","",IF(N23&lt;&gt;"",N23,IFERROR(INDEX(Lists!$H$5:$H$12,MATCH(I23,Lists!$G$5:$G$12,0)),"")))</f>
        <v/>
      </c>
      <c r="V23" s="10" t="str">
        <f aca="true">IF(A23="","",IF(O23&lt;&gt;"",O23,IF(OR(U23="",U23="never",U23=0),"",IF(T23="",TODAY(),T23+U23))))</f>
        <v/>
      </c>
      <c r="W23" s="17" t="str">
        <f aca="true">IF(A23="","",IF(V23="","no rhythm",IF(V23&lt;TODAY(),"Overdue",IF(V23=TODAY(),"Today",IF(V23&lt;=TODAY()+7,"Soon","Later")))))</f>
        <v/>
      </c>
      <c r="X23" s="15" t="str">
        <f aca="true">IF(OR(A23="",V23=""),"",TODAY()-V23)</f>
        <v/>
      </c>
      <c r="Y23" s="15" t="str">
        <f aca="false">IF(A23="","",IFERROR(INDEX(Lists!$I$5:$I$12,MATCH(I23,Lists!$G$5:$G$12,0)),""))</f>
        <v/>
      </c>
      <c r="Z23" s="15" t="str">
        <f aca="false">IF(AND(X23&lt;&gt;"",X23&gt;=0),X23+ROW()/100000,"")</f>
        <v/>
      </c>
    </row>
    <row r="24" customFormat="false" ht="15" hidden="false" customHeight="false" outlineLevel="0" collapsed="false">
      <c r="H24" s="29"/>
      <c r="I24" s="29"/>
      <c r="J24" s="28"/>
      <c r="K24" s="28"/>
      <c r="L24" s="28"/>
      <c r="M24" s="30"/>
      <c r="O24" s="28"/>
      <c r="S24" s="28"/>
      <c r="T24" s="10" t="str">
        <f aca="false">IF(A24="","",IF(COUNTIF(Touches!$B$2:$B$501,A24)=0,"",SUMPRODUCT(MAX((Touches!$B$2:$B$501=A24)*Touches!$A$2:$A$501))))</f>
        <v/>
      </c>
      <c r="U24" s="15" t="str">
        <f aca="false">IF(A24="","",IF(N24&lt;&gt;"",N24,IFERROR(INDEX(Lists!$H$5:$H$12,MATCH(I24,Lists!$G$5:$G$12,0)),"")))</f>
        <v/>
      </c>
      <c r="V24" s="10" t="str">
        <f aca="true">IF(A24="","",IF(O24&lt;&gt;"",O24,IF(OR(U24="",U24="never",U24=0),"",IF(T24="",TODAY(),T24+U24))))</f>
        <v/>
      </c>
      <c r="W24" s="17" t="str">
        <f aca="true">IF(A24="","",IF(V24="","no rhythm",IF(V24&lt;TODAY(),"Overdue",IF(V24=TODAY(),"Today",IF(V24&lt;=TODAY()+7,"Soon","Later")))))</f>
        <v/>
      </c>
      <c r="X24" s="15" t="str">
        <f aca="true">IF(OR(A24="",V24=""),"",TODAY()-V24)</f>
        <v/>
      </c>
      <c r="Y24" s="15" t="str">
        <f aca="false">IF(A24="","",IFERROR(INDEX(Lists!$I$5:$I$12,MATCH(I24,Lists!$G$5:$G$12,0)),""))</f>
        <v/>
      </c>
      <c r="Z24" s="15" t="str">
        <f aca="false">IF(AND(X24&lt;&gt;"",X24&gt;=0),X24+ROW()/100000,"")</f>
        <v/>
      </c>
    </row>
    <row r="25" customFormat="false" ht="15" hidden="false" customHeight="false" outlineLevel="0" collapsed="false">
      <c r="H25" s="29"/>
      <c r="I25" s="29"/>
      <c r="J25" s="28"/>
      <c r="K25" s="28"/>
      <c r="L25" s="28"/>
      <c r="M25" s="30"/>
      <c r="O25" s="28"/>
      <c r="S25" s="28"/>
      <c r="T25" s="10" t="str">
        <f aca="false">IF(A25="","",IF(COUNTIF(Touches!$B$2:$B$501,A25)=0,"",SUMPRODUCT(MAX((Touches!$B$2:$B$501=A25)*Touches!$A$2:$A$501))))</f>
        <v/>
      </c>
      <c r="U25" s="15" t="str">
        <f aca="false">IF(A25="","",IF(N25&lt;&gt;"",N25,IFERROR(INDEX(Lists!$H$5:$H$12,MATCH(I25,Lists!$G$5:$G$12,0)),"")))</f>
        <v/>
      </c>
      <c r="V25" s="10" t="str">
        <f aca="true">IF(A25="","",IF(O25&lt;&gt;"",O25,IF(OR(U25="",U25="never",U25=0),"",IF(T25="",TODAY(),T25+U25))))</f>
        <v/>
      </c>
      <c r="W25" s="17" t="str">
        <f aca="true">IF(A25="","",IF(V25="","no rhythm",IF(V25&lt;TODAY(),"Overdue",IF(V25=TODAY(),"Today",IF(V25&lt;=TODAY()+7,"Soon","Later")))))</f>
        <v/>
      </c>
      <c r="X25" s="15" t="str">
        <f aca="true">IF(OR(A25="",V25=""),"",TODAY()-V25)</f>
        <v/>
      </c>
      <c r="Y25" s="15" t="str">
        <f aca="false">IF(A25="","",IFERROR(INDEX(Lists!$I$5:$I$12,MATCH(I25,Lists!$G$5:$G$12,0)),""))</f>
        <v/>
      </c>
      <c r="Z25" s="15" t="str">
        <f aca="false">IF(AND(X25&lt;&gt;"",X25&gt;=0),X25+ROW()/100000,"")</f>
        <v/>
      </c>
    </row>
    <row r="26" customFormat="false" ht="15" hidden="false" customHeight="false" outlineLevel="0" collapsed="false">
      <c r="H26" s="29"/>
      <c r="I26" s="29"/>
      <c r="J26" s="28"/>
      <c r="K26" s="28"/>
      <c r="L26" s="28"/>
      <c r="M26" s="30"/>
      <c r="O26" s="28"/>
      <c r="S26" s="28"/>
      <c r="T26" s="10" t="str">
        <f aca="false">IF(A26="","",IF(COUNTIF(Touches!$B$2:$B$501,A26)=0,"",SUMPRODUCT(MAX((Touches!$B$2:$B$501=A26)*Touches!$A$2:$A$501))))</f>
        <v/>
      </c>
      <c r="U26" s="15" t="str">
        <f aca="false">IF(A26="","",IF(N26&lt;&gt;"",N26,IFERROR(INDEX(Lists!$H$5:$H$12,MATCH(I26,Lists!$G$5:$G$12,0)),"")))</f>
        <v/>
      </c>
      <c r="V26" s="10" t="str">
        <f aca="true">IF(A26="","",IF(O26&lt;&gt;"",O26,IF(OR(U26="",U26="never",U26=0),"",IF(T26="",TODAY(),T26+U26))))</f>
        <v/>
      </c>
      <c r="W26" s="17" t="str">
        <f aca="true">IF(A26="","",IF(V26="","no rhythm",IF(V26&lt;TODAY(),"Overdue",IF(V26=TODAY(),"Today",IF(V26&lt;=TODAY()+7,"Soon","Later")))))</f>
        <v/>
      </c>
      <c r="X26" s="15" t="str">
        <f aca="true">IF(OR(A26="",V26=""),"",TODAY()-V26)</f>
        <v/>
      </c>
      <c r="Y26" s="15" t="str">
        <f aca="false">IF(A26="","",IFERROR(INDEX(Lists!$I$5:$I$12,MATCH(I26,Lists!$G$5:$G$12,0)),""))</f>
        <v/>
      </c>
      <c r="Z26" s="15" t="str">
        <f aca="false">IF(AND(X26&lt;&gt;"",X26&gt;=0),X26+ROW()/100000,"")</f>
        <v/>
      </c>
    </row>
    <row r="27" customFormat="false" ht="15" hidden="false" customHeight="false" outlineLevel="0" collapsed="false">
      <c r="H27" s="29"/>
      <c r="I27" s="29"/>
      <c r="J27" s="28"/>
      <c r="K27" s="28"/>
      <c r="L27" s="28"/>
      <c r="M27" s="30"/>
      <c r="O27" s="28"/>
      <c r="S27" s="28"/>
      <c r="T27" s="10" t="str">
        <f aca="false">IF(A27="","",IF(COUNTIF(Touches!$B$2:$B$501,A27)=0,"",SUMPRODUCT(MAX((Touches!$B$2:$B$501=A27)*Touches!$A$2:$A$501))))</f>
        <v/>
      </c>
      <c r="U27" s="15" t="str">
        <f aca="false">IF(A27="","",IF(N27&lt;&gt;"",N27,IFERROR(INDEX(Lists!$H$5:$H$12,MATCH(I27,Lists!$G$5:$G$12,0)),"")))</f>
        <v/>
      </c>
      <c r="V27" s="10" t="str">
        <f aca="true">IF(A27="","",IF(O27&lt;&gt;"",O27,IF(OR(U27="",U27="never",U27=0),"",IF(T27="",TODAY(),T27+U27))))</f>
        <v/>
      </c>
      <c r="W27" s="17" t="str">
        <f aca="true">IF(A27="","",IF(V27="","no rhythm",IF(V27&lt;TODAY(),"Overdue",IF(V27=TODAY(),"Today",IF(V27&lt;=TODAY()+7,"Soon","Later")))))</f>
        <v/>
      </c>
      <c r="X27" s="15" t="str">
        <f aca="true">IF(OR(A27="",V27=""),"",TODAY()-V27)</f>
        <v/>
      </c>
      <c r="Y27" s="15" t="str">
        <f aca="false">IF(A27="","",IFERROR(INDEX(Lists!$I$5:$I$12,MATCH(I27,Lists!$G$5:$G$12,0)),""))</f>
        <v/>
      </c>
      <c r="Z27" s="15" t="str">
        <f aca="false">IF(AND(X27&lt;&gt;"",X27&gt;=0),X27+ROW()/100000,"")</f>
        <v/>
      </c>
    </row>
    <row r="28" customFormat="false" ht="15" hidden="false" customHeight="false" outlineLevel="0" collapsed="false">
      <c r="H28" s="29"/>
      <c r="I28" s="29"/>
      <c r="J28" s="28"/>
      <c r="K28" s="28"/>
      <c r="L28" s="28"/>
      <c r="M28" s="30"/>
      <c r="O28" s="28"/>
      <c r="S28" s="28"/>
      <c r="T28" s="10" t="str">
        <f aca="false">IF(A28="","",IF(COUNTIF(Touches!$B$2:$B$501,A28)=0,"",SUMPRODUCT(MAX((Touches!$B$2:$B$501=A28)*Touches!$A$2:$A$501))))</f>
        <v/>
      </c>
      <c r="U28" s="15" t="str">
        <f aca="false">IF(A28="","",IF(N28&lt;&gt;"",N28,IFERROR(INDEX(Lists!$H$5:$H$12,MATCH(I28,Lists!$G$5:$G$12,0)),"")))</f>
        <v/>
      </c>
      <c r="V28" s="10" t="str">
        <f aca="true">IF(A28="","",IF(O28&lt;&gt;"",O28,IF(OR(U28="",U28="never",U28=0),"",IF(T28="",TODAY(),T28+U28))))</f>
        <v/>
      </c>
      <c r="W28" s="17" t="str">
        <f aca="true">IF(A28="","",IF(V28="","no rhythm",IF(V28&lt;TODAY(),"Overdue",IF(V28=TODAY(),"Today",IF(V28&lt;=TODAY()+7,"Soon","Later")))))</f>
        <v/>
      </c>
      <c r="X28" s="15" t="str">
        <f aca="true">IF(OR(A28="",V28=""),"",TODAY()-V28)</f>
        <v/>
      </c>
      <c r="Y28" s="15" t="str">
        <f aca="false">IF(A28="","",IFERROR(INDEX(Lists!$I$5:$I$12,MATCH(I28,Lists!$G$5:$G$12,0)),""))</f>
        <v/>
      </c>
      <c r="Z28" s="15" t="str">
        <f aca="false">IF(AND(X28&lt;&gt;"",X28&gt;=0),X28+ROW()/100000,"")</f>
        <v/>
      </c>
    </row>
    <row r="29" customFormat="false" ht="15" hidden="false" customHeight="false" outlineLevel="0" collapsed="false">
      <c r="H29" s="29"/>
      <c r="I29" s="29"/>
      <c r="J29" s="28"/>
      <c r="K29" s="28"/>
      <c r="L29" s="28"/>
      <c r="M29" s="30"/>
      <c r="O29" s="28"/>
      <c r="S29" s="28"/>
      <c r="T29" s="10" t="str">
        <f aca="false">IF(A29="","",IF(COUNTIF(Touches!$B$2:$B$501,A29)=0,"",SUMPRODUCT(MAX((Touches!$B$2:$B$501=A29)*Touches!$A$2:$A$501))))</f>
        <v/>
      </c>
      <c r="U29" s="15" t="str">
        <f aca="false">IF(A29="","",IF(N29&lt;&gt;"",N29,IFERROR(INDEX(Lists!$H$5:$H$12,MATCH(I29,Lists!$G$5:$G$12,0)),"")))</f>
        <v/>
      </c>
      <c r="V29" s="10" t="str">
        <f aca="true">IF(A29="","",IF(O29&lt;&gt;"",O29,IF(OR(U29="",U29="never",U29=0),"",IF(T29="",TODAY(),T29+U29))))</f>
        <v/>
      </c>
      <c r="W29" s="17" t="str">
        <f aca="true">IF(A29="","",IF(V29="","no rhythm",IF(V29&lt;TODAY(),"Overdue",IF(V29=TODAY(),"Today",IF(V29&lt;=TODAY()+7,"Soon","Later")))))</f>
        <v/>
      </c>
      <c r="X29" s="15" t="str">
        <f aca="true">IF(OR(A29="",V29=""),"",TODAY()-V29)</f>
        <v/>
      </c>
      <c r="Y29" s="15" t="str">
        <f aca="false">IF(A29="","",IFERROR(INDEX(Lists!$I$5:$I$12,MATCH(I29,Lists!$G$5:$G$12,0)),""))</f>
        <v/>
      </c>
      <c r="Z29" s="15" t="str">
        <f aca="false">IF(AND(X29&lt;&gt;"",X29&gt;=0),X29+ROW()/100000,"")</f>
        <v/>
      </c>
    </row>
    <row r="30" customFormat="false" ht="15" hidden="false" customHeight="false" outlineLevel="0" collapsed="false">
      <c r="H30" s="29"/>
      <c r="I30" s="29"/>
      <c r="J30" s="28"/>
      <c r="K30" s="28"/>
      <c r="L30" s="28"/>
      <c r="M30" s="30"/>
      <c r="O30" s="28"/>
      <c r="S30" s="28"/>
      <c r="T30" s="10" t="str">
        <f aca="false">IF(A30="","",IF(COUNTIF(Touches!$B$2:$B$501,A30)=0,"",SUMPRODUCT(MAX((Touches!$B$2:$B$501=A30)*Touches!$A$2:$A$501))))</f>
        <v/>
      </c>
      <c r="U30" s="15" t="str">
        <f aca="false">IF(A30="","",IF(N30&lt;&gt;"",N30,IFERROR(INDEX(Lists!$H$5:$H$12,MATCH(I30,Lists!$G$5:$G$12,0)),"")))</f>
        <v/>
      </c>
      <c r="V30" s="10" t="str">
        <f aca="true">IF(A30="","",IF(O30&lt;&gt;"",O30,IF(OR(U30="",U30="never",U30=0),"",IF(T30="",TODAY(),T30+U30))))</f>
        <v/>
      </c>
      <c r="W30" s="17" t="str">
        <f aca="true">IF(A30="","",IF(V30="","no rhythm",IF(V30&lt;TODAY(),"Overdue",IF(V30=TODAY(),"Today",IF(V30&lt;=TODAY()+7,"Soon","Later")))))</f>
        <v/>
      </c>
      <c r="X30" s="15" t="str">
        <f aca="true">IF(OR(A30="",V30=""),"",TODAY()-V30)</f>
        <v/>
      </c>
      <c r="Y30" s="15" t="str">
        <f aca="false">IF(A30="","",IFERROR(INDEX(Lists!$I$5:$I$12,MATCH(I30,Lists!$G$5:$G$12,0)),""))</f>
        <v/>
      </c>
      <c r="Z30" s="15" t="str">
        <f aca="false">IF(AND(X30&lt;&gt;"",X30&gt;=0),X30+ROW()/100000,"")</f>
        <v/>
      </c>
    </row>
    <row r="31" customFormat="false" ht="15" hidden="false" customHeight="false" outlineLevel="0" collapsed="false">
      <c r="H31" s="29"/>
      <c r="I31" s="29"/>
      <c r="J31" s="28"/>
      <c r="K31" s="28"/>
      <c r="L31" s="28"/>
      <c r="M31" s="30"/>
      <c r="O31" s="28"/>
      <c r="S31" s="28"/>
      <c r="T31" s="10" t="str">
        <f aca="false">IF(A31="","",IF(COUNTIF(Touches!$B$2:$B$501,A31)=0,"",SUMPRODUCT(MAX((Touches!$B$2:$B$501=A31)*Touches!$A$2:$A$501))))</f>
        <v/>
      </c>
      <c r="U31" s="15" t="str">
        <f aca="false">IF(A31="","",IF(N31&lt;&gt;"",N31,IFERROR(INDEX(Lists!$H$5:$H$12,MATCH(I31,Lists!$G$5:$G$12,0)),"")))</f>
        <v/>
      </c>
      <c r="V31" s="10" t="str">
        <f aca="true">IF(A31="","",IF(O31&lt;&gt;"",O31,IF(OR(U31="",U31="never",U31=0),"",IF(T31="",TODAY(),T31+U31))))</f>
        <v/>
      </c>
      <c r="W31" s="17" t="str">
        <f aca="true">IF(A31="","",IF(V31="","no rhythm",IF(V31&lt;TODAY(),"Overdue",IF(V31=TODAY(),"Today",IF(V31&lt;=TODAY()+7,"Soon","Later")))))</f>
        <v/>
      </c>
      <c r="X31" s="15" t="str">
        <f aca="true">IF(OR(A31="",V31=""),"",TODAY()-V31)</f>
        <v/>
      </c>
      <c r="Y31" s="15" t="str">
        <f aca="false">IF(A31="","",IFERROR(INDEX(Lists!$I$5:$I$12,MATCH(I31,Lists!$G$5:$G$12,0)),""))</f>
        <v/>
      </c>
      <c r="Z31" s="15" t="str">
        <f aca="false">IF(AND(X31&lt;&gt;"",X31&gt;=0),X31+ROW()/100000,"")</f>
        <v/>
      </c>
    </row>
    <row r="32" customFormat="false" ht="15" hidden="false" customHeight="false" outlineLevel="0" collapsed="false">
      <c r="H32" s="29"/>
      <c r="I32" s="29"/>
      <c r="J32" s="28"/>
      <c r="K32" s="28"/>
      <c r="L32" s="28"/>
      <c r="M32" s="30"/>
      <c r="O32" s="28"/>
      <c r="S32" s="28"/>
      <c r="T32" s="10" t="str">
        <f aca="false">IF(A32="","",IF(COUNTIF(Touches!$B$2:$B$501,A32)=0,"",SUMPRODUCT(MAX((Touches!$B$2:$B$501=A32)*Touches!$A$2:$A$501))))</f>
        <v/>
      </c>
      <c r="U32" s="15" t="str">
        <f aca="false">IF(A32="","",IF(N32&lt;&gt;"",N32,IFERROR(INDEX(Lists!$H$5:$H$12,MATCH(I32,Lists!$G$5:$G$12,0)),"")))</f>
        <v/>
      </c>
      <c r="V32" s="10" t="str">
        <f aca="true">IF(A32="","",IF(O32&lt;&gt;"",O32,IF(OR(U32="",U32="never",U32=0),"",IF(T32="",TODAY(),T32+U32))))</f>
        <v/>
      </c>
      <c r="W32" s="17" t="str">
        <f aca="true">IF(A32="","",IF(V32="","no rhythm",IF(V32&lt;TODAY(),"Overdue",IF(V32=TODAY(),"Today",IF(V32&lt;=TODAY()+7,"Soon","Later")))))</f>
        <v/>
      </c>
      <c r="X32" s="15" t="str">
        <f aca="true">IF(OR(A32="",V32=""),"",TODAY()-V32)</f>
        <v/>
      </c>
      <c r="Y32" s="15" t="str">
        <f aca="false">IF(A32="","",IFERROR(INDEX(Lists!$I$5:$I$12,MATCH(I32,Lists!$G$5:$G$12,0)),""))</f>
        <v/>
      </c>
      <c r="Z32" s="15" t="str">
        <f aca="false">IF(AND(X32&lt;&gt;"",X32&gt;=0),X32+ROW()/100000,"")</f>
        <v/>
      </c>
    </row>
    <row r="33" customFormat="false" ht="15" hidden="false" customHeight="false" outlineLevel="0" collapsed="false">
      <c r="H33" s="29"/>
      <c r="I33" s="29"/>
      <c r="J33" s="28"/>
      <c r="K33" s="28"/>
      <c r="L33" s="28"/>
      <c r="M33" s="30"/>
      <c r="O33" s="28"/>
      <c r="S33" s="28"/>
      <c r="T33" s="10" t="str">
        <f aca="false">IF(A33="","",IF(COUNTIF(Touches!$B$2:$B$501,A33)=0,"",SUMPRODUCT(MAX((Touches!$B$2:$B$501=A33)*Touches!$A$2:$A$501))))</f>
        <v/>
      </c>
      <c r="U33" s="15" t="str">
        <f aca="false">IF(A33="","",IF(N33&lt;&gt;"",N33,IFERROR(INDEX(Lists!$H$5:$H$12,MATCH(I33,Lists!$G$5:$G$12,0)),"")))</f>
        <v/>
      </c>
      <c r="V33" s="10" t="str">
        <f aca="true">IF(A33="","",IF(O33&lt;&gt;"",O33,IF(OR(U33="",U33="never",U33=0),"",IF(T33="",TODAY(),T33+U33))))</f>
        <v/>
      </c>
      <c r="W33" s="17" t="str">
        <f aca="true">IF(A33="","",IF(V33="","no rhythm",IF(V33&lt;TODAY(),"Overdue",IF(V33=TODAY(),"Today",IF(V33&lt;=TODAY()+7,"Soon","Later")))))</f>
        <v/>
      </c>
      <c r="X33" s="15" t="str">
        <f aca="true">IF(OR(A33="",V33=""),"",TODAY()-V33)</f>
        <v/>
      </c>
      <c r="Y33" s="15" t="str">
        <f aca="false">IF(A33="","",IFERROR(INDEX(Lists!$I$5:$I$12,MATCH(I33,Lists!$G$5:$G$12,0)),""))</f>
        <v/>
      </c>
      <c r="Z33" s="15" t="str">
        <f aca="false">IF(AND(X33&lt;&gt;"",X33&gt;=0),X33+ROW()/100000,"")</f>
        <v/>
      </c>
    </row>
    <row r="34" customFormat="false" ht="15" hidden="false" customHeight="false" outlineLevel="0" collapsed="false">
      <c r="H34" s="29"/>
      <c r="I34" s="29"/>
      <c r="J34" s="28"/>
      <c r="K34" s="28"/>
      <c r="L34" s="28"/>
      <c r="M34" s="30"/>
      <c r="O34" s="28"/>
      <c r="S34" s="28"/>
      <c r="T34" s="10" t="str">
        <f aca="false">IF(A34="","",IF(COUNTIF(Touches!$B$2:$B$501,A34)=0,"",SUMPRODUCT(MAX((Touches!$B$2:$B$501=A34)*Touches!$A$2:$A$501))))</f>
        <v/>
      </c>
      <c r="U34" s="15" t="str">
        <f aca="false">IF(A34="","",IF(N34&lt;&gt;"",N34,IFERROR(INDEX(Lists!$H$5:$H$12,MATCH(I34,Lists!$G$5:$G$12,0)),"")))</f>
        <v/>
      </c>
      <c r="V34" s="10" t="str">
        <f aca="true">IF(A34="","",IF(O34&lt;&gt;"",O34,IF(OR(U34="",U34="never",U34=0),"",IF(T34="",TODAY(),T34+U34))))</f>
        <v/>
      </c>
      <c r="W34" s="17" t="str">
        <f aca="true">IF(A34="","",IF(V34="","no rhythm",IF(V34&lt;TODAY(),"Overdue",IF(V34=TODAY(),"Today",IF(V34&lt;=TODAY()+7,"Soon","Later")))))</f>
        <v/>
      </c>
      <c r="X34" s="15" t="str">
        <f aca="true">IF(OR(A34="",V34=""),"",TODAY()-V34)</f>
        <v/>
      </c>
      <c r="Y34" s="15" t="str">
        <f aca="false">IF(A34="","",IFERROR(INDEX(Lists!$I$5:$I$12,MATCH(I34,Lists!$G$5:$G$12,0)),""))</f>
        <v/>
      </c>
      <c r="Z34" s="15" t="str">
        <f aca="false">IF(AND(X34&lt;&gt;"",X34&gt;=0),X34+ROW()/100000,"")</f>
        <v/>
      </c>
    </row>
    <row r="35" customFormat="false" ht="15" hidden="false" customHeight="false" outlineLevel="0" collapsed="false">
      <c r="H35" s="29"/>
      <c r="I35" s="29"/>
      <c r="J35" s="28"/>
      <c r="K35" s="28"/>
      <c r="L35" s="28"/>
      <c r="M35" s="30"/>
      <c r="O35" s="28"/>
      <c r="S35" s="28"/>
      <c r="T35" s="10" t="str">
        <f aca="false">IF(A35="","",IF(COUNTIF(Touches!$B$2:$B$501,A35)=0,"",SUMPRODUCT(MAX((Touches!$B$2:$B$501=A35)*Touches!$A$2:$A$501))))</f>
        <v/>
      </c>
      <c r="U35" s="15" t="str">
        <f aca="false">IF(A35="","",IF(N35&lt;&gt;"",N35,IFERROR(INDEX(Lists!$H$5:$H$12,MATCH(I35,Lists!$G$5:$G$12,0)),"")))</f>
        <v/>
      </c>
      <c r="V35" s="10" t="str">
        <f aca="true">IF(A35="","",IF(O35&lt;&gt;"",O35,IF(OR(U35="",U35="never",U35=0),"",IF(T35="",TODAY(),T35+U35))))</f>
        <v/>
      </c>
      <c r="W35" s="17" t="str">
        <f aca="true">IF(A35="","",IF(V35="","no rhythm",IF(V35&lt;TODAY(),"Overdue",IF(V35=TODAY(),"Today",IF(V35&lt;=TODAY()+7,"Soon","Later")))))</f>
        <v/>
      </c>
      <c r="X35" s="15" t="str">
        <f aca="true">IF(OR(A35="",V35=""),"",TODAY()-V35)</f>
        <v/>
      </c>
      <c r="Y35" s="15" t="str">
        <f aca="false">IF(A35="","",IFERROR(INDEX(Lists!$I$5:$I$12,MATCH(I35,Lists!$G$5:$G$12,0)),""))</f>
        <v/>
      </c>
      <c r="Z35" s="15" t="str">
        <f aca="false">IF(AND(X35&lt;&gt;"",X35&gt;=0),X35+ROW()/100000,"")</f>
        <v/>
      </c>
    </row>
    <row r="36" customFormat="false" ht="15" hidden="false" customHeight="false" outlineLevel="0" collapsed="false">
      <c r="H36" s="29"/>
      <c r="I36" s="29"/>
      <c r="J36" s="28"/>
      <c r="K36" s="28"/>
      <c r="L36" s="28"/>
      <c r="M36" s="30"/>
      <c r="O36" s="28"/>
      <c r="S36" s="28"/>
      <c r="T36" s="10" t="str">
        <f aca="false">IF(A36="","",IF(COUNTIF(Touches!$B$2:$B$501,A36)=0,"",SUMPRODUCT(MAX((Touches!$B$2:$B$501=A36)*Touches!$A$2:$A$501))))</f>
        <v/>
      </c>
      <c r="U36" s="15" t="str">
        <f aca="false">IF(A36="","",IF(N36&lt;&gt;"",N36,IFERROR(INDEX(Lists!$H$5:$H$12,MATCH(I36,Lists!$G$5:$G$12,0)),"")))</f>
        <v/>
      </c>
      <c r="V36" s="10" t="str">
        <f aca="true">IF(A36="","",IF(O36&lt;&gt;"",O36,IF(OR(U36="",U36="never",U36=0),"",IF(T36="",TODAY(),T36+U36))))</f>
        <v/>
      </c>
      <c r="W36" s="17" t="str">
        <f aca="true">IF(A36="","",IF(V36="","no rhythm",IF(V36&lt;TODAY(),"Overdue",IF(V36=TODAY(),"Today",IF(V36&lt;=TODAY()+7,"Soon","Later")))))</f>
        <v/>
      </c>
      <c r="X36" s="15" t="str">
        <f aca="true">IF(OR(A36="",V36=""),"",TODAY()-V36)</f>
        <v/>
      </c>
      <c r="Y36" s="15" t="str">
        <f aca="false">IF(A36="","",IFERROR(INDEX(Lists!$I$5:$I$12,MATCH(I36,Lists!$G$5:$G$12,0)),""))</f>
        <v/>
      </c>
      <c r="Z36" s="15" t="str">
        <f aca="false">IF(AND(X36&lt;&gt;"",X36&gt;=0),X36+ROW()/100000,"")</f>
        <v/>
      </c>
    </row>
    <row r="37" customFormat="false" ht="15" hidden="false" customHeight="false" outlineLevel="0" collapsed="false">
      <c r="H37" s="29"/>
      <c r="I37" s="29"/>
      <c r="J37" s="28"/>
      <c r="K37" s="28"/>
      <c r="L37" s="28"/>
      <c r="M37" s="30"/>
      <c r="O37" s="28"/>
      <c r="S37" s="28"/>
      <c r="T37" s="10" t="str">
        <f aca="false">IF(A37="","",IF(COUNTIF(Touches!$B$2:$B$501,A37)=0,"",SUMPRODUCT(MAX((Touches!$B$2:$B$501=A37)*Touches!$A$2:$A$501))))</f>
        <v/>
      </c>
      <c r="U37" s="15" t="str">
        <f aca="false">IF(A37="","",IF(N37&lt;&gt;"",N37,IFERROR(INDEX(Lists!$H$5:$H$12,MATCH(I37,Lists!$G$5:$G$12,0)),"")))</f>
        <v/>
      </c>
      <c r="V37" s="10" t="str">
        <f aca="true">IF(A37="","",IF(O37&lt;&gt;"",O37,IF(OR(U37="",U37="never",U37=0),"",IF(T37="",TODAY(),T37+U37))))</f>
        <v/>
      </c>
      <c r="W37" s="17" t="str">
        <f aca="true">IF(A37="","",IF(V37="","no rhythm",IF(V37&lt;TODAY(),"Overdue",IF(V37=TODAY(),"Today",IF(V37&lt;=TODAY()+7,"Soon","Later")))))</f>
        <v/>
      </c>
      <c r="X37" s="15" t="str">
        <f aca="true">IF(OR(A37="",V37=""),"",TODAY()-V37)</f>
        <v/>
      </c>
      <c r="Y37" s="15" t="str">
        <f aca="false">IF(A37="","",IFERROR(INDEX(Lists!$I$5:$I$12,MATCH(I37,Lists!$G$5:$G$12,0)),""))</f>
        <v/>
      </c>
      <c r="Z37" s="15" t="str">
        <f aca="false">IF(AND(X37&lt;&gt;"",X37&gt;=0),X37+ROW()/100000,"")</f>
        <v/>
      </c>
    </row>
    <row r="38" customFormat="false" ht="15" hidden="false" customHeight="false" outlineLevel="0" collapsed="false">
      <c r="H38" s="29"/>
      <c r="I38" s="29"/>
      <c r="J38" s="28"/>
      <c r="K38" s="28"/>
      <c r="L38" s="28"/>
      <c r="M38" s="30"/>
      <c r="O38" s="28"/>
      <c r="S38" s="28"/>
      <c r="T38" s="10" t="str">
        <f aca="false">IF(A38="","",IF(COUNTIF(Touches!$B$2:$B$501,A38)=0,"",SUMPRODUCT(MAX((Touches!$B$2:$B$501=A38)*Touches!$A$2:$A$501))))</f>
        <v/>
      </c>
      <c r="U38" s="15" t="str">
        <f aca="false">IF(A38="","",IF(N38&lt;&gt;"",N38,IFERROR(INDEX(Lists!$H$5:$H$12,MATCH(I38,Lists!$G$5:$G$12,0)),"")))</f>
        <v/>
      </c>
      <c r="V38" s="10" t="str">
        <f aca="true">IF(A38="","",IF(O38&lt;&gt;"",O38,IF(OR(U38="",U38="never",U38=0),"",IF(T38="",TODAY(),T38+U38))))</f>
        <v/>
      </c>
      <c r="W38" s="17" t="str">
        <f aca="true">IF(A38="","",IF(V38="","no rhythm",IF(V38&lt;TODAY(),"Overdue",IF(V38=TODAY(),"Today",IF(V38&lt;=TODAY()+7,"Soon","Later")))))</f>
        <v/>
      </c>
      <c r="X38" s="15" t="str">
        <f aca="true">IF(OR(A38="",V38=""),"",TODAY()-V38)</f>
        <v/>
      </c>
      <c r="Y38" s="15" t="str">
        <f aca="false">IF(A38="","",IFERROR(INDEX(Lists!$I$5:$I$12,MATCH(I38,Lists!$G$5:$G$12,0)),""))</f>
        <v/>
      </c>
      <c r="Z38" s="15" t="str">
        <f aca="false">IF(AND(X38&lt;&gt;"",X38&gt;=0),X38+ROW()/100000,"")</f>
        <v/>
      </c>
    </row>
    <row r="39" customFormat="false" ht="15" hidden="false" customHeight="false" outlineLevel="0" collapsed="false">
      <c r="H39" s="29"/>
      <c r="I39" s="29"/>
      <c r="J39" s="28"/>
      <c r="K39" s="28"/>
      <c r="L39" s="28"/>
      <c r="M39" s="30"/>
      <c r="O39" s="28"/>
      <c r="S39" s="28"/>
      <c r="T39" s="10" t="str">
        <f aca="false">IF(A39="","",IF(COUNTIF(Touches!$B$2:$B$501,A39)=0,"",SUMPRODUCT(MAX((Touches!$B$2:$B$501=A39)*Touches!$A$2:$A$501))))</f>
        <v/>
      </c>
      <c r="U39" s="15" t="str">
        <f aca="false">IF(A39="","",IF(N39&lt;&gt;"",N39,IFERROR(INDEX(Lists!$H$5:$H$12,MATCH(I39,Lists!$G$5:$G$12,0)),"")))</f>
        <v/>
      </c>
      <c r="V39" s="10" t="str">
        <f aca="true">IF(A39="","",IF(O39&lt;&gt;"",O39,IF(OR(U39="",U39="never",U39=0),"",IF(T39="",TODAY(),T39+U39))))</f>
        <v/>
      </c>
      <c r="W39" s="17" t="str">
        <f aca="true">IF(A39="","",IF(V39="","no rhythm",IF(V39&lt;TODAY(),"Overdue",IF(V39=TODAY(),"Today",IF(V39&lt;=TODAY()+7,"Soon","Later")))))</f>
        <v/>
      </c>
      <c r="X39" s="15" t="str">
        <f aca="true">IF(OR(A39="",V39=""),"",TODAY()-V39)</f>
        <v/>
      </c>
      <c r="Y39" s="15" t="str">
        <f aca="false">IF(A39="","",IFERROR(INDEX(Lists!$I$5:$I$12,MATCH(I39,Lists!$G$5:$G$12,0)),""))</f>
        <v/>
      </c>
      <c r="Z39" s="15" t="str">
        <f aca="false">IF(AND(X39&lt;&gt;"",X39&gt;=0),X39+ROW()/100000,"")</f>
        <v/>
      </c>
    </row>
    <row r="40" customFormat="false" ht="15" hidden="false" customHeight="false" outlineLevel="0" collapsed="false">
      <c r="H40" s="29"/>
      <c r="I40" s="29"/>
      <c r="J40" s="28"/>
      <c r="K40" s="28"/>
      <c r="L40" s="28"/>
      <c r="M40" s="30"/>
      <c r="O40" s="28"/>
      <c r="S40" s="28"/>
      <c r="T40" s="10" t="str">
        <f aca="false">IF(A40="","",IF(COUNTIF(Touches!$B$2:$B$501,A40)=0,"",SUMPRODUCT(MAX((Touches!$B$2:$B$501=A40)*Touches!$A$2:$A$501))))</f>
        <v/>
      </c>
      <c r="U40" s="15" t="str">
        <f aca="false">IF(A40="","",IF(N40&lt;&gt;"",N40,IFERROR(INDEX(Lists!$H$5:$H$12,MATCH(I40,Lists!$G$5:$G$12,0)),"")))</f>
        <v/>
      </c>
      <c r="V40" s="10" t="str">
        <f aca="true">IF(A40="","",IF(O40&lt;&gt;"",O40,IF(OR(U40="",U40="never",U40=0),"",IF(T40="",TODAY(),T40+U40))))</f>
        <v/>
      </c>
      <c r="W40" s="17" t="str">
        <f aca="true">IF(A40="","",IF(V40="","no rhythm",IF(V40&lt;TODAY(),"Overdue",IF(V40=TODAY(),"Today",IF(V40&lt;=TODAY()+7,"Soon","Later")))))</f>
        <v/>
      </c>
      <c r="X40" s="15" t="str">
        <f aca="true">IF(OR(A40="",V40=""),"",TODAY()-V40)</f>
        <v/>
      </c>
      <c r="Y40" s="15" t="str">
        <f aca="false">IF(A40="","",IFERROR(INDEX(Lists!$I$5:$I$12,MATCH(I40,Lists!$G$5:$G$12,0)),""))</f>
        <v/>
      </c>
      <c r="Z40" s="15" t="str">
        <f aca="false">IF(AND(X40&lt;&gt;"",X40&gt;=0),X40+ROW()/100000,"")</f>
        <v/>
      </c>
    </row>
    <row r="41" customFormat="false" ht="15" hidden="false" customHeight="false" outlineLevel="0" collapsed="false">
      <c r="H41" s="29"/>
      <c r="I41" s="29"/>
      <c r="J41" s="28"/>
      <c r="K41" s="28"/>
      <c r="L41" s="28"/>
      <c r="M41" s="30"/>
      <c r="O41" s="28"/>
      <c r="S41" s="28"/>
      <c r="T41" s="10" t="str">
        <f aca="false">IF(A41="","",IF(COUNTIF(Touches!$B$2:$B$501,A41)=0,"",SUMPRODUCT(MAX((Touches!$B$2:$B$501=A41)*Touches!$A$2:$A$501))))</f>
        <v/>
      </c>
      <c r="U41" s="15" t="str">
        <f aca="false">IF(A41="","",IF(N41&lt;&gt;"",N41,IFERROR(INDEX(Lists!$H$5:$H$12,MATCH(I41,Lists!$G$5:$G$12,0)),"")))</f>
        <v/>
      </c>
      <c r="V41" s="10" t="str">
        <f aca="true">IF(A41="","",IF(O41&lt;&gt;"",O41,IF(OR(U41="",U41="never",U41=0),"",IF(T41="",TODAY(),T41+U41))))</f>
        <v/>
      </c>
      <c r="W41" s="17" t="str">
        <f aca="true">IF(A41="","",IF(V41="","no rhythm",IF(V41&lt;TODAY(),"Overdue",IF(V41=TODAY(),"Today",IF(V41&lt;=TODAY()+7,"Soon","Later")))))</f>
        <v/>
      </c>
      <c r="X41" s="15" t="str">
        <f aca="true">IF(OR(A41="",V41=""),"",TODAY()-V41)</f>
        <v/>
      </c>
      <c r="Y41" s="15" t="str">
        <f aca="false">IF(A41="","",IFERROR(INDEX(Lists!$I$5:$I$12,MATCH(I41,Lists!$G$5:$G$12,0)),""))</f>
        <v/>
      </c>
      <c r="Z41" s="15" t="str">
        <f aca="false">IF(AND(X41&lt;&gt;"",X41&gt;=0),X41+ROW()/100000,"")</f>
        <v/>
      </c>
    </row>
    <row r="42" customFormat="false" ht="15" hidden="false" customHeight="false" outlineLevel="0" collapsed="false">
      <c r="H42" s="29"/>
      <c r="I42" s="29"/>
      <c r="J42" s="28"/>
      <c r="K42" s="28"/>
      <c r="L42" s="28"/>
      <c r="M42" s="30"/>
      <c r="O42" s="28"/>
      <c r="S42" s="28"/>
      <c r="T42" s="10" t="str">
        <f aca="false">IF(A42="","",IF(COUNTIF(Touches!$B$2:$B$501,A42)=0,"",SUMPRODUCT(MAX((Touches!$B$2:$B$501=A42)*Touches!$A$2:$A$501))))</f>
        <v/>
      </c>
      <c r="U42" s="15" t="str">
        <f aca="false">IF(A42="","",IF(N42&lt;&gt;"",N42,IFERROR(INDEX(Lists!$H$5:$H$12,MATCH(I42,Lists!$G$5:$G$12,0)),"")))</f>
        <v/>
      </c>
      <c r="V42" s="10" t="str">
        <f aca="true">IF(A42="","",IF(O42&lt;&gt;"",O42,IF(OR(U42="",U42="never",U42=0),"",IF(T42="",TODAY(),T42+U42))))</f>
        <v/>
      </c>
      <c r="W42" s="17" t="str">
        <f aca="true">IF(A42="","",IF(V42="","no rhythm",IF(V42&lt;TODAY(),"Overdue",IF(V42=TODAY(),"Today",IF(V42&lt;=TODAY()+7,"Soon","Later")))))</f>
        <v/>
      </c>
      <c r="X42" s="15" t="str">
        <f aca="true">IF(OR(A42="",V42=""),"",TODAY()-V42)</f>
        <v/>
      </c>
      <c r="Y42" s="15" t="str">
        <f aca="false">IF(A42="","",IFERROR(INDEX(Lists!$I$5:$I$12,MATCH(I42,Lists!$G$5:$G$12,0)),""))</f>
        <v/>
      </c>
      <c r="Z42" s="15" t="str">
        <f aca="false">IF(AND(X42&lt;&gt;"",X42&gt;=0),X42+ROW()/100000,"")</f>
        <v/>
      </c>
    </row>
    <row r="43" customFormat="false" ht="15" hidden="false" customHeight="false" outlineLevel="0" collapsed="false">
      <c r="H43" s="29"/>
      <c r="I43" s="29"/>
      <c r="J43" s="28"/>
      <c r="K43" s="28"/>
      <c r="L43" s="28"/>
      <c r="M43" s="30"/>
      <c r="O43" s="28"/>
      <c r="S43" s="28"/>
      <c r="T43" s="10" t="str">
        <f aca="false">IF(A43="","",IF(COUNTIF(Touches!$B$2:$B$501,A43)=0,"",SUMPRODUCT(MAX((Touches!$B$2:$B$501=A43)*Touches!$A$2:$A$501))))</f>
        <v/>
      </c>
      <c r="U43" s="15" t="str">
        <f aca="false">IF(A43="","",IF(N43&lt;&gt;"",N43,IFERROR(INDEX(Lists!$H$5:$H$12,MATCH(I43,Lists!$G$5:$G$12,0)),"")))</f>
        <v/>
      </c>
      <c r="V43" s="10" t="str">
        <f aca="true">IF(A43="","",IF(O43&lt;&gt;"",O43,IF(OR(U43="",U43="never",U43=0),"",IF(T43="",TODAY(),T43+U43))))</f>
        <v/>
      </c>
      <c r="W43" s="17" t="str">
        <f aca="true">IF(A43="","",IF(V43="","no rhythm",IF(V43&lt;TODAY(),"Overdue",IF(V43=TODAY(),"Today",IF(V43&lt;=TODAY()+7,"Soon","Later")))))</f>
        <v/>
      </c>
      <c r="X43" s="15" t="str">
        <f aca="true">IF(OR(A43="",V43=""),"",TODAY()-V43)</f>
        <v/>
      </c>
      <c r="Y43" s="15" t="str">
        <f aca="false">IF(A43="","",IFERROR(INDEX(Lists!$I$5:$I$12,MATCH(I43,Lists!$G$5:$G$12,0)),""))</f>
        <v/>
      </c>
      <c r="Z43" s="15" t="str">
        <f aca="false">IF(AND(X43&lt;&gt;"",X43&gt;=0),X43+ROW()/100000,"")</f>
        <v/>
      </c>
    </row>
    <row r="44" customFormat="false" ht="15" hidden="false" customHeight="false" outlineLevel="0" collapsed="false">
      <c r="H44" s="29"/>
      <c r="I44" s="29"/>
      <c r="J44" s="28"/>
      <c r="K44" s="28"/>
      <c r="L44" s="28"/>
      <c r="M44" s="30"/>
      <c r="O44" s="28"/>
      <c r="S44" s="28"/>
      <c r="T44" s="10" t="str">
        <f aca="false">IF(A44="","",IF(COUNTIF(Touches!$B$2:$B$501,A44)=0,"",SUMPRODUCT(MAX((Touches!$B$2:$B$501=A44)*Touches!$A$2:$A$501))))</f>
        <v/>
      </c>
      <c r="U44" s="15" t="str">
        <f aca="false">IF(A44="","",IF(N44&lt;&gt;"",N44,IFERROR(INDEX(Lists!$H$5:$H$12,MATCH(I44,Lists!$G$5:$G$12,0)),"")))</f>
        <v/>
      </c>
      <c r="V44" s="10" t="str">
        <f aca="true">IF(A44="","",IF(O44&lt;&gt;"",O44,IF(OR(U44="",U44="never",U44=0),"",IF(T44="",TODAY(),T44+U44))))</f>
        <v/>
      </c>
      <c r="W44" s="17" t="str">
        <f aca="true">IF(A44="","",IF(V44="","no rhythm",IF(V44&lt;TODAY(),"Overdue",IF(V44=TODAY(),"Today",IF(V44&lt;=TODAY()+7,"Soon","Later")))))</f>
        <v/>
      </c>
      <c r="X44" s="15" t="str">
        <f aca="true">IF(OR(A44="",V44=""),"",TODAY()-V44)</f>
        <v/>
      </c>
      <c r="Y44" s="15" t="str">
        <f aca="false">IF(A44="","",IFERROR(INDEX(Lists!$I$5:$I$12,MATCH(I44,Lists!$G$5:$G$12,0)),""))</f>
        <v/>
      </c>
      <c r="Z44" s="15" t="str">
        <f aca="false">IF(AND(X44&lt;&gt;"",X44&gt;=0),X44+ROW()/100000,"")</f>
        <v/>
      </c>
    </row>
    <row r="45" customFormat="false" ht="15" hidden="false" customHeight="false" outlineLevel="0" collapsed="false">
      <c r="H45" s="29"/>
      <c r="I45" s="29"/>
      <c r="J45" s="28"/>
      <c r="K45" s="28"/>
      <c r="L45" s="28"/>
      <c r="M45" s="30"/>
      <c r="O45" s="28"/>
      <c r="S45" s="28"/>
      <c r="T45" s="10" t="str">
        <f aca="false">IF(A45="","",IF(COUNTIF(Touches!$B$2:$B$501,A45)=0,"",SUMPRODUCT(MAX((Touches!$B$2:$B$501=A45)*Touches!$A$2:$A$501))))</f>
        <v/>
      </c>
      <c r="U45" s="15" t="str">
        <f aca="false">IF(A45="","",IF(N45&lt;&gt;"",N45,IFERROR(INDEX(Lists!$H$5:$H$12,MATCH(I45,Lists!$G$5:$G$12,0)),"")))</f>
        <v/>
      </c>
      <c r="V45" s="10" t="str">
        <f aca="true">IF(A45="","",IF(O45&lt;&gt;"",O45,IF(OR(U45="",U45="never",U45=0),"",IF(T45="",TODAY(),T45+U45))))</f>
        <v/>
      </c>
      <c r="W45" s="17" t="str">
        <f aca="true">IF(A45="","",IF(V45="","no rhythm",IF(V45&lt;TODAY(),"Overdue",IF(V45=TODAY(),"Today",IF(V45&lt;=TODAY()+7,"Soon","Later")))))</f>
        <v/>
      </c>
      <c r="X45" s="15" t="str">
        <f aca="true">IF(OR(A45="",V45=""),"",TODAY()-V45)</f>
        <v/>
      </c>
      <c r="Y45" s="15" t="str">
        <f aca="false">IF(A45="","",IFERROR(INDEX(Lists!$I$5:$I$12,MATCH(I45,Lists!$G$5:$G$12,0)),""))</f>
        <v/>
      </c>
      <c r="Z45" s="15" t="str">
        <f aca="false">IF(AND(X45&lt;&gt;"",X45&gt;=0),X45+ROW()/100000,"")</f>
        <v/>
      </c>
    </row>
    <row r="46" customFormat="false" ht="15" hidden="false" customHeight="false" outlineLevel="0" collapsed="false">
      <c r="H46" s="29"/>
      <c r="I46" s="29"/>
      <c r="J46" s="28"/>
      <c r="K46" s="28"/>
      <c r="L46" s="28"/>
      <c r="M46" s="30"/>
      <c r="O46" s="28"/>
      <c r="S46" s="28"/>
      <c r="T46" s="10" t="str">
        <f aca="false">IF(A46="","",IF(COUNTIF(Touches!$B$2:$B$501,A46)=0,"",SUMPRODUCT(MAX((Touches!$B$2:$B$501=A46)*Touches!$A$2:$A$501))))</f>
        <v/>
      </c>
      <c r="U46" s="15" t="str">
        <f aca="false">IF(A46="","",IF(N46&lt;&gt;"",N46,IFERROR(INDEX(Lists!$H$5:$H$12,MATCH(I46,Lists!$G$5:$G$12,0)),"")))</f>
        <v/>
      </c>
      <c r="V46" s="10" t="str">
        <f aca="true">IF(A46="","",IF(O46&lt;&gt;"",O46,IF(OR(U46="",U46="never",U46=0),"",IF(T46="",TODAY(),T46+U46))))</f>
        <v/>
      </c>
      <c r="W46" s="17" t="str">
        <f aca="true">IF(A46="","",IF(V46="","no rhythm",IF(V46&lt;TODAY(),"Overdue",IF(V46=TODAY(),"Today",IF(V46&lt;=TODAY()+7,"Soon","Later")))))</f>
        <v/>
      </c>
      <c r="X46" s="15" t="str">
        <f aca="true">IF(OR(A46="",V46=""),"",TODAY()-V46)</f>
        <v/>
      </c>
      <c r="Y46" s="15" t="str">
        <f aca="false">IF(A46="","",IFERROR(INDEX(Lists!$I$5:$I$12,MATCH(I46,Lists!$G$5:$G$12,0)),""))</f>
        <v/>
      </c>
      <c r="Z46" s="15" t="str">
        <f aca="false">IF(AND(X46&lt;&gt;"",X46&gt;=0),X46+ROW()/100000,"")</f>
        <v/>
      </c>
    </row>
    <row r="47" customFormat="false" ht="15" hidden="false" customHeight="false" outlineLevel="0" collapsed="false">
      <c r="H47" s="29"/>
      <c r="I47" s="29"/>
      <c r="J47" s="28"/>
      <c r="K47" s="28"/>
      <c r="L47" s="28"/>
      <c r="M47" s="30"/>
      <c r="O47" s="28"/>
      <c r="S47" s="28"/>
      <c r="T47" s="10" t="str">
        <f aca="false">IF(A47="","",IF(COUNTIF(Touches!$B$2:$B$501,A47)=0,"",SUMPRODUCT(MAX((Touches!$B$2:$B$501=A47)*Touches!$A$2:$A$501))))</f>
        <v/>
      </c>
      <c r="U47" s="15" t="str">
        <f aca="false">IF(A47="","",IF(N47&lt;&gt;"",N47,IFERROR(INDEX(Lists!$H$5:$H$12,MATCH(I47,Lists!$G$5:$G$12,0)),"")))</f>
        <v/>
      </c>
      <c r="V47" s="10" t="str">
        <f aca="true">IF(A47="","",IF(O47&lt;&gt;"",O47,IF(OR(U47="",U47="never",U47=0),"",IF(T47="",TODAY(),T47+U47))))</f>
        <v/>
      </c>
      <c r="W47" s="17" t="str">
        <f aca="true">IF(A47="","",IF(V47="","no rhythm",IF(V47&lt;TODAY(),"Overdue",IF(V47=TODAY(),"Today",IF(V47&lt;=TODAY()+7,"Soon","Later")))))</f>
        <v/>
      </c>
      <c r="X47" s="15" t="str">
        <f aca="true">IF(OR(A47="",V47=""),"",TODAY()-V47)</f>
        <v/>
      </c>
      <c r="Y47" s="15" t="str">
        <f aca="false">IF(A47="","",IFERROR(INDEX(Lists!$I$5:$I$12,MATCH(I47,Lists!$G$5:$G$12,0)),""))</f>
        <v/>
      </c>
      <c r="Z47" s="15" t="str">
        <f aca="false">IF(AND(X47&lt;&gt;"",X47&gt;=0),X47+ROW()/100000,"")</f>
        <v/>
      </c>
    </row>
    <row r="48" customFormat="false" ht="15" hidden="false" customHeight="false" outlineLevel="0" collapsed="false">
      <c r="H48" s="29"/>
      <c r="I48" s="29"/>
      <c r="J48" s="28"/>
      <c r="K48" s="28"/>
      <c r="L48" s="28"/>
      <c r="M48" s="30"/>
      <c r="O48" s="28"/>
      <c r="S48" s="28"/>
      <c r="T48" s="10" t="str">
        <f aca="false">IF(A48="","",IF(COUNTIF(Touches!$B$2:$B$501,A48)=0,"",SUMPRODUCT(MAX((Touches!$B$2:$B$501=A48)*Touches!$A$2:$A$501))))</f>
        <v/>
      </c>
      <c r="U48" s="15" t="str">
        <f aca="false">IF(A48="","",IF(N48&lt;&gt;"",N48,IFERROR(INDEX(Lists!$H$5:$H$12,MATCH(I48,Lists!$G$5:$G$12,0)),"")))</f>
        <v/>
      </c>
      <c r="V48" s="10" t="str">
        <f aca="true">IF(A48="","",IF(O48&lt;&gt;"",O48,IF(OR(U48="",U48="never",U48=0),"",IF(T48="",TODAY(),T48+U48))))</f>
        <v/>
      </c>
      <c r="W48" s="17" t="str">
        <f aca="true">IF(A48="","",IF(V48="","no rhythm",IF(V48&lt;TODAY(),"Overdue",IF(V48=TODAY(),"Today",IF(V48&lt;=TODAY()+7,"Soon","Later")))))</f>
        <v/>
      </c>
      <c r="X48" s="15" t="str">
        <f aca="true">IF(OR(A48="",V48=""),"",TODAY()-V48)</f>
        <v/>
      </c>
      <c r="Y48" s="15" t="str">
        <f aca="false">IF(A48="","",IFERROR(INDEX(Lists!$I$5:$I$12,MATCH(I48,Lists!$G$5:$G$12,0)),""))</f>
        <v/>
      </c>
      <c r="Z48" s="15" t="str">
        <f aca="false">IF(AND(X48&lt;&gt;"",X48&gt;=0),X48+ROW()/100000,"")</f>
        <v/>
      </c>
    </row>
    <row r="49" customFormat="false" ht="15" hidden="false" customHeight="false" outlineLevel="0" collapsed="false">
      <c r="H49" s="29"/>
      <c r="I49" s="29"/>
      <c r="J49" s="28"/>
      <c r="K49" s="28"/>
      <c r="L49" s="28"/>
      <c r="M49" s="30"/>
      <c r="O49" s="28"/>
      <c r="S49" s="28"/>
      <c r="T49" s="10" t="str">
        <f aca="false">IF(A49="","",IF(COUNTIF(Touches!$B$2:$B$501,A49)=0,"",SUMPRODUCT(MAX((Touches!$B$2:$B$501=A49)*Touches!$A$2:$A$501))))</f>
        <v/>
      </c>
      <c r="U49" s="15" t="str">
        <f aca="false">IF(A49="","",IF(N49&lt;&gt;"",N49,IFERROR(INDEX(Lists!$H$5:$H$12,MATCH(I49,Lists!$G$5:$G$12,0)),"")))</f>
        <v/>
      </c>
      <c r="V49" s="10" t="str">
        <f aca="true">IF(A49="","",IF(O49&lt;&gt;"",O49,IF(OR(U49="",U49="never",U49=0),"",IF(T49="",TODAY(),T49+U49))))</f>
        <v/>
      </c>
      <c r="W49" s="17" t="str">
        <f aca="true">IF(A49="","",IF(V49="","no rhythm",IF(V49&lt;TODAY(),"Overdue",IF(V49=TODAY(),"Today",IF(V49&lt;=TODAY()+7,"Soon","Later")))))</f>
        <v/>
      </c>
      <c r="X49" s="15" t="str">
        <f aca="true">IF(OR(A49="",V49=""),"",TODAY()-V49)</f>
        <v/>
      </c>
      <c r="Y49" s="15" t="str">
        <f aca="false">IF(A49="","",IFERROR(INDEX(Lists!$I$5:$I$12,MATCH(I49,Lists!$G$5:$G$12,0)),""))</f>
        <v/>
      </c>
      <c r="Z49" s="15" t="str">
        <f aca="false">IF(AND(X49&lt;&gt;"",X49&gt;=0),X49+ROW()/100000,"")</f>
        <v/>
      </c>
    </row>
    <row r="50" customFormat="false" ht="15" hidden="false" customHeight="false" outlineLevel="0" collapsed="false">
      <c r="H50" s="29"/>
      <c r="I50" s="29"/>
      <c r="J50" s="28"/>
      <c r="K50" s="28"/>
      <c r="L50" s="28"/>
      <c r="M50" s="30"/>
      <c r="O50" s="28"/>
      <c r="S50" s="28"/>
      <c r="T50" s="10" t="str">
        <f aca="false">IF(A50="","",IF(COUNTIF(Touches!$B$2:$B$501,A50)=0,"",SUMPRODUCT(MAX((Touches!$B$2:$B$501=A50)*Touches!$A$2:$A$501))))</f>
        <v/>
      </c>
      <c r="U50" s="15" t="str">
        <f aca="false">IF(A50="","",IF(N50&lt;&gt;"",N50,IFERROR(INDEX(Lists!$H$5:$H$12,MATCH(I50,Lists!$G$5:$G$12,0)),"")))</f>
        <v/>
      </c>
      <c r="V50" s="10" t="str">
        <f aca="true">IF(A50="","",IF(O50&lt;&gt;"",O50,IF(OR(U50="",U50="never",U50=0),"",IF(T50="",TODAY(),T50+U50))))</f>
        <v/>
      </c>
      <c r="W50" s="17" t="str">
        <f aca="true">IF(A50="","",IF(V50="","no rhythm",IF(V50&lt;TODAY(),"Overdue",IF(V50=TODAY(),"Today",IF(V50&lt;=TODAY()+7,"Soon","Later")))))</f>
        <v/>
      </c>
      <c r="X50" s="15" t="str">
        <f aca="true">IF(OR(A50="",V50=""),"",TODAY()-V50)</f>
        <v/>
      </c>
      <c r="Y50" s="15" t="str">
        <f aca="false">IF(A50="","",IFERROR(INDEX(Lists!$I$5:$I$12,MATCH(I50,Lists!$G$5:$G$12,0)),""))</f>
        <v/>
      </c>
      <c r="Z50" s="15" t="str">
        <f aca="false">IF(AND(X50&lt;&gt;"",X50&gt;=0),X50+ROW()/100000,"")</f>
        <v/>
      </c>
    </row>
    <row r="51" customFormat="false" ht="15" hidden="false" customHeight="false" outlineLevel="0" collapsed="false">
      <c r="H51" s="29"/>
      <c r="I51" s="29"/>
      <c r="J51" s="28"/>
      <c r="K51" s="28"/>
      <c r="L51" s="28"/>
      <c r="M51" s="30"/>
      <c r="O51" s="28"/>
      <c r="S51" s="28"/>
      <c r="T51" s="10" t="str">
        <f aca="false">IF(A51="","",IF(COUNTIF(Touches!$B$2:$B$501,A51)=0,"",SUMPRODUCT(MAX((Touches!$B$2:$B$501=A51)*Touches!$A$2:$A$501))))</f>
        <v/>
      </c>
      <c r="U51" s="15" t="str">
        <f aca="false">IF(A51="","",IF(N51&lt;&gt;"",N51,IFERROR(INDEX(Lists!$H$5:$H$12,MATCH(I51,Lists!$G$5:$G$12,0)),"")))</f>
        <v/>
      </c>
      <c r="V51" s="10" t="str">
        <f aca="true">IF(A51="","",IF(O51&lt;&gt;"",O51,IF(OR(U51="",U51="never",U51=0),"",IF(T51="",TODAY(),T51+U51))))</f>
        <v/>
      </c>
      <c r="W51" s="17" t="str">
        <f aca="true">IF(A51="","",IF(V51="","no rhythm",IF(V51&lt;TODAY(),"Overdue",IF(V51=TODAY(),"Today",IF(V51&lt;=TODAY()+7,"Soon","Later")))))</f>
        <v/>
      </c>
      <c r="X51" s="15" t="str">
        <f aca="true">IF(OR(A51="",V51=""),"",TODAY()-V51)</f>
        <v/>
      </c>
      <c r="Y51" s="15" t="str">
        <f aca="false">IF(A51="","",IFERROR(INDEX(Lists!$I$5:$I$12,MATCH(I51,Lists!$G$5:$G$12,0)),""))</f>
        <v/>
      </c>
      <c r="Z51" s="15" t="str">
        <f aca="false">IF(AND(X51&lt;&gt;"",X51&gt;=0),X51+ROW()/100000,"")</f>
        <v/>
      </c>
    </row>
    <row r="52" customFormat="false" ht="15" hidden="false" customHeight="false" outlineLevel="0" collapsed="false">
      <c r="H52" s="29"/>
      <c r="I52" s="29"/>
      <c r="J52" s="28"/>
      <c r="K52" s="28"/>
      <c r="L52" s="28"/>
      <c r="M52" s="30"/>
      <c r="O52" s="28"/>
      <c r="S52" s="28"/>
      <c r="T52" s="10" t="str">
        <f aca="false">IF(A52="","",IF(COUNTIF(Touches!$B$2:$B$501,A52)=0,"",SUMPRODUCT(MAX((Touches!$B$2:$B$501=A52)*Touches!$A$2:$A$501))))</f>
        <v/>
      </c>
      <c r="U52" s="15" t="str">
        <f aca="false">IF(A52="","",IF(N52&lt;&gt;"",N52,IFERROR(INDEX(Lists!$H$5:$H$12,MATCH(I52,Lists!$G$5:$G$12,0)),"")))</f>
        <v/>
      </c>
      <c r="V52" s="10" t="str">
        <f aca="true">IF(A52="","",IF(O52&lt;&gt;"",O52,IF(OR(U52="",U52="never",U52=0),"",IF(T52="",TODAY(),T52+U52))))</f>
        <v/>
      </c>
      <c r="W52" s="17" t="str">
        <f aca="true">IF(A52="","",IF(V52="","no rhythm",IF(V52&lt;TODAY(),"Overdue",IF(V52=TODAY(),"Today",IF(V52&lt;=TODAY()+7,"Soon","Later")))))</f>
        <v/>
      </c>
      <c r="X52" s="15" t="str">
        <f aca="true">IF(OR(A52="",V52=""),"",TODAY()-V52)</f>
        <v/>
      </c>
      <c r="Y52" s="15" t="str">
        <f aca="false">IF(A52="","",IFERROR(INDEX(Lists!$I$5:$I$12,MATCH(I52,Lists!$G$5:$G$12,0)),""))</f>
        <v/>
      </c>
      <c r="Z52" s="15" t="str">
        <f aca="false">IF(AND(X52&lt;&gt;"",X52&gt;=0),X52+ROW()/100000,"")</f>
        <v/>
      </c>
    </row>
    <row r="53" customFormat="false" ht="15" hidden="false" customHeight="false" outlineLevel="0" collapsed="false">
      <c r="H53" s="29"/>
      <c r="I53" s="29"/>
      <c r="J53" s="28"/>
      <c r="K53" s="28"/>
      <c r="L53" s="28"/>
      <c r="M53" s="30"/>
      <c r="O53" s="28"/>
      <c r="S53" s="28"/>
      <c r="T53" s="10" t="str">
        <f aca="false">IF(A53="","",IF(COUNTIF(Touches!$B$2:$B$501,A53)=0,"",SUMPRODUCT(MAX((Touches!$B$2:$B$501=A53)*Touches!$A$2:$A$501))))</f>
        <v/>
      </c>
      <c r="U53" s="15" t="str">
        <f aca="false">IF(A53="","",IF(N53&lt;&gt;"",N53,IFERROR(INDEX(Lists!$H$5:$H$12,MATCH(I53,Lists!$G$5:$G$12,0)),"")))</f>
        <v/>
      </c>
      <c r="V53" s="10" t="str">
        <f aca="true">IF(A53="","",IF(O53&lt;&gt;"",O53,IF(OR(U53="",U53="never",U53=0),"",IF(T53="",TODAY(),T53+U53))))</f>
        <v/>
      </c>
      <c r="W53" s="17" t="str">
        <f aca="true">IF(A53="","",IF(V53="","no rhythm",IF(V53&lt;TODAY(),"Overdue",IF(V53=TODAY(),"Today",IF(V53&lt;=TODAY()+7,"Soon","Later")))))</f>
        <v/>
      </c>
      <c r="X53" s="15" t="str">
        <f aca="true">IF(OR(A53="",V53=""),"",TODAY()-V53)</f>
        <v/>
      </c>
      <c r="Y53" s="15" t="str">
        <f aca="false">IF(A53="","",IFERROR(INDEX(Lists!$I$5:$I$12,MATCH(I53,Lists!$G$5:$G$12,0)),""))</f>
        <v/>
      </c>
      <c r="Z53" s="15" t="str">
        <f aca="false">IF(AND(X53&lt;&gt;"",X53&gt;=0),X53+ROW()/100000,"")</f>
        <v/>
      </c>
    </row>
    <row r="54" customFormat="false" ht="15" hidden="false" customHeight="false" outlineLevel="0" collapsed="false">
      <c r="H54" s="29"/>
      <c r="I54" s="29"/>
      <c r="J54" s="28"/>
      <c r="K54" s="28"/>
      <c r="L54" s="28"/>
      <c r="M54" s="30"/>
      <c r="O54" s="28"/>
      <c r="S54" s="28"/>
      <c r="T54" s="10" t="str">
        <f aca="false">IF(A54="","",IF(COUNTIF(Touches!$B$2:$B$501,A54)=0,"",SUMPRODUCT(MAX((Touches!$B$2:$B$501=A54)*Touches!$A$2:$A$501))))</f>
        <v/>
      </c>
      <c r="U54" s="15" t="str">
        <f aca="false">IF(A54="","",IF(N54&lt;&gt;"",N54,IFERROR(INDEX(Lists!$H$5:$H$12,MATCH(I54,Lists!$G$5:$G$12,0)),"")))</f>
        <v/>
      </c>
      <c r="V54" s="10" t="str">
        <f aca="true">IF(A54="","",IF(O54&lt;&gt;"",O54,IF(OR(U54="",U54="never",U54=0),"",IF(T54="",TODAY(),T54+U54))))</f>
        <v/>
      </c>
      <c r="W54" s="17" t="str">
        <f aca="true">IF(A54="","",IF(V54="","no rhythm",IF(V54&lt;TODAY(),"Overdue",IF(V54=TODAY(),"Today",IF(V54&lt;=TODAY()+7,"Soon","Later")))))</f>
        <v/>
      </c>
      <c r="X54" s="15" t="str">
        <f aca="true">IF(OR(A54="",V54=""),"",TODAY()-V54)</f>
        <v/>
      </c>
      <c r="Y54" s="15" t="str">
        <f aca="false">IF(A54="","",IFERROR(INDEX(Lists!$I$5:$I$12,MATCH(I54,Lists!$G$5:$G$12,0)),""))</f>
        <v/>
      </c>
      <c r="Z54" s="15" t="str">
        <f aca="false">IF(AND(X54&lt;&gt;"",X54&gt;=0),X54+ROW()/100000,"")</f>
        <v/>
      </c>
    </row>
    <row r="55" customFormat="false" ht="15" hidden="false" customHeight="false" outlineLevel="0" collapsed="false">
      <c r="H55" s="29"/>
      <c r="I55" s="29"/>
      <c r="J55" s="28"/>
      <c r="K55" s="28"/>
      <c r="L55" s="28"/>
      <c r="M55" s="30"/>
      <c r="O55" s="28"/>
      <c r="S55" s="28"/>
      <c r="T55" s="10" t="str">
        <f aca="false">IF(A55="","",IF(COUNTIF(Touches!$B$2:$B$501,A55)=0,"",SUMPRODUCT(MAX((Touches!$B$2:$B$501=A55)*Touches!$A$2:$A$501))))</f>
        <v/>
      </c>
      <c r="U55" s="15" t="str">
        <f aca="false">IF(A55="","",IF(N55&lt;&gt;"",N55,IFERROR(INDEX(Lists!$H$5:$H$12,MATCH(I55,Lists!$G$5:$G$12,0)),"")))</f>
        <v/>
      </c>
      <c r="V55" s="10" t="str">
        <f aca="true">IF(A55="","",IF(O55&lt;&gt;"",O55,IF(OR(U55="",U55="never",U55=0),"",IF(T55="",TODAY(),T55+U55))))</f>
        <v/>
      </c>
      <c r="W55" s="17" t="str">
        <f aca="true">IF(A55="","",IF(V55="","no rhythm",IF(V55&lt;TODAY(),"Overdue",IF(V55=TODAY(),"Today",IF(V55&lt;=TODAY()+7,"Soon","Later")))))</f>
        <v/>
      </c>
      <c r="X55" s="15" t="str">
        <f aca="true">IF(OR(A55="",V55=""),"",TODAY()-V55)</f>
        <v/>
      </c>
      <c r="Y55" s="15" t="str">
        <f aca="false">IF(A55="","",IFERROR(INDEX(Lists!$I$5:$I$12,MATCH(I55,Lists!$G$5:$G$12,0)),""))</f>
        <v/>
      </c>
      <c r="Z55" s="15" t="str">
        <f aca="false">IF(AND(X55&lt;&gt;"",X55&gt;=0),X55+ROW()/100000,"")</f>
        <v/>
      </c>
    </row>
    <row r="56" customFormat="false" ht="15" hidden="false" customHeight="false" outlineLevel="0" collapsed="false">
      <c r="H56" s="29"/>
      <c r="I56" s="29"/>
      <c r="J56" s="28"/>
      <c r="K56" s="28"/>
      <c r="L56" s="28"/>
      <c r="M56" s="30"/>
      <c r="O56" s="28"/>
      <c r="S56" s="28"/>
      <c r="T56" s="10" t="str">
        <f aca="false">IF(A56="","",IF(COUNTIF(Touches!$B$2:$B$501,A56)=0,"",SUMPRODUCT(MAX((Touches!$B$2:$B$501=A56)*Touches!$A$2:$A$501))))</f>
        <v/>
      </c>
      <c r="U56" s="15" t="str">
        <f aca="false">IF(A56="","",IF(N56&lt;&gt;"",N56,IFERROR(INDEX(Lists!$H$5:$H$12,MATCH(I56,Lists!$G$5:$G$12,0)),"")))</f>
        <v/>
      </c>
      <c r="V56" s="10" t="str">
        <f aca="true">IF(A56="","",IF(O56&lt;&gt;"",O56,IF(OR(U56="",U56="never",U56=0),"",IF(T56="",TODAY(),T56+U56))))</f>
        <v/>
      </c>
      <c r="W56" s="17" t="str">
        <f aca="true">IF(A56="","",IF(V56="","no rhythm",IF(V56&lt;TODAY(),"Overdue",IF(V56=TODAY(),"Today",IF(V56&lt;=TODAY()+7,"Soon","Later")))))</f>
        <v/>
      </c>
      <c r="X56" s="15" t="str">
        <f aca="true">IF(OR(A56="",V56=""),"",TODAY()-V56)</f>
        <v/>
      </c>
      <c r="Y56" s="15" t="str">
        <f aca="false">IF(A56="","",IFERROR(INDEX(Lists!$I$5:$I$12,MATCH(I56,Lists!$G$5:$G$12,0)),""))</f>
        <v/>
      </c>
      <c r="Z56" s="15" t="str">
        <f aca="false">IF(AND(X56&lt;&gt;"",X56&gt;=0),X56+ROW()/100000,"")</f>
        <v/>
      </c>
    </row>
    <row r="57" customFormat="false" ht="15" hidden="false" customHeight="false" outlineLevel="0" collapsed="false">
      <c r="H57" s="29"/>
      <c r="I57" s="29"/>
      <c r="J57" s="28"/>
      <c r="K57" s="28"/>
      <c r="L57" s="28"/>
      <c r="M57" s="30"/>
      <c r="O57" s="28"/>
      <c r="S57" s="28"/>
      <c r="T57" s="10" t="str">
        <f aca="false">IF(A57="","",IF(COUNTIF(Touches!$B$2:$B$501,A57)=0,"",SUMPRODUCT(MAX((Touches!$B$2:$B$501=A57)*Touches!$A$2:$A$501))))</f>
        <v/>
      </c>
      <c r="U57" s="15" t="str">
        <f aca="false">IF(A57="","",IF(N57&lt;&gt;"",N57,IFERROR(INDEX(Lists!$H$5:$H$12,MATCH(I57,Lists!$G$5:$G$12,0)),"")))</f>
        <v/>
      </c>
      <c r="V57" s="10" t="str">
        <f aca="true">IF(A57="","",IF(O57&lt;&gt;"",O57,IF(OR(U57="",U57="never",U57=0),"",IF(T57="",TODAY(),T57+U57))))</f>
        <v/>
      </c>
      <c r="W57" s="17" t="str">
        <f aca="true">IF(A57="","",IF(V57="","no rhythm",IF(V57&lt;TODAY(),"Overdue",IF(V57=TODAY(),"Today",IF(V57&lt;=TODAY()+7,"Soon","Later")))))</f>
        <v/>
      </c>
      <c r="X57" s="15" t="str">
        <f aca="true">IF(OR(A57="",V57=""),"",TODAY()-V57)</f>
        <v/>
      </c>
      <c r="Y57" s="15" t="str">
        <f aca="false">IF(A57="","",IFERROR(INDEX(Lists!$I$5:$I$12,MATCH(I57,Lists!$G$5:$G$12,0)),""))</f>
        <v/>
      </c>
      <c r="Z57" s="15" t="str">
        <f aca="false">IF(AND(X57&lt;&gt;"",X57&gt;=0),X57+ROW()/100000,"")</f>
        <v/>
      </c>
    </row>
    <row r="58" customFormat="false" ht="15" hidden="false" customHeight="false" outlineLevel="0" collapsed="false">
      <c r="H58" s="29"/>
      <c r="I58" s="29"/>
      <c r="J58" s="28"/>
      <c r="K58" s="28"/>
      <c r="L58" s="28"/>
      <c r="M58" s="30"/>
      <c r="O58" s="28"/>
      <c r="S58" s="28"/>
      <c r="T58" s="10" t="str">
        <f aca="false">IF(A58="","",IF(COUNTIF(Touches!$B$2:$B$501,A58)=0,"",SUMPRODUCT(MAX((Touches!$B$2:$B$501=A58)*Touches!$A$2:$A$501))))</f>
        <v/>
      </c>
      <c r="U58" s="15" t="str">
        <f aca="false">IF(A58="","",IF(N58&lt;&gt;"",N58,IFERROR(INDEX(Lists!$H$5:$H$12,MATCH(I58,Lists!$G$5:$G$12,0)),"")))</f>
        <v/>
      </c>
      <c r="V58" s="10" t="str">
        <f aca="true">IF(A58="","",IF(O58&lt;&gt;"",O58,IF(OR(U58="",U58="never",U58=0),"",IF(T58="",TODAY(),T58+U58))))</f>
        <v/>
      </c>
      <c r="W58" s="17" t="str">
        <f aca="true">IF(A58="","",IF(V58="","no rhythm",IF(V58&lt;TODAY(),"Overdue",IF(V58=TODAY(),"Today",IF(V58&lt;=TODAY()+7,"Soon","Later")))))</f>
        <v/>
      </c>
      <c r="X58" s="15" t="str">
        <f aca="true">IF(OR(A58="",V58=""),"",TODAY()-V58)</f>
        <v/>
      </c>
      <c r="Y58" s="15" t="str">
        <f aca="false">IF(A58="","",IFERROR(INDEX(Lists!$I$5:$I$12,MATCH(I58,Lists!$G$5:$G$12,0)),""))</f>
        <v/>
      </c>
      <c r="Z58" s="15" t="str">
        <f aca="false">IF(AND(X58&lt;&gt;"",X58&gt;=0),X58+ROW()/100000,"")</f>
        <v/>
      </c>
    </row>
    <row r="59" customFormat="false" ht="15" hidden="false" customHeight="false" outlineLevel="0" collapsed="false">
      <c r="H59" s="29"/>
      <c r="I59" s="29"/>
      <c r="J59" s="28"/>
      <c r="K59" s="28"/>
      <c r="L59" s="28"/>
      <c r="M59" s="30"/>
      <c r="O59" s="28"/>
      <c r="S59" s="28"/>
      <c r="T59" s="10" t="str">
        <f aca="false">IF(A59="","",IF(COUNTIF(Touches!$B$2:$B$501,A59)=0,"",SUMPRODUCT(MAX((Touches!$B$2:$B$501=A59)*Touches!$A$2:$A$501))))</f>
        <v/>
      </c>
      <c r="U59" s="15" t="str">
        <f aca="false">IF(A59="","",IF(N59&lt;&gt;"",N59,IFERROR(INDEX(Lists!$H$5:$H$12,MATCH(I59,Lists!$G$5:$G$12,0)),"")))</f>
        <v/>
      </c>
      <c r="V59" s="10" t="str">
        <f aca="true">IF(A59="","",IF(O59&lt;&gt;"",O59,IF(OR(U59="",U59="never",U59=0),"",IF(T59="",TODAY(),T59+U59))))</f>
        <v/>
      </c>
      <c r="W59" s="17" t="str">
        <f aca="true">IF(A59="","",IF(V59="","no rhythm",IF(V59&lt;TODAY(),"Overdue",IF(V59=TODAY(),"Today",IF(V59&lt;=TODAY()+7,"Soon","Later")))))</f>
        <v/>
      </c>
      <c r="X59" s="15" t="str">
        <f aca="true">IF(OR(A59="",V59=""),"",TODAY()-V59)</f>
        <v/>
      </c>
      <c r="Y59" s="15" t="str">
        <f aca="false">IF(A59="","",IFERROR(INDEX(Lists!$I$5:$I$12,MATCH(I59,Lists!$G$5:$G$12,0)),""))</f>
        <v/>
      </c>
      <c r="Z59" s="15" t="str">
        <f aca="false">IF(AND(X59&lt;&gt;"",X59&gt;=0),X59+ROW()/100000,"")</f>
        <v/>
      </c>
    </row>
    <row r="60" customFormat="false" ht="15" hidden="false" customHeight="false" outlineLevel="0" collapsed="false">
      <c r="H60" s="29"/>
      <c r="I60" s="29"/>
      <c r="J60" s="28"/>
      <c r="K60" s="28"/>
      <c r="L60" s="28"/>
      <c r="M60" s="30"/>
      <c r="O60" s="28"/>
      <c r="S60" s="28"/>
      <c r="T60" s="10" t="str">
        <f aca="false">IF(A60="","",IF(COUNTIF(Touches!$B$2:$B$501,A60)=0,"",SUMPRODUCT(MAX((Touches!$B$2:$B$501=A60)*Touches!$A$2:$A$501))))</f>
        <v/>
      </c>
      <c r="U60" s="15" t="str">
        <f aca="false">IF(A60="","",IF(N60&lt;&gt;"",N60,IFERROR(INDEX(Lists!$H$5:$H$12,MATCH(I60,Lists!$G$5:$G$12,0)),"")))</f>
        <v/>
      </c>
      <c r="V60" s="10" t="str">
        <f aca="true">IF(A60="","",IF(O60&lt;&gt;"",O60,IF(OR(U60="",U60="never",U60=0),"",IF(T60="",TODAY(),T60+U60))))</f>
        <v/>
      </c>
      <c r="W60" s="17" t="str">
        <f aca="true">IF(A60="","",IF(V60="","no rhythm",IF(V60&lt;TODAY(),"Overdue",IF(V60=TODAY(),"Today",IF(V60&lt;=TODAY()+7,"Soon","Later")))))</f>
        <v/>
      </c>
      <c r="X60" s="15" t="str">
        <f aca="true">IF(OR(A60="",V60=""),"",TODAY()-V60)</f>
        <v/>
      </c>
      <c r="Y60" s="15" t="str">
        <f aca="false">IF(A60="","",IFERROR(INDEX(Lists!$I$5:$I$12,MATCH(I60,Lists!$G$5:$G$12,0)),""))</f>
        <v/>
      </c>
      <c r="Z60" s="15" t="str">
        <f aca="false">IF(AND(X60&lt;&gt;"",X60&gt;=0),X60+ROW()/100000,"")</f>
        <v/>
      </c>
    </row>
    <row r="61" customFormat="false" ht="15" hidden="false" customHeight="false" outlineLevel="0" collapsed="false">
      <c r="H61" s="29"/>
      <c r="I61" s="29"/>
      <c r="J61" s="28"/>
      <c r="K61" s="28"/>
      <c r="L61" s="28"/>
      <c r="M61" s="30"/>
      <c r="O61" s="28"/>
      <c r="S61" s="28"/>
      <c r="T61" s="10" t="str">
        <f aca="false">IF(A61="","",IF(COUNTIF(Touches!$B$2:$B$501,A61)=0,"",SUMPRODUCT(MAX((Touches!$B$2:$B$501=A61)*Touches!$A$2:$A$501))))</f>
        <v/>
      </c>
      <c r="U61" s="15" t="str">
        <f aca="false">IF(A61="","",IF(N61&lt;&gt;"",N61,IFERROR(INDEX(Lists!$H$5:$H$12,MATCH(I61,Lists!$G$5:$G$12,0)),"")))</f>
        <v/>
      </c>
      <c r="V61" s="10" t="str">
        <f aca="true">IF(A61="","",IF(O61&lt;&gt;"",O61,IF(OR(U61="",U61="never",U61=0),"",IF(T61="",TODAY(),T61+U61))))</f>
        <v/>
      </c>
      <c r="W61" s="17" t="str">
        <f aca="true">IF(A61="","",IF(V61="","no rhythm",IF(V61&lt;TODAY(),"Overdue",IF(V61=TODAY(),"Today",IF(V61&lt;=TODAY()+7,"Soon","Later")))))</f>
        <v/>
      </c>
      <c r="X61" s="15" t="str">
        <f aca="true">IF(OR(A61="",V61=""),"",TODAY()-V61)</f>
        <v/>
      </c>
      <c r="Y61" s="15" t="str">
        <f aca="false">IF(A61="","",IFERROR(INDEX(Lists!$I$5:$I$12,MATCH(I61,Lists!$G$5:$G$12,0)),""))</f>
        <v/>
      </c>
      <c r="Z61" s="15" t="str">
        <f aca="false">IF(AND(X61&lt;&gt;"",X61&gt;=0),X61+ROW()/100000,"")</f>
        <v/>
      </c>
    </row>
    <row r="62" customFormat="false" ht="15" hidden="false" customHeight="false" outlineLevel="0" collapsed="false">
      <c r="H62" s="29"/>
      <c r="I62" s="29"/>
      <c r="J62" s="28"/>
      <c r="K62" s="28"/>
      <c r="L62" s="28"/>
      <c r="M62" s="30"/>
      <c r="O62" s="28"/>
      <c r="S62" s="28"/>
      <c r="T62" s="10" t="str">
        <f aca="false">IF(A62="","",IF(COUNTIF(Touches!$B$2:$B$501,A62)=0,"",SUMPRODUCT(MAX((Touches!$B$2:$B$501=A62)*Touches!$A$2:$A$501))))</f>
        <v/>
      </c>
      <c r="U62" s="15" t="str">
        <f aca="false">IF(A62="","",IF(N62&lt;&gt;"",N62,IFERROR(INDEX(Lists!$H$5:$H$12,MATCH(I62,Lists!$G$5:$G$12,0)),"")))</f>
        <v/>
      </c>
      <c r="V62" s="10" t="str">
        <f aca="true">IF(A62="","",IF(O62&lt;&gt;"",O62,IF(OR(U62="",U62="never",U62=0),"",IF(T62="",TODAY(),T62+U62))))</f>
        <v/>
      </c>
      <c r="W62" s="17" t="str">
        <f aca="true">IF(A62="","",IF(V62="","no rhythm",IF(V62&lt;TODAY(),"Overdue",IF(V62=TODAY(),"Today",IF(V62&lt;=TODAY()+7,"Soon","Later")))))</f>
        <v/>
      </c>
      <c r="X62" s="15" t="str">
        <f aca="true">IF(OR(A62="",V62=""),"",TODAY()-V62)</f>
        <v/>
      </c>
      <c r="Y62" s="15" t="str">
        <f aca="false">IF(A62="","",IFERROR(INDEX(Lists!$I$5:$I$12,MATCH(I62,Lists!$G$5:$G$12,0)),""))</f>
        <v/>
      </c>
      <c r="Z62" s="15" t="str">
        <f aca="false">IF(AND(X62&lt;&gt;"",X62&gt;=0),X62+ROW()/100000,"")</f>
        <v/>
      </c>
    </row>
    <row r="63" customFormat="false" ht="15" hidden="false" customHeight="false" outlineLevel="0" collapsed="false">
      <c r="H63" s="29"/>
      <c r="I63" s="29"/>
      <c r="J63" s="28"/>
      <c r="K63" s="28"/>
      <c r="L63" s="28"/>
      <c r="M63" s="30"/>
      <c r="O63" s="28"/>
      <c r="S63" s="28"/>
      <c r="T63" s="10" t="str">
        <f aca="false">IF(A63="","",IF(COUNTIF(Touches!$B$2:$B$501,A63)=0,"",SUMPRODUCT(MAX((Touches!$B$2:$B$501=A63)*Touches!$A$2:$A$501))))</f>
        <v/>
      </c>
      <c r="U63" s="15" t="str">
        <f aca="false">IF(A63="","",IF(N63&lt;&gt;"",N63,IFERROR(INDEX(Lists!$H$5:$H$12,MATCH(I63,Lists!$G$5:$G$12,0)),"")))</f>
        <v/>
      </c>
      <c r="V63" s="10" t="str">
        <f aca="true">IF(A63="","",IF(O63&lt;&gt;"",O63,IF(OR(U63="",U63="never",U63=0),"",IF(T63="",TODAY(),T63+U63))))</f>
        <v/>
      </c>
      <c r="W63" s="17" t="str">
        <f aca="true">IF(A63="","",IF(V63="","no rhythm",IF(V63&lt;TODAY(),"Overdue",IF(V63=TODAY(),"Today",IF(V63&lt;=TODAY()+7,"Soon","Later")))))</f>
        <v/>
      </c>
      <c r="X63" s="15" t="str">
        <f aca="true">IF(OR(A63="",V63=""),"",TODAY()-V63)</f>
        <v/>
      </c>
      <c r="Y63" s="15" t="str">
        <f aca="false">IF(A63="","",IFERROR(INDEX(Lists!$I$5:$I$12,MATCH(I63,Lists!$G$5:$G$12,0)),""))</f>
        <v/>
      </c>
      <c r="Z63" s="15" t="str">
        <f aca="false">IF(AND(X63&lt;&gt;"",X63&gt;=0),X63+ROW()/100000,"")</f>
        <v/>
      </c>
    </row>
    <row r="64" customFormat="false" ht="15" hidden="false" customHeight="false" outlineLevel="0" collapsed="false">
      <c r="H64" s="29"/>
      <c r="I64" s="29"/>
      <c r="J64" s="28"/>
      <c r="K64" s="28"/>
      <c r="L64" s="28"/>
      <c r="M64" s="30"/>
      <c r="O64" s="28"/>
      <c r="S64" s="28"/>
      <c r="T64" s="10" t="str">
        <f aca="false">IF(A64="","",IF(COUNTIF(Touches!$B$2:$B$501,A64)=0,"",SUMPRODUCT(MAX((Touches!$B$2:$B$501=A64)*Touches!$A$2:$A$501))))</f>
        <v/>
      </c>
      <c r="U64" s="15" t="str">
        <f aca="false">IF(A64="","",IF(N64&lt;&gt;"",N64,IFERROR(INDEX(Lists!$H$5:$H$12,MATCH(I64,Lists!$G$5:$G$12,0)),"")))</f>
        <v/>
      </c>
      <c r="V64" s="10" t="str">
        <f aca="true">IF(A64="","",IF(O64&lt;&gt;"",O64,IF(OR(U64="",U64="never",U64=0),"",IF(T64="",TODAY(),T64+U64))))</f>
        <v/>
      </c>
      <c r="W64" s="17" t="str">
        <f aca="true">IF(A64="","",IF(V64="","no rhythm",IF(V64&lt;TODAY(),"Overdue",IF(V64=TODAY(),"Today",IF(V64&lt;=TODAY()+7,"Soon","Later")))))</f>
        <v/>
      </c>
      <c r="X64" s="15" t="str">
        <f aca="true">IF(OR(A64="",V64=""),"",TODAY()-V64)</f>
        <v/>
      </c>
      <c r="Y64" s="15" t="str">
        <f aca="false">IF(A64="","",IFERROR(INDEX(Lists!$I$5:$I$12,MATCH(I64,Lists!$G$5:$G$12,0)),""))</f>
        <v/>
      </c>
      <c r="Z64" s="15" t="str">
        <f aca="false">IF(AND(X64&lt;&gt;"",X64&gt;=0),X64+ROW()/100000,"")</f>
        <v/>
      </c>
    </row>
    <row r="65" customFormat="false" ht="15" hidden="false" customHeight="false" outlineLevel="0" collapsed="false">
      <c r="H65" s="29"/>
      <c r="I65" s="29"/>
      <c r="J65" s="28"/>
      <c r="K65" s="28"/>
      <c r="L65" s="28"/>
      <c r="M65" s="30"/>
      <c r="O65" s="28"/>
      <c r="S65" s="28"/>
      <c r="T65" s="10" t="str">
        <f aca="false">IF(A65="","",IF(COUNTIF(Touches!$B$2:$B$501,A65)=0,"",SUMPRODUCT(MAX((Touches!$B$2:$B$501=A65)*Touches!$A$2:$A$501))))</f>
        <v/>
      </c>
      <c r="U65" s="15" t="str">
        <f aca="false">IF(A65="","",IF(N65&lt;&gt;"",N65,IFERROR(INDEX(Lists!$H$5:$H$12,MATCH(I65,Lists!$G$5:$G$12,0)),"")))</f>
        <v/>
      </c>
      <c r="V65" s="10" t="str">
        <f aca="true">IF(A65="","",IF(O65&lt;&gt;"",O65,IF(OR(U65="",U65="never",U65=0),"",IF(T65="",TODAY(),T65+U65))))</f>
        <v/>
      </c>
      <c r="W65" s="17" t="str">
        <f aca="true">IF(A65="","",IF(V65="","no rhythm",IF(V65&lt;TODAY(),"Overdue",IF(V65=TODAY(),"Today",IF(V65&lt;=TODAY()+7,"Soon","Later")))))</f>
        <v/>
      </c>
      <c r="X65" s="15" t="str">
        <f aca="true">IF(OR(A65="",V65=""),"",TODAY()-V65)</f>
        <v/>
      </c>
      <c r="Y65" s="15" t="str">
        <f aca="false">IF(A65="","",IFERROR(INDEX(Lists!$I$5:$I$12,MATCH(I65,Lists!$G$5:$G$12,0)),""))</f>
        <v/>
      </c>
      <c r="Z65" s="15" t="str">
        <f aca="false">IF(AND(X65&lt;&gt;"",X65&gt;=0),X65+ROW()/100000,"")</f>
        <v/>
      </c>
    </row>
    <row r="66" customFormat="false" ht="15" hidden="false" customHeight="false" outlineLevel="0" collapsed="false">
      <c r="H66" s="29"/>
      <c r="I66" s="29"/>
      <c r="J66" s="28"/>
      <c r="K66" s="28"/>
      <c r="L66" s="28"/>
      <c r="M66" s="30"/>
      <c r="O66" s="28"/>
      <c r="S66" s="28"/>
      <c r="T66" s="10" t="str">
        <f aca="false">IF(A66="","",IF(COUNTIF(Touches!$B$2:$B$501,A66)=0,"",SUMPRODUCT(MAX((Touches!$B$2:$B$501=A66)*Touches!$A$2:$A$501))))</f>
        <v/>
      </c>
      <c r="U66" s="15" t="str">
        <f aca="false">IF(A66="","",IF(N66&lt;&gt;"",N66,IFERROR(INDEX(Lists!$H$5:$H$12,MATCH(I66,Lists!$G$5:$G$12,0)),"")))</f>
        <v/>
      </c>
      <c r="V66" s="10" t="str">
        <f aca="true">IF(A66="","",IF(O66&lt;&gt;"",O66,IF(OR(U66="",U66="never",U66=0),"",IF(T66="",TODAY(),T66+U66))))</f>
        <v/>
      </c>
      <c r="W66" s="17" t="str">
        <f aca="true">IF(A66="","",IF(V66="","no rhythm",IF(V66&lt;TODAY(),"Overdue",IF(V66=TODAY(),"Today",IF(V66&lt;=TODAY()+7,"Soon","Later")))))</f>
        <v/>
      </c>
      <c r="X66" s="15" t="str">
        <f aca="true">IF(OR(A66="",V66=""),"",TODAY()-V66)</f>
        <v/>
      </c>
      <c r="Y66" s="15" t="str">
        <f aca="false">IF(A66="","",IFERROR(INDEX(Lists!$I$5:$I$12,MATCH(I66,Lists!$G$5:$G$12,0)),""))</f>
        <v/>
      </c>
      <c r="Z66" s="15" t="str">
        <f aca="false">IF(AND(X66&lt;&gt;"",X66&gt;=0),X66+ROW()/100000,"")</f>
        <v/>
      </c>
    </row>
    <row r="67" customFormat="false" ht="15" hidden="false" customHeight="false" outlineLevel="0" collapsed="false">
      <c r="H67" s="29"/>
      <c r="I67" s="29"/>
      <c r="J67" s="28"/>
      <c r="K67" s="28"/>
      <c r="L67" s="28"/>
      <c r="M67" s="30"/>
      <c r="O67" s="28"/>
      <c r="S67" s="28"/>
      <c r="T67" s="10" t="str">
        <f aca="false">IF(A67="","",IF(COUNTIF(Touches!$B$2:$B$501,A67)=0,"",SUMPRODUCT(MAX((Touches!$B$2:$B$501=A67)*Touches!$A$2:$A$501))))</f>
        <v/>
      </c>
      <c r="U67" s="15" t="str">
        <f aca="false">IF(A67="","",IF(N67&lt;&gt;"",N67,IFERROR(INDEX(Lists!$H$5:$H$12,MATCH(I67,Lists!$G$5:$G$12,0)),"")))</f>
        <v/>
      </c>
      <c r="V67" s="10" t="str">
        <f aca="true">IF(A67="","",IF(O67&lt;&gt;"",O67,IF(OR(U67="",U67="never",U67=0),"",IF(T67="",TODAY(),T67+U67))))</f>
        <v/>
      </c>
      <c r="W67" s="17" t="str">
        <f aca="true">IF(A67="","",IF(V67="","no rhythm",IF(V67&lt;TODAY(),"Overdue",IF(V67=TODAY(),"Today",IF(V67&lt;=TODAY()+7,"Soon","Later")))))</f>
        <v/>
      </c>
      <c r="X67" s="15" t="str">
        <f aca="true">IF(OR(A67="",V67=""),"",TODAY()-V67)</f>
        <v/>
      </c>
      <c r="Y67" s="15" t="str">
        <f aca="false">IF(A67="","",IFERROR(INDEX(Lists!$I$5:$I$12,MATCH(I67,Lists!$G$5:$G$12,0)),""))</f>
        <v/>
      </c>
      <c r="Z67" s="15" t="str">
        <f aca="false">IF(AND(X67&lt;&gt;"",X67&gt;=0),X67+ROW()/100000,"")</f>
        <v/>
      </c>
    </row>
    <row r="68" customFormat="false" ht="15" hidden="false" customHeight="false" outlineLevel="0" collapsed="false">
      <c r="H68" s="29"/>
      <c r="I68" s="29"/>
      <c r="J68" s="28"/>
      <c r="K68" s="28"/>
      <c r="L68" s="28"/>
      <c r="M68" s="30"/>
      <c r="O68" s="28"/>
      <c r="S68" s="28"/>
      <c r="T68" s="10" t="str">
        <f aca="false">IF(A68="","",IF(COUNTIF(Touches!$B$2:$B$501,A68)=0,"",SUMPRODUCT(MAX((Touches!$B$2:$B$501=A68)*Touches!$A$2:$A$501))))</f>
        <v/>
      </c>
      <c r="U68" s="15" t="str">
        <f aca="false">IF(A68="","",IF(N68&lt;&gt;"",N68,IFERROR(INDEX(Lists!$H$5:$H$12,MATCH(I68,Lists!$G$5:$G$12,0)),"")))</f>
        <v/>
      </c>
      <c r="V68" s="10" t="str">
        <f aca="true">IF(A68="","",IF(O68&lt;&gt;"",O68,IF(OR(U68="",U68="never",U68=0),"",IF(T68="",TODAY(),T68+U68))))</f>
        <v/>
      </c>
      <c r="W68" s="17" t="str">
        <f aca="true">IF(A68="","",IF(V68="","no rhythm",IF(V68&lt;TODAY(),"Overdue",IF(V68=TODAY(),"Today",IF(V68&lt;=TODAY()+7,"Soon","Later")))))</f>
        <v/>
      </c>
      <c r="X68" s="15" t="str">
        <f aca="true">IF(OR(A68="",V68=""),"",TODAY()-V68)</f>
        <v/>
      </c>
      <c r="Y68" s="15" t="str">
        <f aca="false">IF(A68="","",IFERROR(INDEX(Lists!$I$5:$I$12,MATCH(I68,Lists!$G$5:$G$12,0)),""))</f>
        <v/>
      </c>
      <c r="Z68" s="15" t="str">
        <f aca="false">IF(AND(X68&lt;&gt;"",X68&gt;=0),X68+ROW()/100000,"")</f>
        <v/>
      </c>
    </row>
    <row r="69" customFormat="false" ht="15" hidden="false" customHeight="false" outlineLevel="0" collapsed="false">
      <c r="H69" s="29"/>
      <c r="I69" s="29"/>
      <c r="J69" s="28"/>
      <c r="K69" s="28"/>
      <c r="L69" s="28"/>
      <c r="M69" s="30"/>
      <c r="O69" s="28"/>
      <c r="S69" s="28"/>
      <c r="T69" s="10" t="str">
        <f aca="false">IF(A69="","",IF(COUNTIF(Touches!$B$2:$B$501,A69)=0,"",SUMPRODUCT(MAX((Touches!$B$2:$B$501=A69)*Touches!$A$2:$A$501))))</f>
        <v/>
      </c>
      <c r="U69" s="15" t="str">
        <f aca="false">IF(A69="","",IF(N69&lt;&gt;"",N69,IFERROR(INDEX(Lists!$H$5:$H$12,MATCH(I69,Lists!$G$5:$G$12,0)),"")))</f>
        <v/>
      </c>
      <c r="V69" s="10" t="str">
        <f aca="true">IF(A69="","",IF(O69&lt;&gt;"",O69,IF(OR(U69="",U69="never",U69=0),"",IF(T69="",TODAY(),T69+U69))))</f>
        <v/>
      </c>
      <c r="W69" s="17" t="str">
        <f aca="true">IF(A69="","",IF(V69="","no rhythm",IF(V69&lt;TODAY(),"Overdue",IF(V69=TODAY(),"Today",IF(V69&lt;=TODAY()+7,"Soon","Later")))))</f>
        <v/>
      </c>
      <c r="X69" s="15" t="str">
        <f aca="true">IF(OR(A69="",V69=""),"",TODAY()-V69)</f>
        <v/>
      </c>
      <c r="Y69" s="15" t="str">
        <f aca="false">IF(A69="","",IFERROR(INDEX(Lists!$I$5:$I$12,MATCH(I69,Lists!$G$5:$G$12,0)),""))</f>
        <v/>
      </c>
      <c r="Z69" s="15" t="str">
        <f aca="false">IF(AND(X69&lt;&gt;"",X69&gt;=0),X69+ROW()/100000,"")</f>
        <v/>
      </c>
    </row>
    <row r="70" customFormat="false" ht="15" hidden="false" customHeight="false" outlineLevel="0" collapsed="false">
      <c r="H70" s="29"/>
      <c r="I70" s="29"/>
      <c r="J70" s="28"/>
      <c r="K70" s="28"/>
      <c r="L70" s="28"/>
      <c r="M70" s="30"/>
      <c r="O70" s="28"/>
      <c r="S70" s="28"/>
      <c r="T70" s="10" t="str">
        <f aca="false">IF(A70="","",IF(COUNTIF(Touches!$B$2:$B$501,A70)=0,"",SUMPRODUCT(MAX((Touches!$B$2:$B$501=A70)*Touches!$A$2:$A$501))))</f>
        <v/>
      </c>
      <c r="U70" s="15" t="str">
        <f aca="false">IF(A70="","",IF(N70&lt;&gt;"",N70,IFERROR(INDEX(Lists!$H$5:$H$12,MATCH(I70,Lists!$G$5:$G$12,0)),"")))</f>
        <v/>
      </c>
      <c r="V70" s="10" t="str">
        <f aca="true">IF(A70="","",IF(O70&lt;&gt;"",O70,IF(OR(U70="",U70="never",U70=0),"",IF(T70="",TODAY(),T70+U70))))</f>
        <v/>
      </c>
      <c r="W70" s="17" t="str">
        <f aca="true">IF(A70="","",IF(V70="","no rhythm",IF(V70&lt;TODAY(),"Overdue",IF(V70=TODAY(),"Today",IF(V70&lt;=TODAY()+7,"Soon","Later")))))</f>
        <v/>
      </c>
      <c r="X70" s="15" t="str">
        <f aca="true">IF(OR(A70="",V70=""),"",TODAY()-V70)</f>
        <v/>
      </c>
      <c r="Y70" s="15" t="str">
        <f aca="false">IF(A70="","",IFERROR(INDEX(Lists!$I$5:$I$12,MATCH(I70,Lists!$G$5:$G$12,0)),""))</f>
        <v/>
      </c>
      <c r="Z70" s="15" t="str">
        <f aca="false">IF(AND(X70&lt;&gt;"",X70&gt;=0),X70+ROW()/100000,"")</f>
        <v/>
      </c>
    </row>
    <row r="71" customFormat="false" ht="15" hidden="false" customHeight="false" outlineLevel="0" collapsed="false">
      <c r="H71" s="29"/>
      <c r="I71" s="29"/>
      <c r="J71" s="28"/>
      <c r="K71" s="28"/>
      <c r="L71" s="28"/>
      <c r="M71" s="30"/>
      <c r="O71" s="28"/>
      <c r="S71" s="28"/>
      <c r="T71" s="10" t="str">
        <f aca="false">IF(A71="","",IF(COUNTIF(Touches!$B$2:$B$501,A71)=0,"",SUMPRODUCT(MAX((Touches!$B$2:$B$501=A71)*Touches!$A$2:$A$501))))</f>
        <v/>
      </c>
      <c r="U71" s="15" t="str">
        <f aca="false">IF(A71="","",IF(N71&lt;&gt;"",N71,IFERROR(INDEX(Lists!$H$5:$H$12,MATCH(I71,Lists!$G$5:$G$12,0)),"")))</f>
        <v/>
      </c>
      <c r="V71" s="10" t="str">
        <f aca="true">IF(A71="","",IF(O71&lt;&gt;"",O71,IF(OR(U71="",U71="never",U71=0),"",IF(T71="",TODAY(),T71+U71))))</f>
        <v/>
      </c>
      <c r="W71" s="17" t="str">
        <f aca="true">IF(A71="","",IF(V71="","no rhythm",IF(V71&lt;TODAY(),"Overdue",IF(V71=TODAY(),"Today",IF(V71&lt;=TODAY()+7,"Soon","Later")))))</f>
        <v/>
      </c>
      <c r="X71" s="15" t="str">
        <f aca="true">IF(OR(A71="",V71=""),"",TODAY()-V71)</f>
        <v/>
      </c>
      <c r="Y71" s="15" t="str">
        <f aca="false">IF(A71="","",IFERROR(INDEX(Lists!$I$5:$I$12,MATCH(I71,Lists!$G$5:$G$12,0)),""))</f>
        <v/>
      </c>
      <c r="Z71" s="15" t="str">
        <f aca="false">IF(AND(X71&lt;&gt;"",X71&gt;=0),X71+ROW()/100000,"")</f>
        <v/>
      </c>
    </row>
    <row r="72" customFormat="false" ht="15" hidden="false" customHeight="false" outlineLevel="0" collapsed="false">
      <c r="H72" s="29"/>
      <c r="I72" s="29"/>
      <c r="J72" s="28"/>
      <c r="K72" s="28"/>
      <c r="L72" s="28"/>
      <c r="M72" s="30"/>
      <c r="O72" s="28"/>
      <c r="S72" s="28"/>
      <c r="T72" s="10" t="str">
        <f aca="false">IF(A72="","",IF(COUNTIF(Touches!$B$2:$B$501,A72)=0,"",SUMPRODUCT(MAX((Touches!$B$2:$B$501=A72)*Touches!$A$2:$A$501))))</f>
        <v/>
      </c>
      <c r="U72" s="15" t="str">
        <f aca="false">IF(A72="","",IF(N72&lt;&gt;"",N72,IFERROR(INDEX(Lists!$H$5:$H$12,MATCH(I72,Lists!$G$5:$G$12,0)),"")))</f>
        <v/>
      </c>
      <c r="V72" s="10" t="str">
        <f aca="true">IF(A72="","",IF(O72&lt;&gt;"",O72,IF(OR(U72="",U72="never",U72=0),"",IF(T72="",TODAY(),T72+U72))))</f>
        <v/>
      </c>
      <c r="W72" s="17" t="str">
        <f aca="true">IF(A72="","",IF(V72="","no rhythm",IF(V72&lt;TODAY(),"Overdue",IF(V72=TODAY(),"Today",IF(V72&lt;=TODAY()+7,"Soon","Later")))))</f>
        <v/>
      </c>
      <c r="X72" s="15" t="str">
        <f aca="true">IF(OR(A72="",V72=""),"",TODAY()-V72)</f>
        <v/>
      </c>
      <c r="Y72" s="15" t="str">
        <f aca="false">IF(A72="","",IFERROR(INDEX(Lists!$I$5:$I$12,MATCH(I72,Lists!$G$5:$G$12,0)),""))</f>
        <v/>
      </c>
      <c r="Z72" s="15" t="str">
        <f aca="false">IF(AND(X72&lt;&gt;"",X72&gt;=0),X72+ROW()/100000,"")</f>
        <v/>
      </c>
    </row>
    <row r="73" customFormat="false" ht="15" hidden="false" customHeight="false" outlineLevel="0" collapsed="false">
      <c r="H73" s="29"/>
      <c r="I73" s="29"/>
      <c r="J73" s="28"/>
      <c r="K73" s="28"/>
      <c r="L73" s="28"/>
      <c r="M73" s="30"/>
      <c r="O73" s="28"/>
      <c r="S73" s="28"/>
      <c r="T73" s="10" t="str">
        <f aca="false">IF(A73="","",IF(COUNTIF(Touches!$B$2:$B$501,A73)=0,"",SUMPRODUCT(MAX((Touches!$B$2:$B$501=A73)*Touches!$A$2:$A$501))))</f>
        <v/>
      </c>
      <c r="U73" s="15" t="str">
        <f aca="false">IF(A73="","",IF(N73&lt;&gt;"",N73,IFERROR(INDEX(Lists!$H$5:$H$12,MATCH(I73,Lists!$G$5:$G$12,0)),"")))</f>
        <v/>
      </c>
      <c r="V73" s="10" t="str">
        <f aca="true">IF(A73="","",IF(O73&lt;&gt;"",O73,IF(OR(U73="",U73="never",U73=0),"",IF(T73="",TODAY(),T73+U73))))</f>
        <v/>
      </c>
      <c r="W73" s="17" t="str">
        <f aca="true">IF(A73="","",IF(V73="","no rhythm",IF(V73&lt;TODAY(),"Overdue",IF(V73=TODAY(),"Today",IF(V73&lt;=TODAY()+7,"Soon","Later")))))</f>
        <v/>
      </c>
      <c r="X73" s="15" t="str">
        <f aca="true">IF(OR(A73="",V73=""),"",TODAY()-V73)</f>
        <v/>
      </c>
      <c r="Y73" s="15" t="str">
        <f aca="false">IF(A73="","",IFERROR(INDEX(Lists!$I$5:$I$12,MATCH(I73,Lists!$G$5:$G$12,0)),""))</f>
        <v/>
      </c>
      <c r="Z73" s="15" t="str">
        <f aca="false">IF(AND(X73&lt;&gt;"",X73&gt;=0),X73+ROW()/100000,"")</f>
        <v/>
      </c>
    </row>
    <row r="74" customFormat="false" ht="15" hidden="false" customHeight="false" outlineLevel="0" collapsed="false">
      <c r="H74" s="29"/>
      <c r="I74" s="29"/>
      <c r="J74" s="28"/>
      <c r="K74" s="28"/>
      <c r="L74" s="28"/>
      <c r="M74" s="30"/>
      <c r="O74" s="28"/>
      <c r="S74" s="28"/>
      <c r="T74" s="10" t="str">
        <f aca="false">IF(A74="","",IF(COUNTIF(Touches!$B$2:$B$501,A74)=0,"",SUMPRODUCT(MAX((Touches!$B$2:$B$501=A74)*Touches!$A$2:$A$501))))</f>
        <v/>
      </c>
      <c r="U74" s="15" t="str">
        <f aca="false">IF(A74="","",IF(N74&lt;&gt;"",N74,IFERROR(INDEX(Lists!$H$5:$H$12,MATCH(I74,Lists!$G$5:$G$12,0)),"")))</f>
        <v/>
      </c>
      <c r="V74" s="10" t="str">
        <f aca="true">IF(A74="","",IF(O74&lt;&gt;"",O74,IF(OR(U74="",U74="never",U74=0),"",IF(T74="",TODAY(),T74+U74))))</f>
        <v/>
      </c>
      <c r="W74" s="17" t="str">
        <f aca="true">IF(A74="","",IF(V74="","no rhythm",IF(V74&lt;TODAY(),"Overdue",IF(V74=TODAY(),"Today",IF(V74&lt;=TODAY()+7,"Soon","Later")))))</f>
        <v/>
      </c>
      <c r="X74" s="15" t="str">
        <f aca="true">IF(OR(A74="",V74=""),"",TODAY()-V74)</f>
        <v/>
      </c>
      <c r="Y74" s="15" t="str">
        <f aca="false">IF(A74="","",IFERROR(INDEX(Lists!$I$5:$I$12,MATCH(I74,Lists!$G$5:$G$12,0)),""))</f>
        <v/>
      </c>
      <c r="Z74" s="15" t="str">
        <f aca="false">IF(AND(X74&lt;&gt;"",X74&gt;=0),X74+ROW()/100000,"")</f>
        <v/>
      </c>
    </row>
    <row r="75" customFormat="false" ht="15" hidden="false" customHeight="false" outlineLevel="0" collapsed="false">
      <c r="H75" s="29"/>
      <c r="I75" s="29"/>
      <c r="J75" s="28"/>
      <c r="K75" s="28"/>
      <c r="L75" s="28"/>
      <c r="M75" s="30"/>
      <c r="O75" s="28"/>
      <c r="S75" s="28"/>
      <c r="T75" s="10" t="str">
        <f aca="false">IF(A75="","",IF(COUNTIF(Touches!$B$2:$B$501,A75)=0,"",SUMPRODUCT(MAX((Touches!$B$2:$B$501=A75)*Touches!$A$2:$A$501))))</f>
        <v/>
      </c>
      <c r="U75" s="15" t="str">
        <f aca="false">IF(A75="","",IF(N75&lt;&gt;"",N75,IFERROR(INDEX(Lists!$H$5:$H$12,MATCH(I75,Lists!$G$5:$G$12,0)),"")))</f>
        <v/>
      </c>
      <c r="V75" s="10" t="str">
        <f aca="true">IF(A75="","",IF(O75&lt;&gt;"",O75,IF(OR(U75="",U75="never",U75=0),"",IF(T75="",TODAY(),T75+U75))))</f>
        <v/>
      </c>
      <c r="W75" s="17" t="str">
        <f aca="true">IF(A75="","",IF(V75="","no rhythm",IF(V75&lt;TODAY(),"Overdue",IF(V75=TODAY(),"Today",IF(V75&lt;=TODAY()+7,"Soon","Later")))))</f>
        <v/>
      </c>
      <c r="X75" s="15" t="str">
        <f aca="true">IF(OR(A75="",V75=""),"",TODAY()-V75)</f>
        <v/>
      </c>
      <c r="Y75" s="15" t="str">
        <f aca="false">IF(A75="","",IFERROR(INDEX(Lists!$I$5:$I$12,MATCH(I75,Lists!$G$5:$G$12,0)),""))</f>
        <v/>
      </c>
      <c r="Z75" s="15" t="str">
        <f aca="false">IF(AND(X75&lt;&gt;"",X75&gt;=0),X75+ROW()/100000,"")</f>
        <v/>
      </c>
    </row>
    <row r="76" customFormat="false" ht="15" hidden="false" customHeight="false" outlineLevel="0" collapsed="false">
      <c r="H76" s="29"/>
      <c r="I76" s="29"/>
      <c r="J76" s="28"/>
      <c r="K76" s="28"/>
      <c r="L76" s="28"/>
      <c r="M76" s="30"/>
      <c r="O76" s="28"/>
      <c r="S76" s="28"/>
      <c r="T76" s="10" t="str">
        <f aca="false">IF(A76="","",IF(COUNTIF(Touches!$B$2:$B$501,A76)=0,"",SUMPRODUCT(MAX((Touches!$B$2:$B$501=A76)*Touches!$A$2:$A$501))))</f>
        <v/>
      </c>
      <c r="U76" s="15" t="str">
        <f aca="false">IF(A76="","",IF(N76&lt;&gt;"",N76,IFERROR(INDEX(Lists!$H$5:$H$12,MATCH(I76,Lists!$G$5:$G$12,0)),"")))</f>
        <v/>
      </c>
      <c r="V76" s="10" t="str">
        <f aca="true">IF(A76="","",IF(O76&lt;&gt;"",O76,IF(OR(U76="",U76="never",U76=0),"",IF(T76="",TODAY(),T76+U76))))</f>
        <v/>
      </c>
      <c r="W76" s="17" t="str">
        <f aca="true">IF(A76="","",IF(V76="","no rhythm",IF(V76&lt;TODAY(),"Overdue",IF(V76=TODAY(),"Today",IF(V76&lt;=TODAY()+7,"Soon","Later")))))</f>
        <v/>
      </c>
      <c r="X76" s="15" t="str">
        <f aca="true">IF(OR(A76="",V76=""),"",TODAY()-V76)</f>
        <v/>
      </c>
      <c r="Y76" s="15" t="str">
        <f aca="false">IF(A76="","",IFERROR(INDEX(Lists!$I$5:$I$12,MATCH(I76,Lists!$G$5:$G$12,0)),""))</f>
        <v/>
      </c>
      <c r="Z76" s="15" t="str">
        <f aca="false">IF(AND(X76&lt;&gt;"",X76&gt;=0),X76+ROW()/100000,"")</f>
        <v/>
      </c>
    </row>
    <row r="77" customFormat="false" ht="15" hidden="false" customHeight="false" outlineLevel="0" collapsed="false">
      <c r="H77" s="29"/>
      <c r="I77" s="29"/>
      <c r="J77" s="28"/>
      <c r="K77" s="28"/>
      <c r="L77" s="28"/>
      <c r="M77" s="30"/>
      <c r="O77" s="28"/>
      <c r="S77" s="28"/>
      <c r="T77" s="10" t="str">
        <f aca="false">IF(A77="","",IF(COUNTIF(Touches!$B$2:$B$501,A77)=0,"",SUMPRODUCT(MAX((Touches!$B$2:$B$501=A77)*Touches!$A$2:$A$501))))</f>
        <v/>
      </c>
      <c r="U77" s="15" t="str">
        <f aca="false">IF(A77="","",IF(N77&lt;&gt;"",N77,IFERROR(INDEX(Lists!$H$5:$H$12,MATCH(I77,Lists!$G$5:$G$12,0)),"")))</f>
        <v/>
      </c>
      <c r="V77" s="10" t="str">
        <f aca="true">IF(A77="","",IF(O77&lt;&gt;"",O77,IF(OR(U77="",U77="never",U77=0),"",IF(T77="",TODAY(),T77+U77))))</f>
        <v/>
      </c>
      <c r="W77" s="17" t="str">
        <f aca="true">IF(A77="","",IF(V77="","no rhythm",IF(V77&lt;TODAY(),"Overdue",IF(V77=TODAY(),"Today",IF(V77&lt;=TODAY()+7,"Soon","Later")))))</f>
        <v/>
      </c>
      <c r="X77" s="15" t="str">
        <f aca="true">IF(OR(A77="",V77=""),"",TODAY()-V77)</f>
        <v/>
      </c>
      <c r="Y77" s="15" t="str">
        <f aca="false">IF(A77="","",IFERROR(INDEX(Lists!$I$5:$I$12,MATCH(I77,Lists!$G$5:$G$12,0)),""))</f>
        <v/>
      </c>
      <c r="Z77" s="15" t="str">
        <f aca="false">IF(AND(X77&lt;&gt;"",X77&gt;=0),X77+ROW()/100000,"")</f>
        <v/>
      </c>
    </row>
    <row r="78" customFormat="false" ht="15" hidden="false" customHeight="false" outlineLevel="0" collapsed="false">
      <c r="H78" s="29"/>
      <c r="I78" s="29"/>
      <c r="J78" s="28"/>
      <c r="K78" s="28"/>
      <c r="L78" s="28"/>
      <c r="M78" s="30"/>
      <c r="O78" s="28"/>
      <c r="S78" s="28"/>
      <c r="T78" s="10" t="str">
        <f aca="false">IF(A78="","",IF(COUNTIF(Touches!$B$2:$B$501,A78)=0,"",SUMPRODUCT(MAX((Touches!$B$2:$B$501=A78)*Touches!$A$2:$A$501))))</f>
        <v/>
      </c>
      <c r="U78" s="15" t="str">
        <f aca="false">IF(A78="","",IF(N78&lt;&gt;"",N78,IFERROR(INDEX(Lists!$H$5:$H$12,MATCH(I78,Lists!$G$5:$G$12,0)),"")))</f>
        <v/>
      </c>
      <c r="V78" s="10" t="str">
        <f aca="true">IF(A78="","",IF(O78&lt;&gt;"",O78,IF(OR(U78="",U78="never",U78=0),"",IF(T78="",TODAY(),T78+U78))))</f>
        <v/>
      </c>
      <c r="W78" s="17" t="str">
        <f aca="true">IF(A78="","",IF(V78="","no rhythm",IF(V78&lt;TODAY(),"Overdue",IF(V78=TODAY(),"Today",IF(V78&lt;=TODAY()+7,"Soon","Later")))))</f>
        <v/>
      </c>
      <c r="X78" s="15" t="str">
        <f aca="true">IF(OR(A78="",V78=""),"",TODAY()-V78)</f>
        <v/>
      </c>
      <c r="Y78" s="15" t="str">
        <f aca="false">IF(A78="","",IFERROR(INDEX(Lists!$I$5:$I$12,MATCH(I78,Lists!$G$5:$G$12,0)),""))</f>
        <v/>
      </c>
      <c r="Z78" s="15" t="str">
        <f aca="false">IF(AND(X78&lt;&gt;"",X78&gt;=0),X78+ROW()/100000,"")</f>
        <v/>
      </c>
    </row>
    <row r="79" customFormat="false" ht="15" hidden="false" customHeight="false" outlineLevel="0" collapsed="false">
      <c r="H79" s="29"/>
      <c r="I79" s="29"/>
      <c r="J79" s="28"/>
      <c r="K79" s="28"/>
      <c r="L79" s="28"/>
      <c r="M79" s="30"/>
      <c r="O79" s="28"/>
      <c r="S79" s="28"/>
      <c r="T79" s="10" t="str">
        <f aca="false">IF(A79="","",IF(COUNTIF(Touches!$B$2:$B$501,A79)=0,"",SUMPRODUCT(MAX((Touches!$B$2:$B$501=A79)*Touches!$A$2:$A$501))))</f>
        <v/>
      </c>
      <c r="U79" s="15" t="str">
        <f aca="false">IF(A79="","",IF(N79&lt;&gt;"",N79,IFERROR(INDEX(Lists!$H$5:$H$12,MATCH(I79,Lists!$G$5:$G$12,0)),"")))</f>
        <v/>
      </c>
      <c r="V79" s="10" t="str">
        <f aca="true">IF(A79="","",IF(O79&lt;&gt;"",O79,IF(OR(U79="",U79="never",U79=0),"",IF(T79="",TODAY(),T79+U79))))</f>
        <v/>
      </c>
      <c r="W79" s="17" t="str">
        <f aca="true">IF(A79="","",IF(V79="","no rhythm",IF(V79&lt;TODAY(),"Overdue",IF(V79=TODAY(),"Today",IF(V79&lt;=TODAY()+7,"Soon","Later")))))</f>
        <v/>
      </c>
      <c r="X79" s="15" t="str">
        <f aca="true">IF(OR(A79="",V79=""),"",TODAY()-V79)</f>
        <v/>
      </c>
      <c r="Y79" s="15" t="str">
        <f aca="false">IF(A79="","",IFERROR(INDEX(Lists!$I$5:$I$12,MATCH(I79,Lists!$G$5:$G$12,0)),""))</f>
        <v/>
      </c>
      <c r="Z79" s="15" t="str">
        <f aca="false">IF(AND(X79&lt;&gt;"",X79&gt;=0),X79+ROW()/100000,"")</f>
        <v/>
      </c>
    </row>
    <row r="80" customFormat="false" ht="15" hidden="false" customHeight="false" outlineLevel="0" collapsed="false">
      <c r="H80" s="29"/>
      <c r="I80" s="29"/>
      <c r="J80" s="28"/>
      <c r="K80" s="28"/>
      <c r="L80" s="28"/>
      <c r="M80" s="30"/>
      <c r="O80" s="28"/>
      <c r="S80" s="28"/>
      <c r="T80" s="10" t="str">
        <f aca="false">IF(A80="","",IF(COUNTIF(Touches!$B$2:$B$501,A80)=0,"",SUMPRODUCT(MAX((Touches!$B$2:$B$501=A80)*Touches!$A$2:$A$501))))</f>
        <v/>
      </c>
      <c r="U80" s="15" t="str">
        <f aca="false">IF(A80="","",IF(N80&lt;&gt;"",N80,IFERROR(INDEX(Lists!$H$5:$H$12,MATCH(I80,Lists!$G$5:$G$12,0)),"")))</f>
        <v/>
      </c>
      <c r="V80" s="10" t="str">
        <f aca="true">IF(A80="","",IF(O80&lt;&gt;"",O80,IF(OR(U80="",U80="never",U80=0),"",IF(T80="",TODAY(),T80+U80))))</f>
        <v/>
      </c>
      <c r="W80" s="17" t="str">
        <f aca="true">IF(A80="","",IF(V80="","no rhythm",IF(V80&lt;TODAY(),"Overdue",IF(V80=TODAY(),"Today",IF(V80&lt;=TODAY()+7,"Soon","Later")))))</f>
        <v/>
      </c>
      <c r="X80" s="15" t="str">
        <f aca="true">IF(OR(A80="",V80=""),"",TODAY()-V80)</f>
        <v/>
      </c>
      <c r="Y80" s="15" t="str">
        <f aca="false">IF(A80="","",IFERROR(INDEX(Lists!$I$5:$I$12,MATCH(I80,Lists!$G$5:$G$12,0)),""))</f>
        <v/>
      </c>
      <c r="Z80" s="15" t="str">
        <f aca="false">IF(AND(X80&lt;&gt;"",X80&gt;=0),X80+ROW()/100000,"")</f>
        <v/>
      </c>
    </row>
    <row r="81" customFormat="false" ht="15" hidden="false" customHeight="false" outlineLevel="0" collapsed="false">
      <c r="H81" s="29"/>
      <c r="I81" s="29"/>
      <c r="J81" s="28"/>
      <c r="K81" s="28"/>
      <c r="L81" s="28"/>
      <c r="M81" s="30"/>
      <c r="O81" s="28"/>
      <c r="S81" s="28"/>
      <c r="T81" s="10" t="str">
        <f aca="false">IF(A81="","",IF(COUNTIF(Touches!$B$2:$B$501,A81)=0,"",SUMPRODUCT(MAX((Touches!$B$2:$B$501=A81)*Touches!$A$2:$A$501))))</f>
        <v/>
      </c>
      <c r="U81" s="15" t="str">
        <f aca="false">IF(A81="","",IF(N81&lt;&gt;"",N81,IFERROR(INDEX(Lists!$H$5:$H$12,MATCH(I81,Lists!$G$5:$G$12,0)),"")))</f>
        <v/>
      </c>
      <c r="V81" s="10" t="str">
        <f aca="true">IF(A81="","",IF(O81&lt;&gt;"",O81,IF(OR(U81="",U81="never",U81=0),"",IF(T81="",TODAY(),T81+U81))))</f>
        <v/>
      </c>
      <c r="W81" s="17" t="str">
        <f aca="true">IF(A81="","",IF(V81="","no rhythm",IF(V81&lt;TODAY(),"Overdue",IF(V81=TODAY(),"Today",IF(V81&lt;=TODAY()+7,"Soon","Later")))))</f>
        <v/>
      </c>
      <c r="X81" s="15" t="str">
        <f aca="true">IF(OR(A81="",V81=""),"",TODAY()-V81)</f>
        <v/>
      </c>
      <c r="Y81" s="15" t="str">
        <f aca="false">IF(A81="","",IFERROR(INDEX(Lists!$I$5:$I$12,MATCH(I81,Lists!$G$5:$G$12,0)),""))</f>
        <v/>
      </c>
      <c r="Z81" s="15" t="str">
        <f aca="false">IF(AND(X81&lt;&gt;"",X81&gt;=0),X81+ROW()/100000,"")</f>
        <v/>
      </c>
    </row>
    <row r="82" customFormat="false" ht="15" hidden="false" customHeight="false" outlineLevel="0" collapsed="false">
      <c r="H82" s="29"/>
      <c r="I82" s="29"/>
      <c r="J82" s="28"/>
      <c r="K82" s="28"/>
      <c r="L82" s="28"/>
      <c r="M82" s="30"/>
      <c r="O82" s="28"/>
      <c r="S82" s="28"/>
      <c r="T82" s="10" t="str">
        <f aca="false">IF(A82="","",IF(COUNTIF(Touches!$B$2:$B$501,A82)=0,"",SUMPRODUCT(MAX((Touches!$B$2:$B$501=A82)*Touches!$A$2:$A$501))))</f>
        <v/>
      </c>
      <c r="U82" s="15" t="str">
        <f aca="false">IF(A82="","",IF(N82&lt;&gt;"",N82,IFERROR(INDEX(Lists!$H$5:$H$12,MATCH(I82,Lists!$G$5:$G$12,0)),"")))</f>
        <v/>
      </c>
      <c r="V82" s="10" t="str">
        <f aca="true">IF(A82="","",IF(O82&lt;&gt;"",O82,IF(OR(U82="",U82="never",U82=0),"",IF(T82="",TODAY(),T82+U82))))</f>
        <v/>
      </c>
      <c r="W82" s="17" t="str">
        <f aca="true">IF(A82="","",IF(V82="","no rhythm",IF(V82&lt;TODAY(),"Overdue",IF(V82=TODAY(),"Today",IF(V82&lt;=TODAY()+7,"Soon","Later")))))</f>
        <v/>
      </c>
      <c r="X82" s="15" t="str">
        <f aca="true">IF(OR(A82="",V82=""),"",TODAY()-V82)</f>
        <v/>
      </c>
      <c r="Y82" s="15" t="str">
        <f aca="false">IF(A82="","",IFERROR(INDEX(Lists!$I$5:$I$12,MATCH(I82,Lists!$G$5:$G$12,0)),""))</f>
        <v/>
      </c>
      <c r="Z82" s="15" t="str">
        <f aca="false">IF(AND(X82&lt;&gt;"",X82&gt;=0),X82+ROW()/100000,"")</f>
        <v/>
      </c>
    </row>
    <row r="83" customFormat="false" ht="15" hidden="false" customHeight="false" outlineLevel="0" collapsed="false">
      <c r="H83" s="29"/>
      <c r="I83" s="29"/>
      <c r="J83" s="28"/>
      <c r="K83" s="28"/>
      <c r="L83" s="28"/>
      <c r="M83" s="30"/>
      <c r="O83" s="28"/>
      <c r="S83" s="28"/>
      <c r="T83" s="10" t="str">
        <f aca="false">IF(A83="","",IF(COUNTIF(Touches!$B$2:$B$501,A83)=0,"",SUMPRODUCT(MAX((Touches!$B$2:$B$501=A83)*Touches!$A$2:$A$501))))</f>
        <v/>
      </c>
      <c r="U83" s="15" t="str">
        <f aca="false">IF(A83="","",IF(N83&lt;&gt;"",N83,IFERROR(INDEX(Lists!$H$5:$H$12,MATCH(I83,Lists!$G$5:$G$12,0)),"")))</f>
        <v/>
      </c>
      <c r="V83" s="10" t="str">
        <f aca="true">IF(A83="","",IF(O83&lt;&gt;"",O83,IF(OR(U83="",U83="never",U83=0),"",IF(T83="",TODAY(),T83+U83))))</f>
        <v/>
      </c>
      <c r="W83" s="17" t="str">
        <f aca="true">IF(A83="","",IF(V83="","no rhythm",IF(V83&lt;TODAY(),"Overdue",IF(V83=TODAY(),"Today",IF(V83&lt;=TODAY()+7,"Soon","Later")))))</f>
        <v/>
      </c>
      <c r="X83" s="15" t="str">
        <f aca="true">IF(OR(A83="",V83=""),"",TODAY()-V83)</f>
        <v/>
      </c>
      <c r="Y83" s="15" t="str">
        <f aca="false">IF(A83="","",IFERROR(INDEX(Lists!$I$5:$I$12,MATCH(I83,Lists!$G$5:$G$12,0)),""))</f>
        <v/>
      </c>
      <c r="Z83" s="15" t="str">
        <f aca="false">IF(AND(X83&lt;&gt;"",X83&gt;=0),X83+ROW()/100000,"")</f>
        <v/>
      </c>
    </row>
    <row r="84" customFormat="false" ht="15" hidden="false" customHeight="false" outlineLevel="0" collapsed="false">
      <c r="H84" s="29"/>
      <c r="I84" s="29"/>
      <c r="J84" s="28"/>
      <c r="K84" s="28"/>
      <c r="L84" s="28"/>
      <c r="M84" s="30"/>
      <c r="O84" s="28"/>
      <c r="S84" s="28"/>
      <c r="T84" s="10" t="str">
        <f aca="false">IF(A84="","",IF(COUNTIF(Touches!$B$2:$B$501,A84)=0,"",SUMPRODUCT(MAX((Touches!$B$2:$B$501=A84)*Touches!$A$2:$A$501))))</f>
        <v/>
      </c>
      <c r="U84" s="15" t="str">
        <f aca="false">IF(A84="","",IF(N84&lt;&gt;"",N84,IFERROR(INDEX(Lists!$H$5:$H$12,MATCH(I84,Lists!$G$5:$G$12,0)),"")))</f>
        <v/>
      </c>
      <c r="V84" s="10" t="str">
        <f aca="true">IF(A84="","",IF(O84&lt;&gt;"",O84,IF(OR(U84="",U84="never",U84=0),"",IF(T84="",TODAY(),T84+U84))))</f>
        <v/>
      </c>
      <c r="W84" s="17" t="str">
        <f aca="true">IF(A84="","",IF(V84="","no rhythm",IF(V84&lt;TODAY(),"Overdue",IF(V84=TODAY(),"Today",IF(V84&lt;=TODAY()+7,"Soon","Later")))))</f>
        <v/>
      </c>
      <c r="X84" s="15" t="str">
        <f aca="true">IF(OR(A84="",V84=""),"",TODAY()-V84)</f>
        <v/>
      </c>
      <c r="Y84" s="15" t="str">
        <f aca="false">IF(A84="","",IFERROR(INDEX(Lists!$I$5:$I$12,MATCH(I84,Lists!$G$5:$G$12,0)),""))</f>
        <v/>
      </c>
      <c r="Z84" s="15" t="str">
        <f aca="false">IF(AND(X84&lt;&gt;"",X84&gt;=0),X84+ROW()/100000,"")</f>
        <v/>
      </c>
    </row>
    <row r="85" customFormat="false" ht="15" hidden="false" customHeight="false" outlineLevel="0" collapsed="false">
      <c r="H85" s="29"/>
      <c r="I85" s="29"/>
      <c r="J85" s="28"/>
      <c r="K85" s="28"/>
      <c r="L85" s="28"/>
      <c r="M85" s="30"/>
      <c r="O85" s="28"/>
      <c r="S85" s="28"/>
      <c r="T85" s="10" t="str">
        <f aca="false">IF(A85="","",IF(COUNTIF(Touches!$B$2:$B$501,A85)=0,"",SUMPRODUCT(MAX((Touches!$B$2:$B$501=A85)*Touches!$A$2:$A$501))))</f>
        <v/>
      </c>
      <c r="U85" s="15" t="str">
        <f aca="false">IF(A85="","",IF(N85&lt;&gt;"",N85,IFERROR(INDEX(Lists!$H$5:$H$12,MATCH(I85,Lists!$G$5:$G$12,0)),"")))</f>
        <v/>
      </c>
      <c r="V85" s="10" t="str">
        <f aca="true">IF(A85="","",IF(O85&lt;&gt;"",O85,IF(OR(U85="",U85="never",U85=0),"",IF(T85="",TODAY(),T85+U85))))</f>
        <v/>
      </c>
      <c r="W85" s="17" t="str">
        <f aca="true">IF(A85="","",IF(V85="","no rhythm",IF(V85&lt;TODAY(),"Overdue",IF(V85=TODAY(),"Today",IF(V85&lt;=TODAY()+7,"Soon","Later")))))</f>
        <v/>
      </c>
      <c r="X85" s="15" t="str">
        <f aca="true">IF(OR(A85="",V85=""),"",TODAY()-V85)</f>
        <v/>
      </c>
      <c r="Y85" s="15" t="str">
        <f aca="false">IF(A85="","",IFERROR(INDEX(Lists!$I$5:$I$12,MATCH(I85,Lists!$G$5:$G$12,0)),""))</f>
        <v/>
      </c>
      <c r="Z85" s="15" t="str">
        <f aca="false">IF(AND(X85&lt;&gt;"",X85&gt;=0),X85+ROW()/100000,"")</f>
        <v/>
      </c>
    </row>
    <row r="86" customFormat="false" ht="15" hidden="false" customHeight="false" outlineLevel="0" collapsed="false">
      <c r="H86" s="29"/>
      <c r="I86" s="29"/>
      <c r="J86" s="28"/>
      <c r="K86" s="28"/>
      <c r="L86" s="28"/>
      <c r="M86" s="30"/>
      <c r="O86" s="28"/>
      <c r="S86" s="28"/>
      <c r="T86" s="10" t="str">
        <f aca="false">IF(A86="","",IF(COUNTIF(Touches!$B$2:$B$501,A86)=0,"",SUMPRODUCT(MAX((Touches!$B$2:$B$501=A86)*Touches!$A$2:$A$501))))</f>
        <v/>
      </c>
      <c r="U86" s="15" t="str">
        <f aca="false">IF(A86="","",IF(N86&lt;&gt;"",N86,IFERROR(INDEX(Lists!$H$5:$H$12,MATCH(I86,Lists!$G$5:$G$12,0)),"")))</f>
        <v/>
      </c>
      <c r="V86" s="10" t="str">
        <f aca="true">IF(A86="","",IF(O86&lt;&gt;"",O86,IF(OR(U86="",U86="never",U86=0),"",IF(T86="",TODAY(),T86+U86))))</f>
        <v/>
      </c>
      <c r="W86" s="17" t="str">
        <f aca="true">IF(A86="","",IF(V86="","no rhythm",IF(V86&lt;TODAY(),"Overdue",IF(V86=TODAY(),"Today",IF(V86&lt;=TODAY()+7,"Soon","Later")))))</f>
        <v/>
      </c>
      <c r="X86" s="15" t="str">
        <f aca="true">IF(OR(A86="",V86=""),"",TODAY()-V86)</f>
        <v/>
      </c>
      <c r="Y86" s="15" t="str">
        <f aca="false">IF(A86="","",IFERROR(INDEX(Lists!$I$5:$I$12,MATCH(I86,Lists!$G$5:$G$12,0)),""))</f>
        <v/>
      </c>
      <c r="Z86" s="15" t="str">
        <f aca="false">IF(AND(X86&lt;&gt;"",X86&gt;=0),X86+ROW()/100000,"")</f>
        <v/>
      </c>
    </row>
    <row r="87" customFormat="false" ht="15" hidden="false" customHeight="false" outlineLevel="0" collapsed="false">
      <c r="H87" s="29"/>
      <c r="I87" s="29"/>
      <c r="J87" s="28"/>
      <c r="K87" s="28"/>
      <c r="L87" s="28"/>
      <c r="M87" s="30"/>
      <c r="O87" s="28"/>
      <c r="S87" s="28"/>
      <c r="T87" s="10" t="str">
        <f aca="false">IF(A87="","",IF(COUNTIF(Touches!$B$2:$B$501,A87)=0,"",SUMPRODUCT(MAX((Touches!$B$2:$B$501=A87)*Touches!$A$2:$A$501))))</f>
        <v/>
      </c>
      <c r="U87" s="15" t="str">
        <f aca="false">IF(A87="","",IF(N87&lt;&gt;"",N87,IFERROR(INDEX(Lists!$H$5:$H$12,MATCH(I87,Lists!$G$5:$G$12,0)),"")))</f>
        <v/>
      </c>
      <c r="V87" s="10" t="str">
        <f aca="true">IF(A87="","",IF(O87&lt;&gt;"",O87,IF(OR(U87="",U87="never",U87=0),"",IF(T87="",TODAY(),T87+U87))))</f>
        <v/>
      </c>
      <c r="W87" s="17" t="str">
        <f aca="true">IF(A87="","",IF(V87="","no rhythm",IF(V87&lt;TODAY(),"Overdue",IF(V87=TODAY(),"Today",IF(V87&lt;=TODAY()+7,"Soon","Later")))))</f>
        <v/>
      </c>
      <c r="X87" s="15" t="str">
        <f aca="true">IF(OR(A87="",V87=""),"",TODAY()-V87)</f>
        <v/>
      </c>
      <c r="Y87" s="15" t="str">
        <f aca="false">IF(A87="","",IFERROR(INDEX(Lists!$I$5:$I$12,MATCH(I87,Lists!$G$5:$G$12,0)),""))</f>
        <v/>
      </c>
      <c r="Z87" s="15" t="str">
        <f aca="false">IF(AND(X87&lt;&gt;"",X87&gt;=0),X87+ROW()/100000,"")</f>
        <v/>
      </c>
    </row>
    <row r="88" customFormat="false" ht="15" hidden="false" customHeight="false" outlineLevel="0" collapsed="false">
      <c r="H88" s="29"/>
      <c r="I88" s="29"/>
      <c r="J88" s="28"/>
      <c r="K88" s="28"/>
      <c r="L88" s="28"/>
      <c r="M88" s="30"/>
      <c r="O88" s="28"/>
      <c r="S88" s="28"/>
      <c r="T88" s="10" t="str">
        <f aca="false">IF(A88="","",IF(COUNTIF(Touches!$B$2:$B$501,A88)=0,"",SUMPRODUCT(MAX((Touches!$B$2:$B$501=A88)*Touches!$A$2:$A$501))))</f>
        <v/>
      </c>
      <c r="U88" s="15" t="str">
        <f aca="false">IF(A88="","",IF(N88&lt;&gt;"",N88,IFERROR(INDEX(Lists!$H$5:$H$12,MATCH(I88,Lists!$G$5:$G$12,0)),"")))</f>
        <v/>
      </c>
      <c r="V88" s="10" t="str">
        <f aca="true">IF(A88="","",IF(O88&lt;&gt;"",O88,IF(OR(U88="",U88="never",U88=0),"",IF(T88="",TODAY(),T88+U88))))</f>
        <v/>
      </c>
      <c r="W88" s="17" t="str">
        <f aca="true">IF(A88="","",IF(V88="","no rhythm",IF(V88&lt;TODAY(),"Overdue",IF(V88=TODAY(),"Today",IF(V88&lt;=TODAY()+7,"Soon","Later")))))</f>
        <v/>
      </c>
      <c r="X88" s="15" t="str">
        <f aca="true">IF(OR(A88="",V88=""),"",TODAY()-V88)</f>
        <v/>
      </c>
      <c r="Y88" s="15" t="str">
        <f aca="false">IF(A88="","",IFERROR(INDEX(Lists!$I$5:$I$12,MATCH(I88,Lists!$G$5:$G$12,0)),""))</f>
        <v/>
      </c>
      <c r="Z88" s="15" t="str">
        <f aca="false">IF(AND(X88&lt;&gt;"",X88&gt;=0),X88+ROW()/100000,"")</f>
        <v/>
      </c>
    </row>
    <row r="89" customFormat="false" ht="15" hidden="false" customHeight="false" outlineLevel="0" collapsed="false">
      <c r="H89" s="29"/>
      <c r="I89" s="29"/>
      <c r="J89" s="28"/>
      <c r="K89" s="28"/>
      <c r="L89" s="28"/>
      <c r="M89" s="30"/>
      <c r="O89" s="28"/>
      <c r="S89" s="28"/>
      <c r="T89" s="10" t="str">
        <f aca="false">IF(A89="","",IF(COUNTIF(Touches!$B$2:$B$501,A89)=0,"",SUMPRODUCT(MAX((Touches!$B$2:$B$501=A89)*Touches!$A$2:$A$501))))</f>
        <v/>
      </c>
      <c r="U89" s="15" t="str">
        <f aca="false">IF(A89="","",IF(N89&lt;&gt;"",N89,IFERROR(INDEX(Lists!$H$5:$H$12,MATCH(I89,Lists!$G$5:$G$12,0)),"")))</f>
        <v/>
      </c>
      <c r="V89" s="10" t="str">
        <f aca="true">IF(A89="","",IF(O89&lt;&gt;"",O89,IF(OR(U89="",U89="never",U89=0),"",IF(T89="",TODAY(),T89+U89))))</f>
        <v/>
      </c>
      <c r="W89" s="17" t="str">
        <f aca="true">IF(A89="","",IF(V89="","no rhythm",IF(V89&lt;TODAY(),"Overdue",IF(V89=TODAY(),"Today",IF(V89&lt;=TODAY()+7,"Soon","Later")))))</f>
        <v/>
      </c>
      <c r="X89" s="15" t="str">
        <f aca="true">IF(OR(A89="",V89=""),"",TODAY()-V89)</f>
        <v/>
      </c>
      <c r="Y89" s="15" t="str">
        <f aca="false">IF(A89="","",IFERROR(INDEX(Lists!$I$5:$I$12,MATCH(I89,Lists!$G$5:$G$12,0)),""))</f>
        <v/>
      </c>
      <c r="Z89" s="15" t="str">
        <f aca="false">IF(AND(X89&lt;&gt;"",X89&gt;=0),X89+ROW()/100000,"")</f>
        <v/>
      </c>
    </row>
    <row r="90" customFormat="false" ht="15" hidden="false" customHeight="false" outlineLevel="0" collapsed="false">
      <c r="H90" s="29"/>
      <c r="I90" s="29"/>
      <c r="J90" s="28"/>
      <c r="K90" s="28"/>
      <c r="L90" s="28"/>
      <c r="M90" s="30"/>
      <c r="O90" s="28"/>
      <c r="S90" s="28"/>
      <c r="T90" s="10" t="str">
        <f aca="false">IF(A90="","",IF(COUNTIF(Touches!$B$2:$B$501,A90)=0,"",SUMPRODUCT(MAX((Touches!$B$2:$B$501=A90)*Touches!$A$2:$A$501))))</f>
        <v/>
      </c>
      <c r="U90" s="15" t="str">
        <f aca="false">IF(A90="","",IF(N90&lt;&gt;"",N90,IFERROR(INDEX(Lists!$H$5:$H$12,MATCH(I90,Lists!$G$5:$G$12,0)),"")))</f>
        <v/>
      </c>
      <c r="V90" s="10" t="str">
        <f aca="true">IF(A90="","",IF(O90&lt;&gt;"",O90,IF(OR(U90="",U90="never",U90=0),"",IF(T90="",TODAY(),T90+U90))))</f>
        <v/>
      </c>
      <c r="W90" s="17" t="str">
        <f aca="true">IF(A90="","",IF(V90="","no rhythm",IF(V90&lt;TODAY(),"Overdue",IF(V90=TODAY(),"Today",IF(V90&lt;=TODAY()+7,"Soon","Later")))))</f>
        <v/>
      </c>
      <c r="X90" s="15" t="str">
        <f aca="true">IF(OR(A90="",V90=""),"",TODAY()-V90)</f>
        <v/>
      </c>
      <c r="Y90" s="15" t="str">
        <f aca="false">IF(A90="","",IFERROR(INDEX(Lists!$I$5:$I$12,MATCH(I90,Lists!$G$5:$G$12,0)),""))</f>
        <v/>
      </c>
      <c r="Z90" s="15" t="str">
        <f aca="false">IF(AND(X90&lt;&gt;"",X90&gt;=0),X90+ROW()/100000,"")</f>
        <v/>
      </c>
    </row>
    <row r="91" customFormat="false" ht="15" hidden="false" customHeight="false" outlineLevel="0" collapsed="false">
      <c r="H91" s="29"/>
      <c r="I91" s="29"/>
      <c r="J91" s="28"/>
      <c r="K91" s="28"/>
      <c r="L91" s="28"/>
      <c r="M91" s="30"/>
      <c r="O91" s="28"/>
      <c r="S91" s="28"/>
      <c r="T91" s="10" t="str">
        <f aca="false">IF(A91="","",IF(COUNTIF(Touches!$B$2:$B$501,A91)=0,"",SUMPRODUCT(MAX((Touches!$B$2:$B$501=A91)*Touches!$A$2:$A$501))))</f>
        <v/>
      </c>
      <c r="U91" s="15" t="str">
        <f aca="false">IF(A91="","",IF(N91&lt;&gt;"",N91,IFERROR(INDEX(Lists!$H$5:$H$12,MATCH(I91,Lists!$G$5:$G$12,0)),"")))</f>
        <v/>
      </c>
      <c r="V91" s="10" t="str">
        <f aca="true">IF(A91="","",IF(O91&lt;&gt;"",O91,IF(OR(U91="",U91="never",U91=0),"",IF(T91="",TODAY(),T91+U91))))</f>
        <v/>
      </c>
      <c r="W91" s="17" t="str">
        <f aca="true">IF(A91="","",IF(V91="","no rhythm",IF(V91&lt;TODAY(),"Overdue",IF(V91=TODAY(),"Today",IF(V91&lt;=TODAY()+7,"Soon","Later")))))</f>
        <v/>
      </c>
      <c r="X91" s="15" t="str">
        <f aca="true">IF(OR(A91="",V91=""),"",TODAY()-V91)</f>
        <v/>
      </c>
      <c r="Y91" s="15" t="str">
        <f aca="false">IF(A91="","",IFERROR(INDEX(Lists!$I$5:$I$12,MATCH(I91,Lists!$G$5:$G$12,0)),""))</f>
        <v/>
      </c>
      <c r="Z91" s="15" t="str">
        <f aca="false">IF(AND(X91&lt;&gt;"",X91&gt;=0),X91+ROW()/100000,"")</f>
        <v/>
      </c>
    </row>
    <row r="92" customFormat="false" ht="15" hidden="false" customHeight="false" outlineLevel="0" collapsed="false">
      <c r="H92" s="29"/>
      <c r="I92" s="29"/>
      <c r="J92" s="28"/>
      <c r="K92" s="28"/>
      <c r="L92" s="28"/>
      <c r="M92" s="30"/>
      <c r="O92" s="28"/>
      <c r="S92" s="28"/>
      <c r="T92" s="10" t="str">
        <f aca="false">IF(A92="","",IF(COUNTIF(Touches!$B$2:$B$501,A92)=0,"",SUMPRODUCT(MAX((Touches!$B$2:$B$501=A92)*Touches!$A$2:$A$501))))</f>
        <v/>
      </c>
      <c r="U92" s="15" t="str">
        <f aca="false">IF(A92="","",IF(N92&lt;&gt;"",N92,IFERROR(INDEX(Lists!$H$5:$H$12,MATCH(I92,Lists!$G$5:$G$12,0)),"")))</f>
        <v/>
      </c>
      <c r="V92" s="10" t="str">
        <f aca="true">IF(A92="","",IF(O92&lt;&gt;"",O92,IF(OR(U92="",U92="never",U92=0),"",IF(T92="",TODAY(),T92+U92))))</f>
        <v/>
      </c>
      <c r="W92" s="17" t="str">
        <f aca="true">IF(A92="","",IF(V92="","no rhythm",IF(V92&lt;TODAY(),"Overdue",IF(V92=TODAY(),"Today",IF(V92&lt;=TODAY()+7,"Soon","Later")))))</f>
        <v/>
      </c>
      <c r="X92" s="15" t="str">
        <f aca="true">IF(OR(A92="",V92=""),"",TODAY()-V92)</f>
        <v/>
      </c>
      <c r="Y92" s="15" t="str">
        <f aca="false">IF(A92="","",IFERROR(INDEX(Lists!$I$5:$I$12,MATCH(I92,Lists!$G$5:$G$12,0)),""))</f>
        <v/>
      </c>
      <c r="Z92" s="15" t="str">
        <f aca="false">IF(AND(X92&lt;&gt;"",X92&gt;=0),X92+ROW()/100000,"")</f>
        <v/>
      </c>
    </row>
    <row r="93" customFormat="false" ht="15" hidden="false" customHeight="false" outlineLevel="0" collapsed="false">
      <c r="H93" s="29"/>
      <c r="I93" s="29"/>
      <c r="J93" s="28"/>
      <c r="K93" s="28"/>
      <c r="L93" s="28"/>
      <c r="M93" s="30"/>
      <c r="O93" s="28"/>
      <c r="S93" s="28"/>
      <c r="T93" s="10" t="str">
        <f aca="false">IF(A93="","",IF(COUNTIF(Touches!$B$2:$B$501,A93)=0,"",SUMPRODUCT(MAX((Touches!$B$2:$B$501=A93)*Touches!$A$2:$A$501))))</f>
        <v/>
      </c>
      <c r="U93" s="15" t="str">
        <f aca="false">IF(A93="","",IF(N93&lt;&gt;"",N93,IFERROR(INDEX(Lists!$H$5:$H$12,MATCH(I93,Lists!$G$5:$G$12,0)),"")))</f>
        <v/>
      </c>
      <c r="V93" s="10" t="str">
        <f aca="true">IF(A93="","",IF(O93&lt;&gt;"",O93,IF(OR(U93="",U93="never",U93=0),"",IF(T93="",TODAY(),T93+U93))))</f>
        <v/>
      </c>
      <c r="W93" s="17" t="str">
        <f aca="true">IF(A93="","",IF(V93="","no rhythm",IF(V93&lt;TODAY(),"Overdue",IF(V93=TODAY(),"Today",IF(V93&lt;=TODAY()+7,"Soon","Later")))))</f>
        <v/>
      </c>
      <c r="X93" s="15" t="str">
        <f aca="true">IF(OR(A93="",V93=""),"",TODAY()-V93)</f>
        <v/>
      </c>
      <c r="Y93" s="15" t="str">
        <f aca="false">IF(A93="","",IFERROR(INDEX(Lists!$I$5:$I$12,MATCH(I93,Lists!$G$5:$G$12,0)),""))</f>
        <v/>
      </c>
      <c r="Z93" s="15" t="str">
        <f aca="false">IF(AND(X93&lt;&gt;"",X93&gt;=0),X93+ROW()/100000,"")</f>
        <v/>
      </c>
    </row>
    <row r="94" customFormat="false" ht="15" hidden="false" customHeight="false" outlineLevel="0" collapsed="false">
      <c r="H94" s="29"/>
      <c r="I94" s="29"/>
      <c r="J94" s="28"/>
      <c r="K94" s="28"/>
      <c r="L94" s="28"/>
      <c r="M94" s="30"/>
      <c r="O94" s="28"/>
      <c r="S94" s="28"/>
      <c r="T94" s="10" t="str">
        <f aca="false">IF(A94="","",IF(COUNTIF(Touches!$B$2:$B$501,A94)=0,"",SUMPRODUCT(MAX((Touches!$B$2:$B$501=A94)*Touches!$A$2:$A$501))))</f>
        <v/>
      </c>
      <c r="U94" s="15" t="str">
        <f aca="false">IF(A94="","",IF(N94&lt;&gt;"",N94,IFERROR(INDEX(Lists!$H$5:$H$12,MATCH(I94,Lists!$G$5:$G$12,0)),"")))</f>
        <v/>
      </c>
      <c r="V94" s="10" t="str">
        <f aca="true">IF(A94="","",IF(O94&lt;&gt;"",O94,IF(OR(U94="",U94="never",U94=0),"",IF(T94="",TODAY(),T94+U94))))</f>
        <v/>
      </c>
      <c r="W94" s="17" t="str">
        <f aca="true">IF(A94="","",IF(V94="","no rhythm",IF(V94&lt;TODAY(),"Overdue",IF(V94=TODAY(),"Today",IF(V94&lt;=TODAY()+7,"Soon","Later")))))</f>
        <v/>
      </c>
      <c r="X94" s="15" t="str">
        <f aca="true">IF(OR(A94="",V94=""),"",TODAY()-V94)</f>
        <v/>
      </c>
      <c r="Y94" s="15" t="str">
        <f aca="false">IF(A94="","",IFERROR(INDEX(Lists!$I$5:$I$12,MATCH(I94,Lists!$G$5:$G$12,0)),""))</f>
        <v/>
      </c>
      <c r="Z94" s="15" t="str">
        <f aca="false">IF(AND(X94&lt;&gt;"",X94&gt;=0),X94+ROW()/100000,"")</f>
        <v/>
      </c>
    </row>
    <row r="95" customFormat="false" ht="15" hidden="false" customHeight="false" outlineLevel="0" collapsed="false">
      <c r="H95" s="29"/>
      <c r="I95" s="29"/>
      <c r="J95" s="28"/>
      <c r="K95" s="28"/>
      <c r="L95" s="28"/>
      <c r="M95" s="30"/>
      <c r="O95" s="28"/>
      <c r="S95" s="28"/>
      <c r="T95" s="10" t="str">
        <f aca="false">IF(A95="","",IF(COUNTIF(Touches!$B$2:$B$501,A95)=0,"",SUMPRODUCT(MAX((Touches!$B$2:$B$501=A95)*Touches!$A$2:$A$501))))</f>
        <v/>
      </c>
      <c r="U95" s="15" t="str">
        <f aca="false">IF(A95="","",IF(N95&lt;&gt;"",N95,IFERROR(INDEX(Lists!$H$5:$H$12,MATCH(I95,Lists!$G$5:$G$12,0)),"")))</f>
        <v/>
      </c>
      <c r="V95" s="10" t="str">
        <f aca="true">IF(A95="","",IF(O95&lt;&gt;"",O95,IF(OR(U95="",U95="never",U95=0),"",IF(T95="",TODAY(),T95+U95))))</f>
        <v/>
      </c>
      <c r="W95" s="17" t="str">
        <f aca="true">IF(A95="","",IF(V95="","no rhythm",IF(V95&lt;TODAY(),"Overdue",IF(V95=TODAY(),"Today",IF(V95&lt;=TODAY()+7,"Soon","Later")))))</f>
        <v/>
      </c>
      <c r="X95" s="15" t="str">
        <f aca="true">IF(OR(A95="",V95=""),"",TODAY()-V95)</f>
        <v/>
      </c>
      <c r="Y95" s="15" t="str">
        <f aca="false">IF(A95="","",IFERROR(INDEX(Lists!$I$5:$I$12,MATCH(I95,Lists!$G$5:$G$12,0)),""))</f>
        <v/>
      </c>
      <c r="Z95" s="15" t="str">
        <f aca="false">IF(AND(X95&lt;&gt;"",X95&gt;=0),X95+ROW()/100000,"")</f>
        <v/>
      </c>
    </row>
    <row r="96" customFormat="false" ht="15" hidden="false" customHeight="false" outlineLevel="0" collapsed="false">
      <c r="H96" s="29"/>
      <c r="I96" s="29"/>
      <c r="J96" s="28"/>
      <c r="K96" s="28"/>
      <c r="L96" s="28"/>
      <c r="M96" s="30"/>
      <c r="O96" s="28"/>
      <c r="S96" s="28"/>
      <c r="T96" s="10" t="str">
        <f aca="false">IF(A96="","",IF(COUNTIF(Touches!$B$2:$B$501,A96)=0,"",SUMPRODUCT(MAX((Touches!$B$2:$B$501=A96)*Touches!$A$2:$A$501))))</f>
        <v/>
      </c>
      <c r="U96" s="15" t="str">
        <f aca="false">IF(A96="","",IF(N96&lt;&gt;"",N96,IFERROR(INDEX(Lists!$H$5:$H$12,MATCH(I96,Lists!$G$5:$G$12,0)),"")))</f>
        <v/>
      </c>
      <c r="V96" s="10" t="str">
        <f aca="true">IF(A96="","",IF(O96&lt;&gt;"",O96,IF(OR(U96="",U96="never",U96=0),"",IF(T96="",TODAY(),T96+U96))))</f>
        <v/>
      </c>
      <c r="W96" s="17" t="str">
        <f aca="true">IF(A96="","",IF(V96="","no rhythm",IF(V96&lt;TODAY(),"Overdue",IF(V96=TODAY(),"Today",IF(V96&lt;=TODAY()+7,"Soon","Later")))))</f>
        <v/>
      </c>
      <c r="X96" s="15" t="str">
        <f aca="true">IF(OR(A96="",V96=""),"",TODAY()-V96)</f>
        <v/>
      </c>
      <c r="Y96" s="15" t="str">
        <f aca="false">IF(A96="","",IFERROR(INDEX(Lists!$I$5:$I$12,MATCH(I96,Lists!$G$5:$G$12,0)),""))</f>
        <v/>
      </c>
      <c r="Z96" s="15" t="str">
        <f aca="false">IF(AND(X96&lt;&gt;"",X96&gt;=0),X96+ROW()/100000,"")</f>
        <v/>
      </c>
    </row>
    <row r="97" customFormat="false" ht="15" hidden="false" customHeight="false" outlineLevel="0" collapsed="false">
      <c r="H97" s="29"/>
      <c r="I97" s="29"/>
      <c r="J97" s="28"/>
      <c r="K97" s="28"/>
      <c r="L97" s="28"/>
      <c r="M97" s="30"/>
      <c r="O97" s="28"/>
      <c r="S97" s="28"/>
      <c r="T97" s="10" t="str">
        <f aca="false">IF(A97="","",IF(COUNTIF(Touches!$B$2:$B$501,A97)=0,"",SUMPRODUCT(MAX((Touches!$B$2:$B$501=A97)*Touches!$A$2:$A$501))))</f>
        <v/>
      </c>
      <c r="U97" s="15" t="str">
        <f aca="false">IF(A97="","",IF(N97&lt;&gt;"",N97,IFERROR(INDEX(Lists!$H$5:$H$12,MATCH(I97,Lists!$G$5:$G$12,0)),"")))</f>
        <v/>
      </c>
      <c r="V97" s="10" t="str">
        <f aca="true">IF(A97="","",IF(O97&lt;&gt;"",O97,IF(OR(U97="",U97="never",U97=0),"",IF(T97="",TODAY(),T97+U97))))</f>
        <v/>
      </c>
      <c r="W97" s="17" t="str">
        <f aca="true">IF(A97="","",IF(V97="","no rhythm",IF(V97&lt;TODAY(),"Overdue",IF(V97=TODAY(),"Today",IF(V97&lt;=TODAY()+7,"Soon","Later")))))</f>
        <v/>
      </c>
      <c r="X97" s="15" t="str">
        <f aca="true">IF(OR(A97="",V97=""),"",TODAY()-V97)</f>
        <v/>
      </c>
      <c r="Y97" s="15" t="str">
        <f aca="false">IF(A97="","",IFERROR(INDEX(Lists!$I$5:$I$12,MATCH(I97,Lists!$G$5:$G$12,0)),""))</f>
        <v/>
      </c>
      <c r="Z97" s="15" t="str">
        <f aca="false">IF(AND(X97&lt;&gt;"",X97&gt;=0),X97+ROW()/100000,"")</f>
        <v/>
      </c>
    </row>
    <row r="98" customFormat="false" ht="15" hidden="false" customHeight="false" outlineLevel="0" collapsed="false">
      <c r="H98" s="29"/>
      <c r="I98" s="29"/>
      <c r="J98" s="28"/>
      <c r="K98" s="28"/>
      <c r="L98" s="28"/>
      <c r="M98" s="30"/>
      <c r="O98" s="28"/>
      <c r="S98" s="28"/>
      <c r="T98" s="10" t="str">
        <f aca="false">IF(A98="","",IF(COUNTIF(Touches!$B$2:$B$501,A98)=0,"",SUMPRODUCT(MAX((Touches!$B$2:$B$501=A98)*Touches!$A$2:$A$501))))</f>
        <v/>
      </c>
      <c r="U98" s="15" t="str">
        <f aca="false">IF(A98="","",IF(N98&lt;&gt;"",N98,IFERROR(INDEX(Lists!$H$5:$H$12,MATCH(I98,Lists!$G$5:$G$12,0)),"")))</f>
        <v/>
      </c>
      <c r="V98" s="10" t="str">
        <f aca="true">IF(A98="","",IF(O98&lt;&gt;"",O98,IF(OR(U98="",U98="never",U98=0),"",IF(T98="",TODAY(),T98+U98))))</f>
        <v/>
      </c>
      <c r="W98" s="17" t="str">
        <f aca="true">IF(A98="","",IF(V98="","no rhythm",IF(V98&lt;TODAY(),"Overdue",IF(V98=TODAY(),"Today",IF(V98&lt;=TODAY()+7,"Soon","Later")))))</f>
        <v/>
      </c>
      <c r="X98" s="15" t="str">
        <f aca="true">IF(OR(A98="",V98=""),"",TODAY()-V98)</f>
        <v/>
      </c>
      <c r="Y98" s="15" t="str">
        <f aca="false">IF(A98="","",IFERROR(INDEX(Lists!$I$5:$I$12,MATCH(I98,Lists!$G$5:$G$12,0)),""))</f>
        <v/>
      </c>
      <c r="Z98" s="15" t="str">
        <f aca="false">IF(AND(X98&lt;&gt;"",X98&gt;=0),X98+ROW()/100000,"")</f>
        <v/>
      </c>
    </row>
    <row r="99" customFormat="false" ht="15" hidden="false" customHeight="false" outlineLevel="0" collapsed="false">
      <c r="H99" s="29"/>
      <c r="I99" s="29"/>
      <c r="J99" s="28"/>
      <c r="K99" s="28"/>
      <c r="L99" s="28"/>
      <c r="M99" s="30"/>
      <c r="O99" s="28"/>
      <c r="S99" s="28"/>
      <c r="T99" s="10" t="str">
        <f aca="false">IF(A99="","",IF(COUNTIF(Touches!$B$2:$B$501,A99)=0,"",SUMPRODUCT(MAX((Touches!$B$2:$B$501=A99)*Touches!$A$2:$A$501))))</f>
        <v/>
      </c>
      <c r="U99" s="15" t="str">
        <f aca="false">IF(A99="","",IF(N99&lt;&gt;"",N99,IFERROR(INDEX(Lists!$H$5:$H$12,MATCH(I99,Lists!$G$5:$G$12,0)),"")))</f>
        <v/>
      </c>
      <c r="V99" s="10" t="str">
        <f aca="true">IF(A99="","",IF(O99&lt;&gt;"",O99,IF(OR(U99="",U99="never",U99=0),"",IF(T99="",TODAY(),T99+U99))))</f>
        <v/>
      </c>
      <c r="W99" s="17" t="str">
        <f aca="true">IF(A99="","",IF(V99="","no rhythm",IF(V99&lt;TODAY(),"Overdue",IF(V99=TODAY(),"Today",IF(V99&lt;=TODAY()+7,"Soon","Later")))))</f>
        <v/>
      </c>
      <c r="X99" s="15" t="str">
        <f aca="true">IF(OR(A99="",V99=""),"",TODAY()-V99)</f>
        <v/>
      </c>
      <c r="Y99" s="15" t="str">
        <f aca="false">IF(A99="","",IFERROR(INDEX(Lists!$I$5:$I$12,MATCH(I99,Lists!$G$5:$G$12,0)),""))</f>
        <v/>
      </c>
      <c r="Z99" s="15" t="str">
        <f aca="false">IF(AND(X99&lt;&gt;"",X99&gt;=0),X99+ROW()/100000,"")</f>
        <v/>
      </c>
    </row>
    <row r="100" customFormat="false" ht="15" hidden="false" customHeight="false" outlineLevel="0" collapsed="false">
      <c r="H100" s="29"/>
      <c r="I100" s="29"/>
      <c r="J100" s="28"/>
      <c r="K100" s="28"/>
      <c r="L100" s="28"/>
      <c r="M100" s="30"/>
      <c r="O100" s="28"/>
      <c r="S100" s="28"/>
      <c r="T100" s="10" t="str">
        <f aca="false">IF(A100="","",IF(COUNTIF(Touches!$B$2:$B$501,A100)=0,"",SUMPRODUCT(MAX((Touches!$B$2:$B$501=A100)*Touches!$A$2:$A$501))))</f>
        <v/>
      </c>
      <c r="U100" s="15" t="str">
        <f aca="false">IF(A100="","",IF(N100&lt;&gt;"",N100,IFERROR(INDEX(Lists!$H$5:$H$12,MATCH(I100,Lists!$G$5:$G$12,0)),"")))</f>
        <v/>
      </c>
      <c r="V100" s="10" t="str">
        <f aca="true">IF(A100="","",IF(O100&lt;&gt;"",O100,IF(OR(U100="",U100="never",U100=0),"",IF(T100="",TODAY(),T100+U100))))</f>
        <v/>
      </c>
      <c r="W100" s="17" t="str">
        <f aca="true">IF(A100="","",IF(V100="","no rhythm",IF(V100&lt;TODAY(),"Overdue",IF(V100=TODAY(),"Today",IF(V100&lt;=TODAY()+7,"Soon","Later")))))</f>
        <v/>
      </c>
      <c r="X100" s="15" t="str">
        <f aca="true">IF(OR(A100="",V100=""),"",TODAY()-V100)</f>
        <v/>
      </c>
      <c r="Y100" s="15" t="str">
        <f aca="false">IF(A100="","",IFERROR(INDEX(Lists!$I$5:$I$12,MATCH(I100,Lists!$G$5:$G$12,0)),""))</f>
        <v/>
      </c>
      <c r="Z100" s="15" t="str">
        <f aca="false">IF(AND(X100&lt;&gt;"",X100&gt;=0),X100+ROW()/100000,"")</f>
        <v/>
      </c>
    </row>
    <row r="101" customFormat="false" ht="15" hidden="false" customHeight="false" outlineLevel="0" collapsed="false">
      <c r="H101" s="29"/>
      <c r="I101" s="29"/>
      <c r="J101" s="28"/>
      <c r="K101" s="28"/>
      <c r="L101" s="28"/>
      <c r="M101" s="30"/>
      <c r="O101" s="28"/>
      <c r="S101" s="28"/>
      <c r="T101" s="10" t="str">
        <f aca="false">IF(A101="","",IF(COUNTIF(Touches!$B$2:$B$501,A101)=0,"",SUMPRODUCT(MAX((Touches!$B$2:$B$501=A101)*Touches!$A$2:$A$501))))</f>
        <v/>
      </c>
      <c r="U101" s="15" t="str">
        <f aca="false">IF(A101="","",IF(N101&lt;&gt;"",N101,IFERROR(INDEX(Lists!$H$5:$H$12,MATCH(I101,Lists!$G$5:$G$12,0)),"")))</f>
        <v/>
      </c>
      <c r="V101" s="10" t="str">
        <f aca="true">IF(A101="","",IF(O101&lt;&gt;"",O101,IF(OR(U101="",U101="never",U101=0),"",IF(T101="",TODAY(),T101+U101))))</f>
        <v/>
      </c>
      <c r="W101" s="17" t="str">
        <f aca="true">IF(A101="","",IF(V101="","no rhythm",IF(V101&lt;TODAY(),"Overdue",IF(V101=TODAY(),"Today",IF(V101&lt;=TODAY()+7,"Soon","Later")))))</f>
        <v/>
      </c>
      <c r="X101" s="15" t="str">
        <f aca="true">IF(OR(A101="",V101=""),"",TODAY()-V101)</f>
        <v/>
      </c>
      <c r="Y101" s="15" t="str">
        <f aca="false">IF(A101="","",IFERROR(INDEX(Lists!$I$5:$I$12,MATCH(I101,Lists!$G$5:$G$12,0)),""))</f>
        <v/>
      </c>
      <c r="Z101" s="15" t="str">
        <f aca="false">IF(AND(X101&lt;&gt;"",X101&gt;=0),X101+ROW()/100000,"")</f>
        <v/>
      </c>
    </row>
    <row r="102" customFormat="false" ht="15" hidden="false" customHeight="false" outlineLevel="0" collapsed="false">
      <c r="H102" s="29"/>
      <c r="I102" s="29"/>
      <c r="J102" s="28"/>
      <c r="K102" s="28"/>
      <c r="L102" s="28"/>
      <c r="M102" s="30"/>
      <c r="O102" s="28"/>
      <c r="S102" s="28"/>
      <c r="T102" s="10" t="str">
        <f aca="false">IF(A102="","",IF(COUNTIF(Touches!$B$2:$B$501,A102)=0,"",SUMPRODUCT(MAX((Touches!$B$2:$B$501=A102)*Touches!$A$2:$A$501))))</f>
        <v/>
      </c>
      <c r="U102" s="15" t="str">
        <f aca="false">IF(A102="","",IF(N102&lt;&gt;"",N102,IFERROR(INDEX(Lists!$H$5:$H$12,MATCH(I102,Lists!$G$5:$G$12,0)),"")))</f>
        <v/>
      </c>
      <c r="V102" s="10" t="str">
        <f aca="true">IF(A102="","",IF(O102&lt;&gt;"",O102,IF(OR(U102="",U102="never",U102=0),"",IF(T102="",TODAY(),T102+U102))))</f>
        <v/>
      </c>
      <c r="W102" s="17" t="str">
        <f aca="true">IF(A102="","",IF(V102="","no rhythm",IF(V102&lt;TODAY(),"Overdue",IF(V102=TODAY(),"Today",IF(V102&lt;=TODAY()+7,"Soon","Later")))))</f>
        <v/>
      </c>
      <c r="X102" s="15" t="str">
        <f aca="true">IF(OR(A102="",V102=""),"",TODAY()-V102)</f>
        <v/>
      </c>
      <c r="Y102" s="15" t="str">
        <f aca="false">IF(A102="","",IFERROR(INDEX(Lists!$I$5:$I$12,MATCH(I102,Lists!$G$5:$G$12,0)),""))</f>
        <v/>
      </c>
      <c r="Z102" s="15" t="str">
        <f aca="false">IF(AND(X102&lt;&gt;"",X102&gt;=0),X102+ROW()/100000,"")</f>
        <v/>
      </c>
    </row>
    <row r="103" customFormat="false" ht="15" hidden="false" customHeight="false" outlineLevel="0" collapsed="false">
      <c r="H103" s="29"/>
      <c r="I103" s="29"/>
      <c r="J103" s="28"/>
      <c r="K103" s="28"/>
      <c r="L103" s="28"/>
      <c r="M103" s="30"/>
      <c r="O103" s="28"/>
      <c r="S103" s="28"/>
      <c r="T103" s="10" t="str">
        <f aca="false">IF(A103="","",IF(COUNTIF(Touches!$B$2:$B$501,A103)=0,"",SUMPRODUCT(MAX((Touches!$B$2:$B$501=A103)*Touches!$A$2:$A$501))))</f>
        <v/>
      </c>
      <c r="U103" s="15" t="str">
        <f aca="false">IF(A103="","",IF(N103&lt;&gt;"",N103,IFERROR(INDEX(Lists!$H$5:$H$12,MATCH(I103,Lists!$G$5:$G$12,0)),"")))</f>
        <v/>
      </c>
      <c r="V103" s="10" t="str">
        <f aca="true">IF(A103="","",IF(O103&lt;&gt;"",O103,IF(OR(U103="",U103="never",U103=0),"",IF(T103="",TODAY(),T103+U103))))</f>
        <v/>
      </c>
      <c r="W103" s="17" t="str">
        <f aca="true">IF(A103="","",IF(V103="","no rhythm",IF(V103&lt;TODAY(),"Overdue",IF(V103=TODAY(),"Today",IF(V103&lt;=TODAY()+7,"Soon","Later")))))</f>
        <v/>
      </c>
      <c r="X103" s="15" t="str">
        <f aca="true">IF(OR(A103="",V103=""),"",TODAY()-V103)</f>
        <v/>
      </c>
      <c r="Y103" s="15" t="str">
        <f aca="false">IF(A103="","",IFERROR(INDEX(Lists!$I$5:$I$12,MATCH(I103,Lists!$G$5:$G$12,0)),""))</f>
        <v/>
      </c>
      <c r="Z103" s="15" t="str">
        <f aca="false">IF(AND(X103&lt;&gt;"",X103&gt;=0),X103+ROW()/100000,"")</f>
        <v/>
      </c>
    </row>
    <row r="104" customFormat="false" ht="15" hidden="false" customHeight="false" outlineLevel="0" collapsed="false">
      <c r="H104" s="29"/>
      <c r="I104" s="29"/>
      <c r="J104" s="28"/>
      <c r="K104" s="28"/>
      <c r="L104" s="28"/>
      <c r="M104" s="30"/>
      <c r="O104" s="28"/>
      <c r="S104" s="28"/>
      <c r="T104" s="10" t="str">
        <f aca="false">IF(A104="","",IF(COUNTIF(Touches!$B$2:$B$501,A104)=0,"",SUMPRODUCT(MAX((Touches!$B$2:$B$501=A104)*Touches!$A$2:$A$501))))</f>
        <v/>
      </c>
      <c r="U104" s="15" t="str">
        <f aca="false">IF(A104="","",IF(N104&lt;&gt;"",N104,IFERROR(INDEX(Lists!$H$5:$H$12,MATCH(I104,Lists!$G$5:$G$12,0)),"")))</f>
        <v/>
      </c>
      <c r="V104" s="10" t="str">
        <f aca="true">IF(A104="","",IF(O104&lt;&gt;"",O104,IF(OR(U104="",U104="never",U104=0),"",IF(T104="",TODAY(),T104+U104))))</f>
        <v/>
      </c>
      <c r="W104" s="17" t="str">
        <f aca="true">IF(A104="","",IF(V104="","no rhythm",IF(V104&lt;TODAY(),"Overdue",IF(V104=TODAY(),"Today",IF(V104&lt;=TODAY()+7,"Soon","Later")))))</f>
        <v/>
      </c>
      <c r="X104" s="15" t="str">
        <f aca="true">IF(OR(A104="",V104=""),"",TODAY()-V104)</f>
        <v/>
      </c>
      <c r="Y104" s="15" t="str">
        <f aca="false">IF(A104="","",IFERROR(INDEX(Lists!$I$5:$I$12,MATCH(I104,Lists!$G$5:$G$12,0)),""))</f>
        <v/>
      </c>
      <c r="Z104" s="15" t="str">
        <f aca="false">IF(AND(X104&lt;&gt;"",X104&gt;=0),X104+ROW()/100000,"")</f>
        <v/>
      </c>
    </row>
    <row r="105" customFormat="false" ht="15" hidden="false" customHeight="false" outlineLevel="0" collapsed="false">
      <c r="H105" s="29"/>
      <c r="I105" s="29"/>
      <c r="J105" s="28"/>
      <c r="K105" s="28"/>
      <c r="L105" s="28"/>
      <c r="M105" s="30"/>
      <c r="O105" s="28"/>
      <c r="S105" s="28"/>
      <c r="T105" s="10" t="str">
        <f aca="false">IF(A105="","",IF(COUNTIF(Touches!$B$2:$B$501,A105)=0,"",SUMPRODUCT(MAX((Touches!$B$2:$B$501=A105)*Touches!$A$2:$A$501))))</f>
        <v/>
      </c>
      <c r="U105" s="15" t="str">
        <f aca="false">IF(A105="","",IF(N105&lt;&gt;"",N105,IFERROR(INDEX(Lists!$H$5:$H$12,MATCH(I105,Lists!$G$5:$G$12,0)),"")))</f>
        <v/>
      </c>
      <c r="V105" s="10" t="str">
        <f aca="true">IF(A105="","",IF(O105&lt;&gt;"",O105,IF(OR(U105="",U105="never",U105=0),"",IF(T105="",TODAY(),T105+U105))))</f>
        <v/>
      </c>
      <c r="W105" s="17" t="str">
        <f aca="true">IF(A105="","",IF(V105="","no rhythm",IF(V105&lt;TODAY(),"Overdue",IF(V105=TODAY(),"Today",IF(V105&lt;=TODAY()+7,"Soon","Later")))))</f>
        <v/>
      </c>
      <c r="X105" s="15" t="str">
        <f aca="true">IF(OR(A105="",V105=""),"",TODAY()-V105)</f>
        <v/>
      </c>
      <c r="Y105" s="15" t="str">
        <f aca="false">IF(A105="","",IFERROR(INDEX(Lists!$I$5:$I$12,MATCH(I105,Lists!$G$5:$G$12,0)),""))</f>
        <v/>
      </c>
      <c r="Z105" s="15" t="str">
        <f aca="false">IF(AND(X105&lt;&gt;"",X105&gt;=0),X105+ROW()/100000,"")</f>
        <v/>
      </c>
    </row>
    <row r="106" customFormat="false" ht="15" hidden="false" customHeight="false" outlineLevel="0" collapsed="false">
      <c r="H106" s="29"/>
      <c r="I106" s="29"/>
      <c r="J106" s="28"/>
      <c r="K106" s="28"/>
      <c r="L106" s="28"/>
      <c r="M106" s="30"/>
      <c r="O106" s="28"/>
      <c r="S106" s="28"/>
      <c r="T106" s="10" t="str">
        <f aca="false">IF(A106="","",IF(COUNTIF(Touches!$B$2:$B$501,A106)=0,"",SUMPRODUCT(MAX((Touches!$B$2:$B$501=A106)*Touches!$A$2:$A$501))))</f>
        <v/>
      </c>
      <c r="U106" s="15" t="str">
        <f aca="false">IF(A106="","",IF(N106&lt;&gt;"",N106,IFERROR(INDEX(Lists!$H$5:$H$12,MATCH(I106,Lists!$G$5:$G$12,0)),"")))</f>
        <v/>
      </c>
      <c r="V106" s="10" t="str">
        <f aca="true">IF(A106="","",IF(O106&lt;&gt;"",O106,IF(OR(U106="",U106="never",U106=0),"",IF(T106="",TODAY(),T106+U106))))</f>
        <v/>
      </c>
      <c r="W106" s="17" t="str">
        <f aca="true">IF(A106="","",IF(V106="","no rhythm",IF(V106&lt;TODAY(),"Overdue",IF(V106=TODAY(),"Today",IF(V106&lt;=TODAY()+7,"Soon","Later")))))</f>
        <v/>
      </c>
      <c r="X106" s="15" t="str">
        <f aca="true">IF(OR(A106="",V106=""),"",TODAY()-V106)</f>
        <v/>
      </c>
      <c r="Y106" s="15" t="str">
        <f aca="false">IF(A106="","",IFERROR(INDEX(Lists!$I$5:$I$12,MATCH(I106,Lists!$G$5:$G$12,0)),""))</f>
        <v/>
      </c>
      <c r="Z106" s="15" t="str">
        <f aca="false">IF(AND(X106&lt;&gt;"",X106&gt;=0),X106+ROW()/100000,"")</f>
        <v/>
      </c>
    </row>
    <row r="107" customFormat="false" ht="15" hidden="false" customHeight="false" outlineLevel="0" collapsed="false">
      <c r="H107" s="29"/>
      <c r="I107" s="29"/>
      <c r="J107" s="28"/>
      <c r="K107" s="28"/>
      <c r="L107" s="28"/>
      <c r="M107" s="30"/>
      <c r="O107" s="28"/>
      <c r="S107" s="28"/>
      <c r="T107" s="10" t="str">
        <f aca="false">IF(A107="","",IF(COUNTIF(Touches!$B$2:$B$501,A107)=0,"",SUMPRODUCT(MAX((Touches!$B$2:$B$501=A107)*Touches!$A$2:$A$501))))</f>
        <v/>
      </c>
      <c r="U107" s="15" t="str">
        <f aca="false">IF(A107="","",IF(N107&lt;&gt;"",N107,IFERROR(INDEX(Lists!$H$5:$H$12,MATCH(I107,Lists!$G$5:$G$12,0)),"")))</f>
        <v/>
      </c>
      <c r="V107" s="10" t="str">
        <f aca="true">IF(A107="","",IF(O107&lt;&gt;"",O107,IF(OR(U107="",U107="never",U107=0),"",IF(T107="",TODAY(),T107+U107))))</f>
        <v/>
      </c>
      <c r="W107" s="17" t="str">
        <f aca="true">IF(A107="","",IF(V107="","no rhythm",IF(V107&lt;TODAY(),"Overdue",IF(V107=TODAY(),"Today",IF(V107&lt;=TODAY()+7,"Soon","Later")))))</f>
        <v/>
      </c>
      <c r="X107" s="15" t="str">
        <f aca="true">IF(OR(A107="",V107=""),"",TODAY()-V107)</f>
        <v/>
      </c>
      <c r="Y107" s="15" t="str">
        <f aca="false">IF(A107="","",IFERROR(INDEX(Lists!$I$5:$I$12,MATCH(I107,Lists!$G$5:$G$12,0)),""))</f>
        <v/>
      </c>
      <c r="Z107" s="15" t="str">
        <f aca="false">IF(AND(X107&lt;&gt;"",X107&gt;=0),X107+ROW()/100000,"")</f>
        <v/>
      </c>
    </row>
    <row r="108" customFormat="false" ht="15" hidden="false" customHeight="false" outlineLevel="0" collapsed="false">
      <c r="H108" s="29"/>
      <c r="I108" s="29"/>
      <c r="J108" s="28"/>
      <c r="K108" s="28"/>
      <c r="L108" s="28"/>
      <c r="M108" s="30"/>
      <c r="O108" s="28"/>
      <c r="S108" s="28"/>
      <c r="T108" s="10" t="str">
        <f aca="false">IF(A108="","",IF(COUNTIF(Touches!$B$2:$B$501,A108)=0,"",SUMPRODUCT(MAX((Touches!$B$2:$B$501=A108)*Touches!$A$2:$A$501))))</f>
        <v/>
      </c>
      <c r="U108" s="15" t="str">
        <f aca="false">IF(A108="","",IF(N108&lt;&gt;"",N108,IFERROR(INDEX(Lists!$H$5:$H$12,MATCH(I108,Lists!$G$5:$G$12,0)),"")))</f>
        <v/>
      </c>
      <c r="V108" s="10" t="str">
        <f aca="true">IF(A108="","",IF(O108&lt;&gt;"",O108,IF(OR(U108="",U108="never",U108=0),"",IF(T108="",TODAY(),T108+U108))))</f>
        <v/>
      </c>
      <c r="W108" s="17" t="str">
        <f aca="true">IF(A108="","",IF(V108="","no rhythm",IF(V108&lt;TODAY(),"Overdue",IF(V108=TODAY(),"Today",IF(V108&lt;=TODAY()+7,"Soon","Later")))))</f>
        <v/>
      </c>
      <c r="X108" s="15" t="str">
        <f aca="true">IF(OR(A108="",V108=""),"",TODAY()-V108)</f>
        <v/>
      </c>
      <c r="Y108" s="15" t="str">
        <f aca="false">IF(A108="","",IFERROR(INDEX(Lists!$I$5:$I$12,MATCH(I108,Lists!$G$5:$G$12,0)),""))</f>
        <v/>
      </c>
      <c r="Z108" s="15" t="str">
        <f aca="false">IF(AND(X108&lt;&gt;"",X108&gt;=0),X108+ROW()/100000,"")</f>
        <v/>
      </c>
    </row>
    <row r="109" customFormat="false" ht="15" hidden="false" customHeight="false" outlineLevel="0" collapsed="false">
      <c r="H109" s="29"/>
      <c r="I109" s="29"/>
      <c r="J109" s="28"/>
      <c r="K109" s="28"/>
      <c r="L109" s="28"/>
      <c r="M109" s="30"/>
      <c r="O109" s="28"/>
      <c r="S109" s="28"/>
      <c r="T109" s="10" t="str">
        <f aca="false">IF(A109="","",IF(COUNTIF(Touches!$B$2:$B$501,A109)=0,"",SUMPRODUCT(MAX((Touches!$B$2:$B$501=A109)*Touches!$A$2:$A$501))))</f>
        <v/>
      </c>
      <c r="U109" s="15" t="str">
        <f aca="false">IF(A109="","",IF(N109&lt;&gt;"",N109,IFERROR(INDEX(Lists!$H$5:$H$12,MATCH(I109,Lists!$G$5:$G$12,0)),"")))</f>
        <v/>
      </c>
      <c r="V109" s="10" t="str">
        <f aca="true">IF(A109="","",IF(O109&lt;&gt;"",O109,IF(OR(U109="",U109="never",U109=0),"",IF(T109="",TODAY(),T109+U109))))</f>
        <v/>
      </c>
      <c r="W109" s="17" t="str">
        <f aca="true">IF(A109="","",IF(V109="","no rhythm",IF(V109&lt;TODAY(),"Overdue",IF(V109=TODAY(),"Today",IF(V109&lt;=TODAY()+7,"Soon","Later")))))</f>
        <v/>
      </c>
      <c r="X109" s="15" t="str">
        <f aca="true">IF(OR(A109="",V109=""),"",TODAY()-V109)</f>
        <v/>
      </c>
      <c r="Y109" s="15" t="str">
        <f aca="false">IF(A109="","",IFERROR(INDEX(Lists!$I$5:$I$12,MATCH(I109,Lists!$G$5:$G$12,0)),""))</f>
        <v/>
      </c>
      <c r="Z109" s="15" t="str">
        <f aca="false">IF(AND(X109&lt;&gt;"",X109&gt;=0),X109+ROW()/100000,"")</f>
        <v/>
      </c>
    </row>
    <row r="110" customFormat="false" ht="15" hidden="false" customHeight="false" outlineLevel="0" collapsed="false">
      <c r="H110" s="29"/>
      <c r="I110" s="29"/>
      <c r="J110" s="28"/>
      <c r="K110" s="28"/>
      <c r="L110" s="28"/>
      <c r="M110" s="30"/>
      <c r="O110" s="28"/>
      <c r="S110" s="28"/>
      <c r="T110" s="10" t="str">
        <f aca="false">IF(A110="","",IF(COUNTIF(Touches!$B$2:$B$501,A110)=0,"",SUMPRODUCT(MAX((Touches!$B$2:$B$501=A110)*Touches!$A$2:$A$501))))</f>
        <v/>
      </c>
      <c r="U110" s="15" t="str">
        <f aca="false">IF(A110="","",IF(N110&lt;&gt;"",N110,IFERROR(INDEX(Lists!$H$5:$H$12,MATCH(I110,Lists!$G$5:$G$12,0)),"")))</f>
        <v/>
      </c>
      <c r="V110" s="10" t="str">
        <f aca="true">IF(A110="","",IF(O110&lt;&gt;"",O110,IF(OR(U110="",U110="never",U110=0),"",IF(T110="",TODAY(),T110+U110))))</f>
        <v/>
      </c>
      <c r="W110" s="17" t="str">
        <f aca="true">IF(A110="","",IF(V110="","no rhythm",IF(V110&lt;TODAY(),"Overdue",IF(V110=TODAY(),"Today",IF(V110&lt;=TODAY()+7,"Soon","Later")))))</f>
        <v/>
      </c>
      <c r="X110" s="15" t="str">
        <f aca="true">IF(OR(A110="",V110=""),"",TODAY()-V110)</f>
        <v/>
      </c>
      <c r="Y110" s="15" t="str">
        <f aca="false">IF(A110="","",IFERROR(INDEX(Lists!$I$5:$I$12,MATCH(I110,Lists!$G$5:$G$12,0)),""))</f>
        <v/>
      </c>
      <c r="Z110" s="15" t="str">
        <f aca="false">IF(AND(X110&lt;&gt;"",X110&gt;=0),X110+ROW()/100000,"")</f>
        <v/>
      </c>
    </row>
    <row r="111" customFormat="false" ht="15" hidden="false" customHeight="false" outlineLevel="0" collapsed="false">
      <c r="H111" s="29"/>
      <c r="I111" s="29"/>
      <c r="J111" s="28"/>
      <c r="K111" s="28"/>
      <c r="L111" s="28"/>
      <c r="M111" s="30"/>
      <c r="O111" s="28"/>
      <c r="S111" s="28"/>
      <c r="T111" s="10" t="str">
        <f aca="false">IF(A111="","",IF(COUNTIF(Touches!$B$2:$B$501,A111)=0,"",SUMPRODUCT(MAX((Touches!$B$2:$B$501=A111)*Touches!$A$2:$A$501))))</f>
        <v/>
      </c>
      <c r="U111" s="15" t="str">
        <f aca="false">IF(A111="","",IF(N111&lt;&gt;"",N111,IFERROR(INDEX(Lists!$H$5:$H$12,MATCH(I111,Lists!$G$5:$G$12,0)),"")))</f>
        <v/>
      </c>
      <c r="V111" s="10" t="str">
        <f aca="true">IF(A111="","",IF(O111&lt;&gt;"",O111,IF(OR(U111="",U111="never",U111=0),"",IF(T111="",TODAY(),T111+U111))))</f>
        <v/>
      </c>
      <c r="W111" s="17" t="str">
        <f aca="true">IF(A111="","",IF(V111="","no rhythm",IF(V111&lt;TODAY(),"Overdue",IF(V111=TODAY(),"Today",IF(V111&lt;=TODAY()+7,"Soon","Later")))))</f>
        <v/>
      </c>
      <c r="X111" s="15" t="str">
        <f aca="true">IF(OR(A111="",V111=""),"",TODAY()-V111)</f>
        <v/>
      </c>
      <c r="Y111" s="15" t="str">
        <f aca="false">IF(A111="","",IFERROR(INDEX(Lists!$I$5:$I$12,MATCH(I111,Lists!$G$5:$G$12,0)),""))</f>
        <v/>
      </c>
      <c r="Z111" s="15" t="str">
        <f aca="false">IF(AND(X111&lt;&gt;"",X111&gt;=0),X111+ROW()/100000,"")</f>
        <v/>
      </c>
    </row>
    <row r="112" customFormat="false" ht="15" hidden="false" customHeight="false" outlineLevel="0" collapsed="false">
      <c r="H112" s="29"/>
      <c r="I112" s="29"/>
      <c r="J112" s="28"/>
      <c r="K112" s="28"/>
      <c r="L112" s="28"/>
      <c r="M112" s="30"/>
      <c r="O112" s="28"/>
      <c r="S112" s="28"/>
      <c r="T112" s="10" t="str">
        <f aca="false">IF(A112="","",IF(COUNTIF(Touches!$B$2:$B$501,A112)=0,"",SUMPRODUCT(MAX((Touches!$B$2:$B$501=A112)*Touches!$A$2:$A$501))))</f>
        <v/>
      </c>
      <c r="U112" s="15" t="str">
        <f aca="false">IF(A112="","",IF(N112&lt;&gt;"",N112,IFERROR(INDEX(Lists!$H$5:$H$12,MATCH(I112,Lists!$G$5:$G$12,0)),"")))</f>
        <v/>
      </c>
      <c r="V112" s="10" t="str">
        <f aca="true">IF(A112="","",IF(O112&lt;&gt;"",O112,IF(OR(U112="",U112="never",U112=0),"",IF(T112="",TODAY(),T112+U112))))</f>
        <v/>
      </c>
      <c r="W112" s="17" t="str">
        <f aca="true">IF(A112="","",IF(V112="","no rhythm",IF(V112&lt;TODAY(),"Overdue",IF(V112=TODAY(),"Today",IF(V112&lt;=TODAY()+7,"Soon","Later")))))</f>
        <v/>
      </c>
      <c r="X112" s="15" t="str">
        <f aca="true">IF(OR(A112="",V112=""),"",TODAY()-V112)</f>
        <v/>
      </c>
      <c r="Y112" s="15" t="str">
        <f aca="false">IF(A112="","",IFERROR(INDEX(Lists!$I$5:$I$12,MATCH(I112,Lists!$G$5:$G$12,0)),""))</f>
        <v/>
      </c>
      <c r="Z112" s="15" t="str">
        <f aca="false">IF(AND(X112&lt;&gt;"",X112&gt;=0),X112+ROW()/100000,"")</f>
        <v/>
      </c>
    </row>
    <row r="113" customFormat="false" ht="15" hidden="false" customHeight="false" outlineLevel="0" collapsed="false">
      <c r="H113" s="29"/>
      <c r="I113" s="29"/>
      <c r="J113" s="28"/>
      <c r="K113" s="28"/>
      <c r="L113" s="28"/>
      <c r="M113" s="30"/>
      <c r="O113" s="28"/>
      <c r="S113" s="28"/>
      <c r="T113" s="10" t="str">
        <f aca="false">IF(A113="","",IF(COUNTIF(Touches!$B$2:$B$501,A113)=0,"",SUMPRODUCT(MAX((Touches!$B$2:$B$501=A113)*Touches!$A$2:$A$501))))</f>
        <v/>
      </c>
      <c r="U113" s="15" t="str">
        <f aca="false">IF(A113="","",IF(N113&lt;&gt;"",N113,IFERROR(INDEX(Lists!$H$5:$H$12,MATCH(I113,Lists!$G$5:$G$12,0)),"")))</f>
        <v/>
      </c>
      <c r="V113" s="10" t="str">
        <f aca="true">IF(A113="","",IF(O113&lt;&gt;"",O113,IF(OR(U113="",U113="never",U113=0),"",IF(T113="",TODAY(),T113+U113))))</f>
        <v/>
      </c>
      <c r="W113" s="17" t="str">
        <f aca="true">IF(A113="","",IF(V113="","no rhythm",IF(V113&lt;TODAY(),"Overdue",IF(V113=TODAY(),"Today",IF(V113&lt;=TODAY()+7,"Soon","Later")))))</f>
        <v/>
      </c>
      <c r="X113" s="15" t="str">
        <f aca="true">IF(OR(A113="",V113=""),"",TODAY()-V113)</f>
        <v/>
      </c>
      <c r="Y113" s="15" t="str">
        <f aca="false">IF(A113="","",IFERROR(INDEX(Lists!$I$5:$I$12,MATCH(I113,Lists!$G$5:$G$12,0)),""))</f>
        <v/>
      </c>
      <c r="Z113" s="15" t="str">
        <f aca="false">IF(AND(X113&lt;&gt;"",X113&gt;=0),X113+ROW()/100000,"")</f>
        <v/>
      </c>
    </row>
    <row r="114" customFormat="false" ht="15" hidden="false" customHeight="false" outlineLevel="0" collapsed="false">
      <c r="H114" s="29"/>
      <c r="I114" s="29"/>
      <c r="J114" s="28"/>
      <c r="K114" s="28"/>
      <c r="L114" s="28"/>
      <c r="M114" s="30"/>
      <c r="O114" s="28"/>
      <c r="S114" s="28"/>
      <c r="T114" s="10" t="str">
        <f aca="false">IF(A114="","",IF(COUNTIF(Touches!$B$2:$B$501,A114)=0,"",SUMPRODUCT(MAX((Touches!$B$2:$B$501=A114)*Touches!$A$2:$A$501))))</f>
        <v/>
      </c>
      <c r="U114" s="15" t="str">
        <f aca="false">IF(A114="","",IF(N114&lt;&gt;"",N114,IFERROR(INDEX(Lists!$H$5:$H$12,MATCH(I114,Lists!$G$5:$G$12,0)),"")))</f>
        <v/>
      </c>
      <c r="V114" s="10" t="str">
        <f aca="true">IF(A114="","",IF(O114&lt;&gt;"",O114,IF(OR(U114="",U114="never",U114=0),"",IF(T114="",TODAY(),T114+U114))))</f>
        <v/>
      </c>
      <c r="W114" s="17" t="str">
        <f aca="true">IF(A114="","",IF(V114="","no rhythm",IF(V114&lt;TODAY(),"Overdue",IF(V114=TODAY(),"Today",IF(V114&lt;=TODAY()+7,"Soon","Later")))))</f>
        <v/>
      </c>
      <c r="X114" s="15" t="str">
        <f aca="true">IF(OR(A114="",V114=""),"",TODAY()-V114)</f>
        <v/>
      </c>
      <c r="Y114" s="15" t="str">
        <f aca="false">IF(A114="","",IFERROR(INDEX(Lists!$I$5:$I$12,MATCH(I114,Lists!$G$5:$G$12,0)),""))</f>
        <v/>
      </c>
      <c r="Z114" s="15" t="str">
        <f aca="false">IF(AND(X114&lt;&gt;"",X114&gt;=0),X114+ROW()/100000,"")</f>
        <v/>
      </c>
    </row>
    <row r="115" customFormat="false" ht="15" hidden="false" customHeight="false" outlineLevel="0" collapsed="false">
      <c r="H115" s="29"/>
      <c r="I115" s="29"/>
      <c r="J115" s="28"/>
      <c r="K115" s="28"/>
      <c r="L115" s="28"/>
      <c r="M115" s="30"/>
      <c r="O115" s="28"/>
      <c r="S115" s="28"/>
      <c r="T115" s="10" t="str">
        <f aca="false">IF(A115="","",IF(COUNTIF(Touches!$B$2:$B$501,A115)=0,"",SUMPRODUCT(MAX((Touches!$B$2:$B$501=A115)*Touches!$A$2:$A$501))))</f>
        <v/>
      </c>
      <c r="U115" s="15" t="str">
        <f aca="false">IF(A115="","",IF(N115&lt;&gt;"",N115,IFERROR(INDEX(Lists!$H$5:$H$12,MATCH(I115,Lists!$G$5:$G$12,0)),"")))</f>
        <v/>
      </c>
      <c r="V115" s="10" t="str">
        <f aca="true">IF(A115="","",IF(O115&lt;&gt;"",O115,IF(OR(U115="",U115="never",U115=0),"",IF(T115="",TODAY(),T115+U115))))</f>
        <v/>
      </c>
      <c r="W115" s="17" t="str">
        <f aca="true">IF(A115="","",IF(V115="","no rhythm",IF(V115&lt;TODAY(),"Overdue",IF(V115=TODAY(),"Today",IF(V115&lt;=TODAY()+7,"Soon","Later")))))</f>
        <v/>
      </c>
      <c r="X115" s="15" t="str">
        <f aca="true">IF(OR(A115="",V115=""),"",TODAY()-V115)</f>
        <v/>
      </c>
      <c r="Y115" s="15" t="str">
        <f aca="false">IF(A115="","",IFERROR(INDEX(Lists!$I$5:$I$12,MATCH(I115,Lists!$G$5:$G$12,0)),""))</f>
        <v/>
      </c>
      <c r="Z115" s="15" t="str">
        <f aca="false">IF(AND(X115&lt;&gt;"",X115&gt;=0),X115+ROW()/100000,"")</f>
        <v/>
      </c>
    </row>
    <row r="116" customFormat="false" ht="15" hidden="false" customHeight="false" outlineLevel="0" collapsed="false">
      <c r="H116" s="29"/>
      <c r="I116" s="29"/>
      <c r="J116" s="28"/>
      <c r="K116" s="28"/>
      <c r="L116" s="28"/>
      <c r="M116" s="30"/>
      <c r="O116" s="28"/>
      <c r="S116" s="28"/>
      <c r="T116" s="10" t="str">
        <f aca="false">IF(A116="","",IF(COUNTIF(Touches!$B$2:$B$501,A116)=0,"",SUMPRODUCT(MAX((Touches!$B$2:$B$501=A116)*Touches!$A$2:$A$501))))</f>
        <v/>
      </c>
      <c r="U116" s="15" t="str">
        <f aca="false">IF(A116="","",IF(N116&lt;&gt;"",N116,IFERROR(INDEX(Lists!$H$5:$H$12,MATCH(I116,Lists!$G$5:$G$12,0)),"")))</f>
        <v/>
      </c>
      <c r="V116" s="10" t="str">
        <f aca="true">IF(A116="","",IF(O116&lt;&gt;"",O116,IF(OR(U116="",U116="never",U116=0),"",IF(T116="",TODAY(),T116+U116))))</f>
        <v/>
      </c>
      <c r="W116" s="17" t="str">
        <f aca="true">IF(A116="","",IF(V116="","no rhythm",IF(V116&lt;TODAY(),"Overdue",IF(V116=TODAY(),"Today",IF(V116&lt;=TODAY()+7,"Soon","Later")))))</f>
        <v/>
      </c>
      <c r="X116" s="15" t="str">
        <f aca="true">IF(OR(A116="",V116=""),"",TODAY()-V116)</f>
        <v/>
      </c>
      <c r="Y116" s="15" t="str">
        <f aca="false">IF(A116="","",IFERROR(INDEX(Lists!$I$5:$I$12,MATCH(I116,Lists!$G$5:$G$12,0)),""))</f>
        <v/>
      </c>
      <c r="Z116" s="15" t="str">
        <f aca="false">IF(AND(X116&lt;&gt;"",X116&gt;=0),X116+ROW()/100000,"")</f>
        <v/>
      </c>
    </row>
    <row r="117" customFormat="false" ht="15" hidden="false" customHeight="false" outlineLevel="0" collapsed="false">
      <c r="H117" s="29"/>
      <c r="I117" s="29"/>
      <c r="J117" s="28"/>
      <c r="K117" s="28"/>
      <c r="L117" s="28"/>
      <c r="M117" s="30"/>
      <c r="O117" s="28"/>
      <c r="S117" s="28"/>
      <c r="T117" s="10" t="str">
        <f aca="false">IF(A117="","",IF(COUNTIF(Touches!$B$2:$B$501,A117)=0,"",SUMPRODUCT(MAX((Touches!$B$2:$B$501=A117)*Touches!$A$2:$A$501))))</f>
        <v/>
      </c>
      <c r="U117" s="15" t="str">
        <f aca="false">IF(A117="","",IF(N117&lt;&gt;"",N117,IFERROR(INDEX(Lists!$H$5:$H$12,MATCH(I117,Lists!$G$5:$G$12,0)),"")))</f>
        <v/>
      </c>
      <c r="V117" s="10" t="str">
        <f aca="true">IF(A117="","",IF(O117&lt;&gt;"",O117,IF(OR(U117="",U117="never",U117=0),"",IF(T117="",TODAY(),T117+U117))))</f>
        <v/>
      </c>
      <c r="W117" s="17" t="str">
        <f aca="true">IF(A117="","",IF(V117="","no rhythm",IF(V117&lt;TODAY(),"Overdue",IF(V117=TODAY(),"Today",IF(V117&lt;=TODAY()+7,"Soon","Later")))))</f>
        <v/>
      </c>
      <c r="X117" s="15" t="str">
        <f aca="true">IF(OR(A117="",V117=""),"",TODAY()-V117)</f>
        <v/>
      </c>
      <c r="Y117" s="15" t="str">
        <f aca="false">IF(A117="","",IFERROR(INDEX(Lists!$I$5:$I$12,MATCH(I117,Lists!$G$5:$G$12,0)),""))</f>
        <v/>
      </c>
      <c r="Z117" s="15" t="str">
        <f aca="false">IF(AND(X117&lt;&gt;"",X117&gt;=0),X117+ROW()/100000,"")</f>
        <v/>
      </c>
    </row>
    <row r="118" customFormat="false" ht="15" hidden="false" customHeight="false" outlineLevel="0" collapsed="false">
      <c r="H118" s="29"/>
      <c r="I118" s="29"/>
      <c r="J118" s="28"/>
      <c r="K118" s="28"/>
      <c r="L118" s="28"/>
      <c r="M118" s="30"/>
      <c r="O118" s="28"/>
      <c r="S118" s="28"/>
      <c r="T118" s="10" t="str">
        <f aca="false">IF(A118="","",IF(COUNTIF(Touches!$B$2:$B$501,A118)=0,"",SUMPRODUCT(MAX((Touches!$B$2:$B$501=A118)*Touches!$A$2:$A$501))))</f>
        <v/>
      </c>
      <c r="U118" s="15" t="str">
        <f aca="false">IF(A118="","",IF(N118&lt;&gt;"",N118,IFERROR(INDEX(Lists!$H$5:$H$12,MATCH(I118,Lists!$G$5:$G$12,0)),"")))</f>
        <v/>
      </c>
      <c r="V118" s="10" t="str">
        <f aca="true">IF(A118="","",IF(O118&lt;&gt;"",O118,IF(OR(U118="",U118="never",U118=0),"",IF(T118="",TODAY(),T118+U118))))</f>
        <v/>
      </c>
      <c r="W118" s="17" t="str">
        <f aca="true">IF(A118="","",IF(V118="","no rhythm",IF(V118&lt;TODAY(),"Overdue",IF(V118=TODAY(),"Today",IF(V118&lt;=TODAY()+7,"Soon","Later")))))</f>
        <v/>
      </c>
      <c r="X118" s="15" t="str">
        <f aca="true">IF(OR(A118="",V118=""),"",TODAY()-V118)</f>
        <v/>
      </c>
      <c r="Y118" s="15" t="str">
        <f aca="false">IF(A118="","",IFERROR(INDEX(Lists!$I$5:$I$12,MATCH(I118,Lists!$G$5:$G$12,0)),""))</f>
        <v/>
      </c>
      <c r="Z118" s="15" t="str">
        <f aca="false">IF(AND(X118&lt;&gt;"",X118&gt;=0),X118+ROW()/100000,"")</f>
        <v/>
      </c>
    </row>
    <row r="119" customFormat="false" ht="15" hidden="false" customHeight="false" outlineLevel="0" collapsed="false">
      <c r="H119" s="29"/>
      <c r="I119" s="29"/>
      <c r="J119" s="28"/>
      <c r="K119" s="28"/>
      <c r="L119" s="28"/>
      <c r="M119" s="30"/>
      <c r="O119" s="28"/>
      <c r="S119" s="28"/>
      <c r="T119" s="10" t="str">
        <f aca="false">IF(A119="","",IF(COUNTIF(Touches!$B$2:$B$501,A119)=0,"",SUMPRODUCT(MAX((Touches!$B$2:$B$501=A119)*Touches!$A$2:$A$501))))</f>
        <v/>
      </c>
      <c r="U119" s="15" t="str">
        <f aca="false">IF(A119="","",IF(N119&lt;&gt;"",N119,IFERROR(INDEX(Lists!$H$5:$H$12,MATCH(I119,Lists!$G$5:$G$12,0)),"")))</f>
        <v/>
      </c>
      <c r="V119" s="10" t="str">
        <f aca="true">IF(A119="","",IF(O119&lt;&gt;"",O119,IF(OR(U119="",U119="never",U119=0),"",IF(T119="",TODAY(),T119+U119))))</f>
        <v/>
      </c>
      <c r="W119" s="17" t="str">
        <f aca="true">IF(A119="","",IF(V119="","no rhythm",IF(V119&lt;TODAY(),"Overdue",IF(V119=TODAY(),"Today",IF(V119&lt;=TODAY()+7,"Soon","Later")))))</f>
        <v/>
      </c>
      <c r="X119" s="15" t="str">
        <f aca="true">IF(OR(A119="",V119=""),"",TODAY()-V119)</f>
        <v/>
      </c>
      <c r="Y119" s="15" t="str">
        <f aca="false">IF(A119="","",IFERROR(INDEX(Lists!$I$5:$I$12,MATCH(I119,Lists!$G$5:$G$12,0)),""))</f>
        <v/>
      </c>
      <c r="Z119" s="15" t="str">
        <f aca="false">IF(AND(X119&lt;&gt;"",X119&gt;=0),X119+ROW()/100000,"")</f>
        <v/>
      </c>
    </row>
    <row r="120" customFormat="false" ht="15" hidden="false" customHeight="false" outlineLevel="0" collapsed="false">
      <c r="H120" s="29"/>
      <c r="I120" s="29"/>
      <c r="J120" s="28"/>
      <c r="K120" s="28"/>
      <c r="L120" s="28"/>
      <c r="M120" s="30"/>
      <c r="O120" s="28"/>
      <c r="S120" s="28"/>
      <c r="T120" s="10" t="str">
        <f aca="false">IF(A120="","",IF(COUNTIF(Touches!$B$2:$B$501,A120)=0,"",SUMPRODUCT(MAX((Touches!$B$2:$B$501=A120)*Touches!$A$2:$A$501))))</f>
        <v/>
      </c>
      <c r="U120" s="15" t="str">
        <f aca="false">IF(A120="","",IF(N120&lt;&gt;"",N120,IFERROR(INDEX(Lists!$H$5:$H$12,MATCH(I120,Lists!$G$5:$G$12,0)),"")))</f>
        <v/>
      </c>
      <c r="V120" s="10" t="str">
        <f aca="true">IF(A120="","",IF(O120&lt;&gt;"",O120,IF(OR(U120="",U120="never",U120=0),"",IF(T120="",TODAY(),T120+U120))))</f>
        <v/>
      </c>
      <c r="W120" s="17" t="str">
        <f aca="true">IF(A120="","",IF(V120="","no rhythm",IF(V120&lt;TODAY(),"Overdue",IF(V120=TODAY(),"Today",IF(V120&lt;=TODAY()+7,"Soon","Later")))))</f>
        <v/>
      </c>
      <c r="X120" s="15" t="str">
        <f aca="true">IF(OR(A120="",V120=""),"",TODAY()-V120)</f>
        <v/>
      </c>
      <c r="Y120" s="15" t="str">
        <f aca="false">IF(A120="","",IFERROR(INDEX(Lists!$I$5:$I$12,MATCH(I120,Lists!$G$5:$G$12,0)),""))</f>
        <v/>
      </c>
      <c r="Z120" s="15" t="str">
        <f aca="false">IF(AND(X120&lt;&gt;"",X120&gt;=0),X120+ROW()/100000,"")</f>
        <v/>
      </c>
    </row>
    <row r="121" customFormat="false" ht="15" hidden="false" customHeight="false" outlineLevel="0" collapsed="false">
      <c r="H121" s="29"/>
      <c r="I121" s="29"/>
      <c r="J121" s="28"/>
      <c r="K121" s="28"/>
      <c r="L121" s="28"/>
      <c r="M121" s="30"/>
      <c r="O121" s="28"/>
      <c r="S121" s="28"/>
      <c r="T121" s="10" t="str">
        <f aca="false">IF(A121="","",IF(COUNTIF(Touches!$B$2:$B$501,A121)=0,"",SUMPRODUCT(MAX((Touches!$B$2:$B$501=A121)*Touches!$A$2:$A$501))))</f>
        <v/>
      </c>
      <c r="U121" s="15" t="str">
        <f aca="false">IF(A121="","",IF(N121&lt;&gt;"",N121,IFERROR(INDEX(Lists!$H$5:$H$12,MATCH(I121,Lists!$G$5:$G$12,0)),"")))</f>
        <v/>
      </c>
      <c r="V121" s="10" t="str">
        <f aca="true">IF(A121="","",IF(O121&lt;&gt;"",O121,IF(OR(U121="",U121="never",U121=0),"",IF(T121="",TODAY(),T121+U121))))</f>
        <v/>
      </c>
      <c r="W121" s="17" t="str">
        <f aca="true">IF(A121="","",IF(V121="","no rhythm",IF(V121&lt;TODAY(),"Overdue",IF(V121=TODAY(),"Today",IF(V121&lt;=TODAY()+7,"Soon","Later")))))</f>
        <v/>
      </c>
      <c r="X121" s="15" t="str">
        <f aca="true">IF(OR(A121="",V121=""),"",TODAY()-V121)</f>
        <v/>
      </c>
      <c r="Y121" s="15" t="str">
        <f aca="false">IF(A121="","",IFERROR(INDEX(Lists!$I$5:$I$12,MATCH(I121,Lists!$G$5:$G$12,0)),""))</f>
        <v/>
      </c>
      <c r="Z121" s="15" t="str">
        <f aca="false">IF(AND(X121&lt;&gt;"",X121&gt;=0),X121+ROW()/100000,"")</f>
        <v/>
      </c>
    </row>
    <row r="122" customFormat="false" ht="15" hidden="false" customHeight="false" outlineLevel="0" collapsed="false">
      <c r="H122" s="29"/>
      <c r="I122" s="29"/>
      <c r="J122" s="28"/>
      <c r="K122" s="28"/>
      <c r="L122" s="28"/>
      <c r="M122" s="30"/>
      <c r="O122" s="28"/>
      <c r="S122" s="28"/>
      <c r="T122" s="10" t="str">
        <f aca="false">IF(A122="","",IF(COUNTIF(Touches!$B$2:$B$501,A122)=0,"",SUMPRODUCT(MAX((Touches!$B$2:$B$501=A122)*Touches!$A$2:$A$501))))</f>
        <v/>
      </c>
      <c r="U122" s="15" t="str">
        <f aca="false">IF(A122="","",IF(N122&lt;&gt;"",N122,IFERROR(INDEX(Lists!$H$5:$H$12,MATCH(I122,Lists!$G$5:$G$12,0)),"")))</f>
        <v/>
      </c>
      <c r="V122" s="10" t="str">
        <f aca="true">IF(A122="","",IF(O122&lt;&gt;"",O122,IF(OR(U122="",U122="never",U122=0),"",IF(T122="",TODAY(),T122+U122))))</f>
        <v/>
      </c>
      <c r="W122" s="17" t="str">
        <f aca="true">IF(A122="","",IF(V122="","no rhythm",IF(V122&lt;TODAY(),"Overdue",IF(V122=TODAY(),"Today",IF(V122&lt;=TODAY()+7,"Soon","Later")))))</f>
        <v/>
      </c>
      <c r="X122" s="15" t="str">
        <f aca="true">IF(OR(A122="",V122=""),"",TODAY()-V122)</f>
        <v/>
      </c>
      <c r="Y122" s="15" t="str">
        <f aca="false">IF(A122="","",IFERROR(INDEX(Lists!$I$5:$I$12,MATCH(I122,Lists!$G$5:$G$12,0)),""))</f>
        <v/>
      </c>
      <c r="Z122" s="15" t="str">
        <f aca="false">IF(AND(X122&lt;&gt;"",X122&gt;=0),X122+ROW()/100000,"")</f>
        <v/>
      </c>
    </row>
    <row r="123" customFormat="false" ht="15" hidden="false" customHeight="false" outlineLevel="0" collapsed="false">
      <c r="H123" s="29"/>
      <c r="I123" s="29"/>
      <c r="J123" s="28"/>
      <c r="K123" s="28"/>
      <c r="L123" s="28"/>
      <c r="M123" s="30"/>
      <c r="O123" s="28"/>
      <c r="S123" s="28"/>
      <c r="T123" s="10" t="str">
        <f aca="false">IF(A123="","",IF(COUNTIF(Touches!$B$2:$B$501,A123)=0,"",SUMPRODUCT(MAX((Touches!$B$2:$B$501=A123)*Touches!$A$2:$A$501))))</f>
        <v/>
      </c>
      <c r="U123" s="15" t="str">
        <f aca="false">IF(A123="","",IF(N123&lt;&gt;"",N123,IFERROR(INDEX(Lists!$H$5:$H$12,MATCH(I123,Lists!$G$5:$G$12,0)),"")))</f>
        <v/>
      </c>
      <c r="V123" s="10" t="str">
        <f aca="true">IF(A123="","",IF(O123&lt;&gt;"",O123,IF(OR(U123="",U123="never",U123=0),"",IF(T123="",TODAY(),T123+U123))))</f>
        <v/>
      </c>
      <c r="W123" s="17" t="str">
        <f aca="true">IF(A123="","",IF(V123="","no rhythm",IF(V123&lt;TODAY(),"Overdue",IF(V123=TODAY(),"Today",IF(V123&lt;=TODAY()+7,"Soon","Later")))))</f>
        <v/>
      </c>
      <c r="X123" s="15" t="str">
        <f aca="true">IF(OR(A123="",V123=""),"",TODAY()-V123)</f>
        <v/>
      </c>
      <c r="Y123" s="15" t="str">
        <f aca="false">IF(A123="","",IFERROR(INDEX(Lists!$I$5:$I$12,MATCH(I123,Lists!$G$5:$G$12,0)),""))</f>
        <v/>
      </c>
      <c r="Z123" s="15" t="str">
        <f aca="false">IF(AND(X123&lt;&gt;"",X123&gt;=0),X123+ROW()/100000,"")</f>
        <v/>
      </c>
    </row>
    <row r="124" customFormat="false" ht="15" hidden="false" customHeight="false" outlineLevel="0" collapsed="false">
      <c r="H124" s="29"/>
      <c r="I124" s="29"/>
      <c r="J124" s="28"/>
      <c r="K124" s="28"/>
      <c r="L124" s="28"/>
      <c r="M124" s="30"/>
      <c r="O124" s="28"/>
      <c r="S124" s="28"/>
      <c r="T124" s="10" t="str">
        <f aca="false">IF(A124="","",IF(COUNTIF(Touches!$B$2:$B$501,A124)=0,"",SUMPRODUCT(MAX((Touches!$B$2:$B$501=A124)*Touches!$A$2:$A$501))))</f>
        <v/>
      </c>
      <c r="U124" s="15" t="str">
        <f aca="false">IF(A124="","",IF(N124&lt;&gt;"",N124,IFERROR(INDEX(Lists!$H$5:$H$12,MATCH(I124,Lists!$G$5:$G$12,0)),"")))</f>
        <v/>
      </c>
      <c r="V124" s="10" t="str">
        <f aca="true">IF(A124="","",IF(O124&lt;&gt;"",O124,IF(OR(U124="",U124="never",U124=0),"",IF(T124="",TODAY(),T124+U124))))</f>
        <v/>
      </c>
      <c r="W124" s="17" t="str">
        <f aca="true">IF(A124="","",IF(V124="","no rhythm",IF(V124&lt;TODAY(),"Overdue",IF(V124=TODAY(),"Today",IF(V124&lt;=TODAY()+7,"Soon","Later")))))</f>
        <v/>
      </c>
      <c r="X124" s="15" t="str">
        <f aca="true">IF(OR(A124="",V124=""),"",TODAY()-V124)</f>
        <v/>
      </c>
      <c r="Y124" s="15" t="str">
        <f aca="false">IF(A124="","",IFERROR(INDEX(Lists!$I$5:$I$12,MATCH(I124,Lists!$G$5:$G$12,0)),""))</f>
        <v/>
      </c>
      <c r="Z124" s="15" t="str">
        <f aca="false">IF(AND(X124&lt;&gt;"",X124&gt;=0),X124+ROW()/100000,"")</f>
        <v/>
      </c>
    </row>
    <row r="125" customFormat="false" ht="15" hidden="false" customHeight="false" outlineLevel="0" collapsed="false">
      <c r="H125" s="29"/>
      <c r="I125" s="29"/>
      <c r="J125" s="28"/>
      <c r="K125" s="28"/>
      <c r="L125" s="28"/>
      <c r="M125" s="30"/>
      <c r="O125" s="28"/>
      <c r="S125" s="28"/>
      <c r="T125" s="10" t="str">
        <f aca="false">IF(A125="","",IF(COUNTIF(Touches!$B$2:$B$501,A125)=0,"",SUMPRODUCT(MAX((Touches!$B$2:$B$501=A125)*Touches!$A$2:$A$501))))</f>
        <v/>
      </c>
      <c r="U125" s="15" t="str">
        <f aca="false">IF(A125="","",IF(N125&lt;&gt;"",N125,IFERROR(INDEX(Lists!$H$5:$H$12,MATCH(I125,Lists!$G$5:$G$12,0)),"")))</f>
        <v/>
      </c>
      <c r="V125" s="10" t="str">
        <f aca="true">IF(A125="","",IF(O125&lt;&gt;"",O125,IF(OR(U125="",U125="never",U125=0),"",IF(T125="",TODAY(),T125+U125))))</f>
        <v/>
      </c>
      <c r="W125" s="17" t="str">
        <f aca="true">IF(A125="","",IF(V125="","no rhythm",IF(V125&lt;TODAY(),"Overdue",IF(V125=TODAY(),"Today",IF(V125&lt;=TODAY()+7,"Soon","Later")))))</f>
        <v/>
      </c>
      <c r="X125" s="15" t="str">
        <f aca="true">IF(OR(A125="",V125=""),"",TODAY()-V125)</f>
        <v/>
      </c>
      <c r="Y125" s="15" t="str">
        <f aca="false">IF(A125="","",IFERROR(INDEX(Lists!$I$5:$I$12,MATCH(I125,Lists!$G$5:$G$12,0)),""))</f>
        <v/>
      </c>
      <c r="Z125" s="15" t="str">
        <f aca="false">IF(AND(X125&lt;&gt;"",X125&gt;=0),X125+ROW()/100000,"")</f>
        <v/>
      </c>
    </row>
    <row r="126" customFormat="false" ht="15" hidden="false" customHeight="false" outlineLevel="0" collapsed="false">
      <c r="H126" s="29"/>
      <c r="I126" s="29"/>
      <c r="J126" s="28"/>
      <c r="K126" s="28"/>
      <c r="L126" s="28"/>
      <c r="M126" s="30"/>
      <c r="O126" s="28"/>
      <c r="S126" s="28"/>
      <c r="T126" s="10" t="str">
        <f aca="false">IF(A126="","",IF(COUNTIF(Touches!$B$2:$B$501,A126)=0,"",SUMPRODUCT(MAX((Touches!$B$2:$B$501=A126)*Touches!$A$2:$A$501))))</f>
        <v/>
      </c>
      <c r="U126" s="15" t="str">
        <f aca="false">IF(A126="","",IF(N126&lt;&gt;"",N126,IFERROR(INDEX(Lists!$H$5:$H$12,MATCH(I126,Lists!$G$5:$G$12,0)),"")))</f>
        <v/>
      </c>
      <c r="V126" s="10" t="str">
        <f aca="true">IF(A126="","",IF(O126&lt;&gt;"",O126,IF(OR(U126="",U126="never",U126=0),"",IF(T126="",TODAY(),T126+U126))))</f>
        <v/>
      </c>
      <c r="W126" s="17" t="str">
        <f aca="true">IF(A126="","",IF(V126="","no rhythm",IF(V126&lt;TODAY(),"Overdue",IF(V126=TODAY(),"Today",IF(V126&lt;=TODAY()+7,"Soon","Later")))))</f>
        <v/>
      </c>
      <c r="X126" s="15" t="str">
        <f aca="true">IF(OR(A126="",V126=""),"",TODAY()-V126)</f>
        <v/>
      </c>
      <c r="Y126" s="15" t="str">
        <f aca="false">IF(A126="","",IFERROR(INDEX(Lists!$I$5:$I$12,MATCH(I126,Lists!$G$5:$G$12,0)),""))</f>
        <v/>
      </c>
      <c r="Z126" s="15" t="str">
        <f aca="false">IF(AND(X126&lt;&gt;"",X126&gt;=0),X126+ROW()/100000,"")</f>
        <v/>
      </c>
    </row>
    <row r="127" customFormat="false" ht="15" hidden="false" customHeight="false" outlineLevel="0" collapsed="false">
      <c r="H127" s="29"/>
      <c r="I127" s="29"/>
      <c r="J127" s="28"/>
      <c r="K127" s="28"/>
      <c r="L127" s="28"/>
      <c r="M127" s="30"/>
      <c r="O127" s="28"/>
      <c r="S127" s="28"/>
      <c r="T127" s="10" t="str">
        <f aca="false">IF(A127="","",IF(COUNTIF(Touches!$B$2:$B$501,A127)=0,"",SUMPRODUCT(MAX((Touches!$B$2:$B$501=A127)*Touches!$A$2:$A$501))))</f>
        <v/>
      </c>
      <c r="U127" s="15" t="str">
        <f aca="false">IF(A127="","",IF(N127&lt;&gt;"",N127,IFERROR(INDEX(Lists!$H$5:$H$12,MATCH(I127,Lists!$G$5:$G$12,0)),"")))</f>
        <v/>
      </c>
      <c r="V127" s="10" t="str">
        <f aca="true">IF(A127="","",IF(O127&lt;&gt;"",O127,IF(OR(U127="",U127="never",U127=0),"",IF(T127="",TODAY(),T127+U127))))</f>
        <v/>
      </c>
      <c r="W127" s="17" t="str">
        <f aca="true">IF(A127="","",IF(V127="","no rhythm",IF(V127&lt;TODAY(),"Overdue",IF(V127=TODAY(),"Today",IF(V127&lt;=TODAY()+7,"Soon","Later")))))</f>
        <v/>
      </c>
      <c r="X127" s="15" t="str">
        <f aca="true">IF(OR(A127="",V127=""),"",TODAY()-V127)</f>
        <v/>
      </c>
      <c r="Y127" s="15" t="str">
        <f aca="false">IF(A127="","",IFERROR(INDEX(Lists!$I$5:$I$12,MATCH(I127,Lists!$G$5:$G$12,0)),""))</f>
        <v/>
      </c>
      <c r="Z127" s="15" t="str">
        <f aca="false">IF(AND(X127&lt;&gt;"",X127&gt;=0),X127+ROW()/100000,"")</f>
        <v/>
      </c>
    </row>
    <row r="128" customFormat="false" ht="15" hidden="false" customHeight="false" outlineLevel="0" collapsed="false">
      <c r="H128" s="29"/>
      <c r="I128" s="29"/>
      <c r="J128" s="28"/>
      <c r="K128" s="28"/>
      <c r="L128" s="28"/>
      <c r="M128" s="30"/>
      <c r="O128" s="28"/>
      <c r="S128" s="28"/>
      <c r="T128" s="10" t="str">
        <f aca="false">IF(A128="","",IF(COUNTIF(Touches!$B$2:$B$501,A128)=0,"",SUMPRODUCT(MAX((Touches!$B$2:$B$501=A128)*Touches!$A$2:$A$501))))</f>
        <v/>
      </c>
      <c r="U128" s="15" t="str">
        <f aca="false">IF(A128="","",IF(N128&lt;&gt;"",N128,IFERROR(INDEX(Lists!$H$5:$H$12,MATCH(I128,Lists!$G$5:$G$12,0)),"")))</f>
        <v/>
      </c>
      <c r="V128" s="10" t="str">
        <f aca="true">IF(A128="","",IF(O128&lt;&gt;"",O128,IF(OR(U128="",U128="never",U128=0),"",IF(T128="",TODAY(),T128+U128))))</f>
        <v/>
      </c>
      <c r="W128" s="17" t="str">
        <f aca="true">IF(A128="","",IF(V128="","no rhythm",IF(V128&lt;TODAY(),"Overdue",IF(V128=TODAY(),"Today",IF(V128&lt;=TODAY()+7,"Soon","Later")))))</f>
        <v/>
      </c>
      <c r="X128" s="15" t="str">
        <f aca="true">IF(OR(A128="",V128=""),"",TODAY()-V128)</f>
        <v/>
      </c>
      <c r="Y128" s="15" t="str">
        <f aca="false">IF(A128="","",IFERROR(INDEX(Lists!$I$5:$I$12,MATCH(I128,Lists!$G$5:$G$12,0)),""))</f>
        <v/>
      </c>
      <c r="Z128" s="15" t="str">
        <f aca="false">IF(AND(X128&lt;&gt;"",X128&gt;=0),X128+ROW()/100000,"")</f>
        <v/>
      </c>
    </row>
    <row r="129" customFormat="false" ht="15" hidden="false" customHeight="false" outlineLevel="0" collapsed="false">
      <c r="H129" s="29"/>
      <c r="I129" s="29"/>
      <c r="J129" s="28"/>
      <c r="K129" s="28"/>
      <c r="L129" s="28"/>
      <c r="M129" s="30"/>
      <c r="O129" s="28"/>
      <c r="S129" s="28"/>
      <c r="T129" s="10" t="str">
        <f aca="false">IF(A129="","",IF(COUNTIF(Touches!$B$2:$B$501,A129)=0,"",SUMPRODUCT(MAX((Touches!$B$2:$B$501=A129)*Touches!$A$2:$A$501))))</f>
        <v/>
      </c>
      <c r="U129" s="15" t="str">
        <f aca="false">IF(A129="","",IF(N129&lt;&gt;"",N129,IFERROR(INDEX(Lists!$H$5:$H$12,MATCH(I129,Lists!$G$5:$G$12,0)),"")))</f>
        <v/>
      </c>
      <c r="V129" s="10" t="str">
        <f aca="true">IF(A129="","",IF(O129&lt;&gt;"",O129,IF(OR(U129="",U129="never",U129=0),"",IF(T129="",TODAY(),T129+U129))))</f>
        <v/>
      </c>
      <c r="W129" s="17" t="str">
        <f aca="true">IF(A129="","",IF(V129="","no rhythm",IF(V129&lt;TODAY(),"Overdue",IF(V129=TODAY(),"Today",IF(V129&lt;=TODAY()+7,"Soon","Later")))))</f>
        <v/>
      </c>
      <c r="X129" s="15" t="str">
        <f aca="true">IF(OR(A129="",V129=""),"",TODAY()-V129)</f>
        <v/>
      </c>
      <c r="Y129" s="15" t="str">
        <f aca="false">IF(A129="","",IFERROR(INDEX(Lists!$I$5:$I$12,MATCH(I129,Lists!$G$5:$G$12,0)),""))</f>
        <v/>
      </c>
      <c r="Z129" s="15" t="str">
        <f aca="false">IF(AND(X129&lt;&gt;"",X129&gt;=0),X129+ROW()/100000,"")</f>
        <v/>
      </c>
    </row>
    <row r="130" customFormat="false" ht="15" hidden="false" customHeight="false" outlineLevel="0" collapsed="false">
      <c r="H130" s="29"/>
      <c r="I130" s="29"/>
      <c r="J130" s="28"/>
      <c r="K130" s="28"/>
      <c r="L130" s="28"/>
      <c r="M130" s="30"/>
      <c r="O130" s="28"/>
      <c r="S130" s="28"/>
      <c r="T130" s="10" t="str">
        <f aca="false">IF(A130="","",IF(COUNTIF(Touches!$B$2:$B$501,A130)=0,"",SUMPRODUCT(MAX((Touches!$B$2:$B$501=A130)*Touches!$A$2:$A$501))))</f>
        <v/>
      </c>
      <c r="U130" s="15" t="str">
        <f aca="false">IF(A130="","",IF(N130&lt;&gt;"",N130,IFERROR(INDEX(Lists!$H$5:$H$12,MATCH(I130,Lists!$G$5:$G$12,0)),"")))</f>
        <v/>
      </c>
      <c r="V130" s="10" t="str">
        <f aca="true">IF(A130="","",IF(O130&lt;&gt;"",O130,IF(OR(U130="",U130="never",U130=0),"",IF(T130="",TODAY(),T130+U130))))</f>
        <v/>
      </c>
      <c r="W130" s="17" t="str">
        <f aca="true">IF(A130="","",IF(V130="","no rhythm",IF(V130&lt;TODAY(),"Overdue",IF(V130=TODAY(),"Today",IF(V130&lt;=TODAY()+7,"Soon","Later")))))</f>
        <v/>
      </c>
      <c r="X130" s="15" t="str">
        <f aca="true">IF(OR(A130="",V130=""),"",TODAY()-V130)</f>
        <v/>
      </c>
      <c r="Y130" s="15" t="str">
        <f aca="false">IF(A130="","",IFERROR(INDEX(Lists!$I$5:$I$12,MATCH(I130,Lists!$G$5:$G$12,0)),""))</f>
        <v/>
      </c>
      <c r="Z130" s="15" t="str">
        <f aca="false">IF(AND(X130&lt;&gt;"",X130&gt;=0),X130+ROW()/100000,"")</f>
        <v/>
      </c>
    </row>
    <row r="131" customFormat="false" ht="15" hidden="false" customHeight="false" outlineLevel="0" collapsed="false">
      <c r="H131" s="29"/>
      <c r="I131" s="29"/>
      <c r="J131" s="28"/>
      <c r="K131" s="28"/>
      <c r="L131" s="28"/>
      <c r="M131" s="30"/>
      <c r="O131" s="28"/>
      <c r="S131" s="28"/>
      <c r="T131" s="10" t="str">
        <f aca="false">IF(A131="","",IF(COUNTIF(Touches!$B$2:$B$501,A131)=0,"",SUMPRODUCT(MAX((Touches!$B$2:$B$501=A131)*Touches!$A$2:$A$501))))</f>
        <v/>
      </c>
      <c r="U131" s="15" t="str">
        <f aca="false">IF(A131="","",IF(N131&lt;&gt;"",N131,IFERROR(INDEX(Lists!$H$5:$H$12,MATCH(I131,Lists!$G$5:$G$12,0)),"")))</f>
        <v/>
      </c>
      <c r="V131" s="10" t="str">
        <f aca="true">IF(A131="","",IF(O131&lt;&gt;"",O131,IF(OR(U131="",U131="never",U131=0),"",IF(T131="",TODAY(),T131+U131))))</f>
        <v/>
      </c>
      <c r="W131" s="17" t="str">
        <f aca="true">IF(A131="","",IF(V131="","no rhythm",IF(V131&lt;TODAY(),"Overdue",IF(V131=TODAY(),"Today",IF(V131&lt;=TODAY()+7,"Soon","Later")))))</f>
        <v/>
      </c>
      <c r="X131" s="15" t="str">
        <f aca="true">IF(OR(A131="",V131=""),"",TODAY()-V131)</f>
        <v/>
      </c>
      <c r="Y131" s="15" t="str">
        <f aca="false">IF(A131="","",IFERROR(INDEX(Lists!$I$5:$I$12,MATCH(I131,Lists!$G$5:$G$12,0)),""))</f>
        <v/>
      </c>
      <c r="Z131" s="15" t="str">
        <f aca="false">IF(AND(X131&lt;&gt;"",X131&gt;=0),X131+ROW()/100000,"")</f>
        <v/>
      </c>
    </row>
    <row r="132" customFormat="false" ht="15" hidden="false" customHeight="false" outlineLevel="0" collapsed="false">
      <c r="H132" s="29"/>
      <c r="I132" s="29"/>
      <c r="J132" s="28"/>
      <c r="K132" s="28"/>
      <c r="L132" s="28"/>
      <c r="M132" s="30"/>
      <c r="O132" s="28"/>
      <c r="S132" s="28"/>
      <c r="T132" s="10" t="str">
        <f aca="false">IF(A132="","",IF(COUNTIF(Touches!$B$2:$B$501,A132)=0,"",SUMPRODUCT(MAX((Touches!$B$2:$B$501=A132)*Touches!$A$2:$A$501))))</f>
        <v/>
      </c>
      <c r="U132" s="15" t="str">
        <f aca="false">IF(A132="","",IF(N132&lt;&gt;"",N132,IFERROR(INDEX(Lists!$H$5:$H$12,MATCH(I132,Lists!$G$5:$G$12,0)),"")))</f>
        <v/>
      </c>
      <c r="V132" s="10" t="str">
        <f aca="true">IF(A132="","",IF(O132&lt;&gt;"",O132,IF(OR(U132="",U132="never",U132=0),"",IF(T132="",TODAY(),T132+U132))))</f>
        <v/>
      </c>
      <c r="W132" s="17" t="str">
        <f aca="true">IF(A132="","",IF(V132="","no rhythm",IF(V132&lt;TODAY(),"Overdue",IF(V132=TODAY(),"Today",IF(V132&lt;=TODAY()+7,"Soon","Later")))))</f>
        <v/>
      </c>
      <c r="X132" s="15" t="str">
        <f aca="true">IF(OR(A132="",V132=""),"",TODAY()-V132)</f>
        <v/>
      </c>
      <c r="Y132" s="15" t="str">
        <f aca="false">IF(A132="","",IFERROR(INDEX(Lists!$I$5:$I$12,MATCH(I132,Lists!$G$5:$G$12,0)),""))</f>
        <v/>
      </c>
      <c r="Z132" s="15" t="str">
        <f aca="false">IF(AND(X132&lt;&gt;"",X132&gt;=0),X132+ROW()/100000,"")</f>
        <v/>
      </c>
    </row>
    <row r="133" customFormat="false" ht="15" hidden="false" customHeight="false" outlineLevel="0" collapsed="false">
      <c r="H133" s="29"/>
      <c r="I133" s="29"/>
      <c r="J133" s="28"/>
      <c r="K133" s="28"/>
      <c r="L133" s="28"/>
      <c r="M133" s="30"/>
      <c r="O133" s="28"/>
      <c r="S133" s="28"/>
      <c r="T133" s="10" t="str">
        <f aca="false">IF(A133="","",IF(COUNTIF(Touches!$B$2:$B$501,A133)=0,"",SUMPRODUCT(MAX((Touches!$B$2:$B$501=A133)*Touches!$A$2:$A$501))))</f>
        <v/>
      </c>
      <c r="U133" s="15" t="str">
        <f aca="false">IF(A133="","",IF(N133&lt;&gt;"",N133,IFERROR(INDEX(Lists!$H$5:$H$12,MATCH(I133,Lists!$G$5:$G$12,0)),"")))</f>
        <v/>
      </c>
      <c r="V133" s="10" t="str">
        <f aca="true">IF(A133="","",IF(O133&lt;&gt;"",O133,IF(OR(U133="",U133="never",U133=0),"",IF(T133="",TODAY(),T133+U133))))</f>
        <v/>
      </c>
      <c r="W133" s="17" t="str">
        <f aca="true">IF(A133="","",IF(V133="","no rhythm",IF(V133&lt;TODAY(),"Overdue",IF(V133=TODAY(),"Today",IF(V133&lt;=TODAY()+7,"Soon","Later")))))</f>
        <v/>
      </c>
      <c r="X133" s="15" t="str">
        <f aca="true">IF(OR(A133="",V133=""),"",TODAY()-V133)</f>
        <v/>
      </c>
      <c r="Y133" s="15" t="str">
        <f aca="false">IF(A133="","",IFERROR(INDEX(Lists!$I$5:$I$12,MATCH(I133,Lists!$G$5:$G$12,0)),""))</f>
        <v/>
      </c>
      <c r="Z133" s="15" t="str">
        <f aca="false">IF(AND(X133&lt;&gt;"",X133&gt;=0),X133+ROW()/100000,"")</f>
        <v/>
      </c>
    </row>
    <row r="134" customFormat="false" ht="15" hidden="false" customHeight="false" outlineLevel="0" collapsed="false">
      <c r="H134" s="29"/>
      <c r="I134" s="29"/>
      <c r="J134" s="28"/>
      <c r="K134" s="28"/>
      <c r="L134" s="28"/>
      <c r="M134" s="30"/>
      <c r="O134" s="28"/>
      <c r="S134" s="28"/>
      <c r="T134" s="10" t="str">
        <f aca="false">IF(A134="","",IF(COUNTIF(Touches!$B$2:$B$501,A134)=0,"",SUMPRODUCT(MAX((Touches!$B$2:$B$501=A134)*Touches!$A$2:$A$501))))</f>
        <v/>
      </c>
      <c r="U134" s="15" t="str">
        <f aca="false">IF(A134="","",IF(N134&lt;&gt;"",N134,IFERROR(INDEX(Lists!$H$5:$H$12,MATCH(I134,Lists!$G$5:$G$12,0)),"")))</f>
        <v/>
      </c>
      <c r="V134" s="10" t="str">
        <f aca="true">IF(A134="","",IF(O134&lt;&gt;"",O134,IF(OR(U134="",U134="never",U134=0),"",IF(T134="",TODAY(),T134+U134))))</f>
        <v/>
      </c>
      <c r="W134" s="17" t="str">
        <f aca="true">IF(A134="","",IF(V134="","no rhythm",IF(V134&lt;TODAY(),"Overdue",IF(V134=TODAY(),"Today",IF(V134&lt;=TODAY()+7,"Soon","Later")))))</f>
        <v/>
      </c>
      <c r="X134" s="15" t="str">
        <f aca="true">IF(OR(A134="",V134=""),"",TODAY()-V134)</f>
        <v/>
      </c>
      <c r="Y134" s="15" t="str">
        <f aca="false">IF(A134="","",IFERROR(INDEX(Lists!$I$5:$I$12,MATCH(I134,Lists!$G$5:$G$12,0)),""))</f>
        <v/>
      </c>
      <c r="Z134" s="15" t="str">
        <f aca="false">IF(AND(X134&lt;&gt;"",X134&gt;=0),X134+ROW()/100000,"")</f>
        <v/>
      </c>
    </row>
    <row r="135" customFormat="false" ht="15" hidden="false" customHeight="false" outlineLevel="0" collapsed="false">
      <c r="H135" s="29"/>
      <c r="I135" s="29"/>
      <c r="J135" s="28"/>
      <c r="K135" s="28"/>
      <c r="L135" s="28"/>
      <c r="M135" s="30"/>
      <c r="O135" s="28"/>
      <c r="S135" s="28"/>
      <c r="T135" s="10" t="str">
        <f aca="false">IF(A135="","",IF(COUNTIF(Touches!$B$2:$B$501,A135)=0,"",SUMPRODUCT(MAX((Touches!$B$2:$B$501=A135)*Touches!$A$2:$A$501))))</f>
        <v/>
      </c>
      <c r="U135" s="15" t="str">
        <f aca="false">IF(A135="","",IF(N135&lt;&gt;"",N135,IFERROR(INDEX(Lists!$H$5:$H$12,MATCH(I135,Lists!$G$5:$G$12,0)),"")))</f>
        <v/>
      </c>
      <c r="V135" s="10" t="str">
        <f aca="true">IF(A135="","",IF(O135&lt;&gt;"",O135,IF(OR(U135="",U135="never",U135=0),"",IF(T135="",TODAY(),T135+U135))))</f>
        <v/>
      </c>
      <c r="W135" s="17" t="str">
        <f aca="true">IF(A135="","",IF(V135="","no rhythm",IF(V135&lt;TODAY(),"Overdue",IF(V135=TODAY(),"Today",IF(V135&lt;=TODAY()+7,"Soon","Later")))))</f>
        <v/>
      </c>
      <c r="X135" s="15" t="str">
        <f aca="true">IF(OR(A135="",V135=""),"",TODAY()-V135)</f>
        <v/>
      </c>
      <c r="Y135" s="15" t="str">
        <f aca="false">IF(A135="","",IFERROR(INDEX(Lists!$I$5:$I$12,MATCH(I135,Lists!$G$5:$G$12,0)),""))</f>
        <v/>
      </c>
      <c r="Z135" s="15" t="str">
        <f aca="false">IF(AND(X135&lt;&gt;"",X135&gt;=0),X135+ROW()/100000,"")</f>
        <v/>
      </c>
    </row>
    <row r="136" customFormat="false" ht="15" hidden="false" customHeight="false" outlineLevel="0" collapsed="false">
      <c r="H136" s="29"/>
      <c r="I136" s="29"/>
      <c r="J136" s="28"/>
      <c r="K136" s="28"/>
      <c r="L136" s="28"/>
      <c r="M136" s="30"/>
      <c r="O136" s="28"/>
      <c r="S136" s="28"/>
      <c r="T136" s="10" t="str">
        <f aca="false">IF(A136="","",IF(COUNTIF(Touches!$B$2:$B$501,A136)=0,"",SUMPRODUCT(MAX((Touches!$B$2:$B$501=A136)*Touches!$A$2:$A$501))))</f>
        <v/>
      </c>
      <c r="U136" s="15" t="str">
        <f aca="false">IF(A136="","",IF(N136&lt;&gt;"",N136,IFERROR(INDEX(Lists!$H$5:$H$12,MATCH(I136,Lists!$G$5:$G$12,0)),"")))</f>
        <v/>
      </c>
      <c r="V136" s="10" t="str">
        <f aca="true">IF(A136="","",IF(O136&lt;&gt;"",O136,IF(OR(U136="",U136="never",U136=0),"",IF(T136="",TODAY(),T136+U136))))</f>
        <v/>
      </c>
      <c r="W136" s="17" t="str">
        <f aca="true">IF(A136="","",IF(V136="","no rhythm",IF(V136&lt;TODAY(),"Overdue",IF(V136=TODAY(),"Today",IF(V136&lt;=TODAY()+7,"Soon","Later")))))</f>
        <v/>
      </c>
      <c r="X136" s="15" t="str">
        <f aca="true">IF(OR(A136="",V136=""),"",TODAY()-V136)</f>
        <v/>
      </c>
      <c r="Y136" s="15" t="str">
        <f aca="false">IF(A136="","",IFERROR(INDEX(Lists!$I$5:$I$12,MATCH(I136,Lists!$G$5:$G$12,0)),""))</f>
        <v/>
      </c>
      <c r="Z136" s="15" t="str">
        <f aca="false">IF(AND(X136&lt;&gt;"",X136&gt;=0),X136+ROW()/100000,"")</f>
        <v/>
      </c>
    </row>
    <row r="137" customFormat="false" ht="15" hidden="false" customHeight="false" outlineLevel="0" collapsed="false">
      <c r="H137" s="29"/>
      <c r="I137" s="29"/>
      <c r="J137" s="28"/>
      <c r="K137" s="28"/>
      <c r="L137" s="28"/>
      <c r="M137" s="30"/>
      <c r="O137" s="28"/>
      <c r="S137" s="28"/>
      <c r="T137" s="10" t="str">
        <f aca="false">IF(A137="","",IF(COUNTIF(Touches!$B$2:$B$501,A137)=0,"",SUMPRODUCT(MAX((Touches!$B$2:$B$501=A137)*Touches!$A$2:$A$501))))</f>
        <v/>
      </c>
      <c r="U137" s="15" t="str">
        <f aca="false">IF(A137="","",IF(N137&lt;&gt;"",N137,IFERROR(INDEX(Lists!$H$5:$H$12,MATCH(I137,Lists!$G$5:$G$12,0)),"")))</f>
        <v/>
      </c>
      <c r="V137" s="10" t="str">
        <f aca="true">IF(A137="","",IF(O137&lt;&gt;"",O137,IF(OR(U137="",U137="never",U137=0),"",IF(T137="",TODAY(),T137+U137))))</f>
        <v/>
      </c>
      <c r="W137" s="17" t="str">
        <f aca="true">IF(A137="","",IF(V137="","no rhythm",IF(V137&lt;TODAY(),"Overdue",IF(V137=TODAY(),"Today",IF(V137&lt;=TODAY()+7,"Soon","Later")))))</f>
        <v/>
      </c>
      <c r="X137" s="15" t="str">
        <f aca="true">IF(OR(A137="",V137=""),"",TODAY()-V137)</f>
        <v/>
      </c>
      <c r="Y137" s="15" t="str">
        <f aca="false">IF(A137="","",IFERROR(INDEX(Lists!$I$5:$I$12,MATCH(I137,Lists!$G$5:$G$12,0)),""))</f>
        <v/>
      </c>
      <c r="Z137" s="15" t="str">
        <f aca="false">IF(AND(X137&lt;&gt;"",X137&gt;=0),X137+ROW()/100000,"")</f>
        <v/>
      </c>
    </row>
    <row r="138" customFormat="false" ht="15" hidden="false" customHeight="false" outlineLevel="0" collapsed="false">
      <c r="H138" s="29"/>
      <c r="I138" s="29"/>
      <c r="J138" s="28"/>
      <c r="K138" s="28"/>
      <c r="L138" s="28"/>
      <c r="M138" s="30"/>
      <c r="O138" s="28"/>
      <c r="S138" s="28"/>
      <c r="T138" s="10" t="str">
        <f aca="false">IF(A138="","",IF(COUNTIF(Touches!$B$2:$B$501,A138)=0,"",SUMPRODUCT(MAX((Touches!$B$2:$B$501=A138)*Touches!$A$2:$A$501))))</f>
        <v/>
      </c>
      <c r="U138" s="15" t="str">
        <f aca="false">IF(A138="","",IF(N138&lt;&gt;"",N138,IFERROR(INDEX(Lists!$H$5:$H$12,MATCH(I138,Lists!$G$5:$G$12,0)),"")))</f>
        <v/>
      </c>
      <c r="V138" s="10" t="str">
        <f aca="true">IF(A138="","",IF(O138&lt;&gt;"",O138,IF(OR(U138="",U138="never",U138=0),"",IF(T138="",TODAY(),T138+U138))))</f>
        <v/>
      </c>
      <c r="W138" s="17" t="str">
        <f aca="true">IF(A138="","",IF(V138="","no rhythm",IF(V138&lt;TODAY(),"Overdue",IF(V138=TODAY(),"Today",IF(V138&lt;=TODAY()+7,"Soon","Later")))))</f>
        <v/>
      </c>
      <c r="X138" s="15" t="str">
        <f aca="true">IF(OR(A138="",V138=""),"",TODAY()-V138)</f>
        <v/>
      </c>
      <c r="Y138" s="15" t="str">
        <f aca="false">IF(A138="","",IFERROR(INDEX(Lists!$I$5:$I$12,MATCH(I138,Lists!$G$5:$G$12,0)),""))</f>
        <v/>
      </c>
      <c r="Z138" s="15" t="str">
        <f aca="false">IF(AND(X138&lt;&gt;"",X138&gt;=0),X138+ROW()/100000,"")</f>
        <v/>
      </c>
    </row>
    <row r="139" customFormat="false" ht="15" hidden="false" customHeight="false" outlineLevel="0" collapsed="false">
      <c r="H139" s="29"/>
      <c r="I139" s="29"/>
      <c r="J139" s="28"/>
      <c r="K139" s="28"/>
      <c r="L139" s="28"/>
      <c r="M139" s="30"/>
      <c r="O139" s="28"/>
      <c r="S139" s="28"/>
      <c r="T139" s="10" t="str">
        <f aca="false">IF(A139="","",IF(COUNTIF(Touches!$B$2:$B$501,A139)=0,"",SUMPRODUCT(MAX((Touches!$B$2:$B$501=A139)*Touches!$A$2:$A$501))))</f>
        <v/>
      </c>
      <c r="U139" s="15" t="str">
        <f aca="false">IF(A139="","",IF(N139&lt;&gt;"",N139,IFERROR(INDEX(Lists!$H$5:$H$12,MATCH(I139,Lists!$G$5:$G$12,0)),"")))</f>
        <v/>
      </c>
      <c r="V139" s="10" t="str">
        <f aca="true">IF(A139="","",IF(O139&lt;&gt;"",O139,IF(OR(U139="",U139="never",U139=0),"",IF(T139="",TODAY(),T139+U139))))</f>
        <v/>
      </c>
      <c r="W139" s="17" t="str">
        <f aca="true">IF(A139="","",IF(V139="","no rhythm",IF(V139&lt;TODAY(),"Overdue",IF(V139=TODAY(),"Today",IF(V139&lt;=TODAY()+7,"Soon","Later")))))</f>
        <v/>
      </c>
      <c r="X139" s="15" t="str">
        <f aca="true">IF(OR(A139="",V139=""),"",TODAY()-V139)</f>
        <v/>
      </c>
      <c r="Y139" s="15" t="str">
        <f aca="false">IF(A139="","",IFERROR(INDEX(Lists!$I$5:$I$12,MATCH(I139,Lists!$G$5:$G$12,0)),""))</f>
        <v/>
      </c>
      <c r="Z139" s="15" t="str">
        <f aca="false">IF(AND(X139&lt;&gt;"",X139&gt;=0),X139+ROW()/100000,"")</f>
        <v/>
      </c>
    </row>
    <row r="140" customFormat="false" ht="15" hidden="false" customHeight="false" outlineLevel="0" collapsed="false">
      <c r="H140" s="29"/>
      <c r="I140" s="29"/>
      <c r="J140" s="28"/>
      <c r="K140" s="28"/>
      <c r="L140" s="28"/>
      <c r="M140" s="30"/>
      <c r="O140" s="28"/>
      <c r="S140" s="28"/>
      <c r="T140" s="10" t="str">
        <f aca="false">IF(A140="","",IF(COUNTIF(Touches!$B$2:$B$501,A140)=0,"",SUMPRODUCT(MAX((Touches!$B$2:$B$501=A140)*Touches!$A$2:$A$501))))</f>
        <v/>
      </c>
      <c r="U140" s="15" t="str">
        <f aca="false">IF(A140="","",IF(N140&lt;&gt;"",N140,IFERROR(INDEX(Lists!$H$5:$H$12,MATCH(I140,Lists!$G$5:$G$12,0)),"")))</f>
        <v/>
      </c>
      <c r="V140" s="10" t="str">
        <f aca="true">IF(A140="","",IF(O140&lt;&gt;"",O140,IF(OR(U140="",U140="never",U140=0),"",IF(T140="",TODAY(),T140+U140))))</f>
        <v/>
      </c>
      <c r="W140" s="17" t="str">
        <f aca="true">IF(A140="","",IF(V140="","no rhythm",IF(V140&lt;TODAY(),"Overdue",IF(V140=TODAY(),"Today",IF(V140&lt;=TODAY()+7,"Soon","Later")))))</f>
        <v/>
      </c>
      <c r="X140" s="15" t="str">
        <f aca="true">IF(OR(A140="",V140=""),"",TODAY()-V140)</f>
        <v/>
      </c>
      <c r="Y140" s="15" t="str">
        <f aca="false">IF(A140="","",IFERROR(INDEX(Lists!$I$5:$I$12,MATCH(I140,Lists!$G$5:$G$12,0)),""))</f>
        <v/>
      </c>
      <c r="Z140" s="15" t="str">
        <f aca="false">IF(AND(X140&lt;&gt;"",X140&gt;=0),X140+ROW()/100000,"")</f>
        <v/>
      </c>
    </row>
    <row r="141" customFormat="false" ht="15" hidden="false" customHeight="false" outlineLevel="0" collapsed="false">
      <c r="H141" s="29"/>
      <c r="I141" s="29"/>
      <c r="J141" s="28"/>
      <c r="K141" s="28"/>
      <c r="L141" s="28"/>
      <c r="M141" s="30"/>
      <c r="O141" s="28"/>
      <c r="S141" s="28"/>
      <c r="T141" s="10" t="str">
        <f aca="false">IF(A141="","",IF(COUNTIF(Touches!$B$2:$B$501,A141)=0,"",SUMPRODUCT(MAX((Touches!$B$2:$B$501=A141)*Touches!$A$2:$A$501))))</f>
        <v/>
      </c>
      <c r="U141" s="15" t="str">
        <f aca="false">IF(A141="","",IF(N141&lt;&gt;"",N141,IFERROR(INDEX(Lists!$H$5:$H$12,MATCH(I141,Lists!$G$5:$G$12,0)),"")))</f>
        <v/>
      </c>
      <c r="V141" s="10" t="str">
        <f aca="true">IF(A141="","",IF(O141&lt;&gt;"",O141,IF(OR(U141="",U141="never",U141=0),"",IF(T141="",TODAY(),T141+U141))))</f>
        <v/>
      </c>
      <c r="W141" s="17" t="str">
        <f aca="true">IF(A141="","",IF(V141="","no rhythm",IF(V141&lt;TODAY(),"Overdue",IF(V141=TODAY(),"Today",IF(V141&lt;=TODAY()+7,"Soon","Later")))))</f>
        <v/>
      </c>
      <c r="X141" s="15" t="str">
        <f aca="true">IF(OR(A141="",V141=""),"",TODAY()-V141)</f>
        <v/>
      </c>
      <c r="Y141" s="15" t="str">
        <f aca="false">IF(A141="","",IFERROR(INDEX(Lists!$I$5:$I$12,MATCH(I141,Lists!$G$5:$G$12,0)),""))</f>
        <v/>
      </c>
      <c r="Z141" s="15" t="str">
        <f aca="false">IF(AND(X141&lt;&gt;"",X141&gt;=0),X141+ROW()/100000,"")</f>
        <v/>
      </c>
    </row>
    <row r="142" customFormat="false" ht="15" hidden="false" customHeight="false" outlineLevel="0" collapsed="false">
      <c r="H142" s="29"/>
      <c r="I142" s="29"/>
      <c r="J142" s="28"/>
      <c r="K142" s="28"/>
      <c r="L142" s="28"/>
      <c r="M142" s="30"/>
      <c r="O142" s="28"/>
      <c r="S142" s="28"/>
      <c r="T142" s="10" t="str">
        <f aca="false">IF(A142="","",IF(COUNTIF(Touches!$B$2:$B$501,A142)=0,"",SUMPRODUCT(MAX((Touches!$B$2:$B$501=A142)*Touches!$A$2:$A$501))))</f>
        <v/>
      </c>
      <c r="U142" s="15" t="str">
        <f aca="false">IF(A142="","",IF(N142&lt;&gt;"",N142,IFERROR(INDEX(Lists!$H$5:$H$12,MATCH(I142,Lists!$G$5:$G$12,0)),"")))</f>
        <v/>
      </c>
      <c r="V142" s="10" t="str">
        <f aca="true">IF(A142="","",IF(O142&lt;&gt;"",O142,IF(OR(U142="",U142="never",U142=0),"",IF(T142="",TODAY(),T142+U142))))</f>
        <v/>
      </c>
      <c r="W142" s="17" t="str">
        <f aca="true">IF(A142="","",IF(V142="","no rhythm",IF(V142&lt;TODAY(),"Overdue",IF(V142=TODAY(),"Today",IF(V142&lt;=TODAY()+7,"Soon","Later")))))</f>
        <v/>
      </c>
      <c r="X142" s="15" t="str">
        <f aca="true">IF(OR(A142="",V142=""),"",TODAY()-V142)</f>
        <v/>
      </c>
      <c r="Y142" s="15" t="str">
        <f aca="false">IF(A142="","",IFERROR(INDEX(Lists!$I$5:$I$12,MATCH(I142,Lists!$G$5:$G$12,0)),""))</f>
        <v/>
      </c>
      <c r="Z142" s="15" t="str">
        <f aca="false">IF(AND(X142&lt;&gt;"",X142&gt;=0),X142+ROW()/100000,"")</f>
        <v/>
      </c>
    </row>
    <row r="143" customFormat="false" ht="15" hidden="false" customHeight="false" outlineLevel="0" collapsed="false">
      <c r="H143" s="29"/>
      <c r="I143" s="29"/>
      <c r="J143" s="28"/>
      <c r="K143" s="28"/>
      <c r="L143" s="28"/>
      <c r="M143" s="30"/>
      <c r="O143" s="28"/>
      <c r="S143" s="28"/>
      <c r="T143" s="10" t="str">
        <f aca="false">IF(A143="","",IF(COUNTIF(Touches!$B$2:$B$501,A143)=0,"",SUMPRODUCT(MAX((Touches!$B$2:$B$501=A143)*Touches!$A$2:$A$501))))</f>
        <v/>
      </c>
      <c r="U143" s="15" t="str">
        <f aca="false">IF(A143="","",IF(N143&lt;&gt;"",N143,IFERROR(INDEX(Lists!$H$5:$H$12,MATCH(I143,Lists!$G$5:$G$12,0)),"")))</f>
        <v/>
      </c>
      <c r="V143" s="10" t="str">
        <f aca="true">IF(A143="","",IF(O143&lt;&gt;"",O143,IF(OR(U143="",U143="never",U143=0),"",IF(T143="",TODAY(),T143+U143))))</f>
        <v/>
      </c>
      <c r="W143" s="17" t="str">
        <f aca="true">IF(A143="","",IF(V143="","no rhythm",IF(V143&lt;TODAY(),"Overdue",IF(V143=TODAY(),"Today",IF(V143&lt;=TODAY()+7,"Soon","Later")))))</f>
        <v/>
      </c>
      <c r="X143" s="15" t="str">
        <f aca="true">IF(OR(A143="",V143=""),"",TODAY()-V143)</f>
        <v/>
      </c>
      <c r="Y143" s="15" t="str">
        <f aca="false">IF(A143="","",IFERROR(INDEX(Lists!$I$5:$I$12,MATCH(I143,Lists!$G$5:$G$12,0)),""))</f>
        <v/>
      </c>
      <c r="Z143" s="15" t="str">
        <f aca="false">IF(AND(X143&lt;&gt;"",X143&gt;=0),X143+ROW()/100000,"")</f>
        <v/>
      </c>
    </row>
    <row r="144" customFormat="false" ht="15" hidden="false" customHeight="false" outlineLevel="0" collapsed="false">
      <c r="H144" s="29"/>
      <c r="I144" s="29"/>
      <c r="J144" s="28"/>
      <c r="K144" s="28"/>
      <c r="L144" s="28"/>
      <c r="M144" s="30"/>
      <c r="O144" s="28"/>
      <c r="S144" s="28"/>
      <c r="T144" s="10" t="str">
        <f aca="false">IF(A144="","",IF(COUNTIF(Touches!$B$2:$B$501,A144)=0,"",SUMPRODUCT(MAX((Touches!$B$2:$B$501=A144)*Touches!$A$2:$A$501))))</f>
        <v/>
      </c>
      <c r="U144" s="15" t="str">
        <f aca="false">IF(A144="","",IF(N144&lt;&gt;"",N144,IFERROR(INDEX(Lists!$H$5:$H$12,MATCH(I144,Lists!$G$5:$G$12,0)),"")))</f>
        <v/>
      </c>
      <c r="V144" s="10" t="str">
        <f aca="true">IF(A144="","",IF(O144&lt;&gt;"",O144,IF(OR(U144="",U144="never",U144=0),"",IF(T144="",TODAY(),T144+U144))))</f>
        <v/>
      </c>
      <c r="W144" s="17" t="str">
        <f aca="true">IF(A144="","",IF(V144="","no rhythm",IF(V144&lt;TODAY(),"Overdue",IF(V144=TODAY(),"Today",IF(V144&lt;=TODAY()+7,"Soon","Later")))))</f>
        <v/>
      </c>
      <c r="X144" s="15" t="str">
        <f aca="true">IF(OR(A144="",V144=""),"",TODAY()-V144)</f>
        <v/>
      </c>
      <c r="Y144" s="15" t="str">
        <f aca="false">IF(A144="","",IFERROR(INDEX(Lists!$I$5:$I$12,MATCH(I144,Lists!$G$5:$G$12,0)),""))</f>
        <v/>
      </c>
      <c r="Z144" s="15" t="str">
        <f aca="false">IF(AND(X144&lt;&gt;"",X144&gt;=0),X144+ROW()/100000,"")</f>
        <v/>
      </c>
    </row>
    <row r="145" customFormat="false" ht="15" hidden="false" customHeight="false" outlineLevel="0" collapsed="false">
      <c r="H145" s="29"/>
      <c r="I145" s="29"/>
      <c r="J145" s="28"/>
      <c r="K145" s="28"/>
      <c r="L145" s="28"/>
      <c r="M145" s="30"/>
      <c r="O145" s="28"/>
      <c r="S145" s="28"/>
      <c r="T145" s="10" t="str">
        <f aca="false">IF(A145="","",IF(COUNTIF(Touches!$B$2:$B$501,A145)=0,"",SUMPRODUCT(MAX((Touches!$B$2:$B$501=A145)*Touches!$A$2:$A$501))))</f>
        <v/>
      </c>
      <c r="U145" s="15" t="str">
        <f aca="false">IF(A145="","",IF(N145&lt;&gt;"",N145,IFERROR(INDEX(Lists!$H$5:$H$12,MATCH(I145,Lists!$G$5:$G$12,0)),"")))</f>
        <v/>
      </c>
      <c r="V145" s="10" t="str">
        <f aca="true">IF(A145="","",IF(O145&lt;&gt;"",O145,IF(OR(U145="",U145="never",U145=0),"",IF(T145="",TODAY(),T145+U145))))</f>
        <v/>
      </c>
      <c r="W145" s="17" t="str">
        <f aca="true">IF(A145="","",IF(V145="","no rhythm",IF(V145&lt;TODAY(),"Overdue",IF(V145=TODAY(),"Today",IF(V145&lt;=TODAY()+7,"Soon","Later")))))</f>
        <v/>
      </c>
      <c r="X145" s="15" t="str">
        <f aca="true">IF(OR(A145="",V145=""),"",TODAY()-V145)</f>
        <v/>
      </c>
      <c r="Y145" s="15" t="str">
        <f aca="false">IF(A145="","",IFERROR(INDEX(Lists!$I$5:$I$12,MATCH(I145,Lists!$G$5:$G$12,0)),""))</f>
        <v/>
      </c>
      <c r="Z145" s="15" t="str">
        <f aca="false">IF(AND(X145&lt;&gt;"",X145&gt;=0),X145+ROW()/100000,"")</f>
        <v/>
      </c>
    </row>
    <row r="146" customFormat="false" ht="15" hidden="false" customHeight="false" outlineLevel="0" collapsed="false">
      <c r="H146" s="29"/>
      <c r="I146" s="29"/>
      <c r="J146" s="28"/>
      <c r="K146" s="28"/>
      <c r="L146" s="28"/>
      <c r="M146" s="30"/>
      <c r="O146" s="28"/>
      <c r="S146" s="28"/>
      <c r="T146" s="10" t="str">
        <f aca="false">IF(A146="","",IF(COUNTIF(Touches!$B$2:$B$501,A146)=0,"",SUMPRODUCT(MAX((Touches!$B$2:$B$501=A146)*Touches!$A$2:$A$501))))</f>
        <v/>
      </c>
      <c r="U146" s="15" t="str">
        <f aca="false">IF(A146="","",IF(N146&lt;&gt;"",N146,IFERROR(INDEX(Lists!$H$5:$H$12,MATCH(I146,Lists!$G$5:$G$12,0)),"")))</f>
        <v/>
      </c>
      <c r="V146" s="10" t="str">
        <f aca="true">IF(A146="","",IF(O146&lt;&gt;"",O146,IF(OR(U146="",U146="never",U146=0),"",IF(T146="",TODAY(),T146+U146))))</f>
        <v/>
      </c>
      <c r="W146" s="17" t="str">
        <f aca="true">IF(A146="","",IF(V146="","no rhythm",IF(V146&lt;TODAY(),"Overdue",IF(V146=TODAY(),"Today",IF(V146&lt;=TODAY()+7,"Soon","Later")))))</f>
        <v/>
      </c>
      <c r="X146" s="15" t="str">
        <f aca="true">IF(OR(A146="",V146=""),"",TODAY()-V146)</f>
        <v/>
      </c>
      <c r="Y146" s="15" t="str">
        <f aca="false">IF(A146="","",IFERROR(INDEX(Lists!$I$5:$I$12,MATCH(I146,Lists!$G$5:$G$12,0)),""))</f>
        <v/>
      </c>
      <c r="Z146" s="15" t="str">
        <f aca="false">IF(AND(X146&lt;&gt;"",X146&gt;=0),X146+ROW()/100000,"")</f>
        <v/>
      </c>
    </row>
    <row r="147" customFormat="false" ht="15" hidden="false" customHeight="false" outlineLevel="0" collapsed="false">
      <c r="H147" s="29"/>
      <c r="I147" s="29"/>
      <c r="J147" s="28"/>
      <c r="K147" s="28"/>
      <c r="L147" s="28"/>
      <c r="M147" s="30"/>
      <c r="O147" s="28"/>
      <c r="S147" s="28"/>
      <c r="T147" s="10" t="str">
        <f aca="false">IF(A147="","",IF(COUNTIF(Touches!$B$2:$B$501,A147)=0,"",SUMPRODUCT(MAX((Touches!$B$2:$B$501=A147)*Touches!$A$2:$A$501))))</f>
        <v/>
      </c>
      <c r="U147" s="15" t="str">
        <f aca="false">IF(A147="","",IF(N147&lt;&gt;"",N147,IFERROR(INDEX(Lists!$H$5:$H$12,MATCH(I147,Lists!$G$5:$G$12,0)),"")))</f>
        <v/>
      </c>
      <c r="V147" s="10" t="str">
        <f aca="true">IF(A147="","",IF(O147&lt;&gt;"",O147,IF(OR(U147="",U147="never",U147=0),"",IF(T147="",TODAY(),T147+U147))))</f>
        <v/>
      </c>
      <c r="W147" s="17" t="str">
        <f aca="true">IF(A147="","",IF(V147="","no rhythm",IF(V147&lt;TODAY(),"Overdue",IF(V147=TODAY(),"Today",IF(V147&lt;=TODAY()+7,"Soon","Later")))))</f>
        <v/>
      </c>
      <c r="X147" s="15" t="str">
        <f aca="true">IF(OR(A147="",V147=""),"",TODAY()-V147)</f>
        <v/>
      </c>
      <c r="Y147" s="15" t="str">
        <f aca="false">IF(A147="","",IFERROR(INDEX(Lists!$I$5:$I$12,MATCH(I147,Lists!$G$5:$G$12,0)),""))</f>
        <v/>
      </c>
      <c r="Z147" s="15" t="str">
        <f aca="false">IF(AND(X147&lt;&gt;"",X147&gt;=0),X147+ROW()/100000,"")</f>
        <v/>
      </c>
    </row>
    <row r="148" customFormat="false" ht="15" hidden="false" customHeight="false" outlineLevel="0" collapsed="false">
      <c r="H148" s="29"/>
      <c r="I148" s="29"/>
      <c r="J148" s="28"/>
      <c r="K148" s="28"/>
      <c r="L148" s="28"/>
      <c r="M148" s="30"/>
      <c r="O148" s="28"/>
      <c r="S148" s="28"/>
      <c r="T148" s="10" t="str">
        <f aca="false">IF(A148="","",IF(COUNTIF(Touches!$B$2:$B$501,A148)=0,"",SUMPRODUCT(MAX((Touches!$B$2:$B$501=A148)*Touches!$A$2:$A$501))))</f>
        <v/>
      </c>
      <c r="U148" s="15" t="str">
        <f aca="false">IF(A148="","",IF(N148&lt;&gt;"",N148,IFERROR(INDEX(Lists!$H$5:$H$12,MATCH(I148,Lists!$G$5:$G$12,0)),"")))</f>
        <v/>
      </c>
      <c r="V148" s="10" t="str">
        <f aca="true">IF(A148="","",IF(O148&lt;&gt;"",O148,IF(OR(U148="",U148="never",U148=0),"",IF(T148="",TODAY(),T148+U148))))</f>
        <v/>
      </c>
      <c r="W148" s="17" t="str">
        <f aca="true">IF(A148="","",IF(V148="","no rhythm",IF(V148&lt;TODAY(),"Overdue",IF(V148=TODAY(),"Today",IF(V148&lt;=TODAY()+7,"Soon","Later")))))</f>
        <v/>
      </c>
      <c r="X148" s="15" t="str">
        <f aca="true">IF(OR(A148="",V148=""),"",TODAY()-V148)</f>
        <v/>
      </c>
      <c r="Y148" s="15" t="str">
        <f aca="false">IF(A148="","",IFERROR(INDEX(Lists!$I$5:$I$12,MATCH(I148,Lists!$G$5:$G$12,0)),""))</f>
        <v/>
      </c>
      <c r="Z148" s="15" t="str">
        <f aca="false">IF(AND(X148&lt;&gt;"",X148&gt;=0),X148+ROW()/100000,"")</f>
        <v/>
      </c>
    </row>
    <row r="149" customFormat="false" ht="15" hidden="false" customHeight="false" outlineLevel="0" collapsed="false">
      <c r="H149" s="29"/>
      <c r="I149" s="29"/>
      <c r="J149" s="28"/>
      <c r="K149" s="28"/>
      <c r="L149" s="28"/>
      <c r="M149" s="30"/>
      <c r="O149" s="28"/>
      <c r="S149" s="28"/>
      <c r="T149" s="10" t="str">
        <f aca="false">IF(A149="","",IF(COUNTIF(Touches!$B$2:$B$501,A149)=0,"",SUMPRODUCT(MAX((Touches!$B$2:$B$501=A149)*Touches!$A$2:$A$501))))</f>
        <v/>
      </c>
      <c r="U149" s="15" t="str">
        <f aca="false">IF(A149="","",IF(N149&lt;&gt;"",N149,IFERROR(INDEX(Lists!$H$5:$H$12,MATCH(I149,Lists!$G$5:$G$12,0)),"")))</f>
        <v/>
      </c>
      <c r="V149" s="10" t="str">
        <f aca="true">IF(A149="","",IF(O149&lt;&gt;"",O149,IF(OR(U149="",U149="never",U149=0),"",IF(T149="",TODAY(),T149+U149))))</f>
        <v/>
      </c>
      <c r="W149" s="17" t="str">
        <f aca="true">IF(A149="","",IF(V149="","no rhythm",IF(V149&lt;TODAY(),"Overdue",IF(V149=TODAY(),"Today",IF(V149&lt;=TODAY()+7,"Soon","Later")))))</f>
        <v/>
      </c>
      <c r="X149" s="15" t="str">
        <f aca="true">IF(OR(A149="",V149=""),"",TODAY()-V149)</f>
        <v/>
      </c>
      <c r="Y149" s="15" t="str">
        <f aca="false">IF(A149="","",IFERROR(INDEX(Lists!$I$5:$I$12,MATCH(I149,Lists!$G$5:$G$12,0)),""))</f>
        <v/>
      </c>
      <c r="Z149" s="15" t="str">
        <f aca="false">IF(AND(X149&lt;&gt;"",X149&gt;=0),X149+ROW()/100000,"")</f>
        <v/>
      </c>
    </row>
    <row r="150" customFormat="false" ht="15" hidden="false" customHeight="false" outlineLevel="0" collapsed="false">
      <c r="H150" s="29"/>
      <c r="I150" s="29"/>
      <c r="J150" s="28"/>
      <c r="K150" s="28"/>
      <c r="L150" s="28"/>
      <c r="M150" s="30"/>
      <c r="O150" s="28"/>
      <c r="S150" s="28"/>
      <c r="T150" s="10" t="str">
        <f aca="false">IF(A150="","",IF(COUNTIF(Touches!$B$2:$B$501,A150)=0,"",SUMPRODUCT(MAX((Touches!$B$2:$B$501=A150)*Touches!$A$2:$A$501))))</f>
        <v/>
      </c>
      <c r="U150" s="15" t="str">
        <f aca="false">IF(A150="","",IF(N150&lt;&gt;"",N150,IFERROR(INDEX(Lists!$H$5:$H$12,MATCH(I150,Lists!$G$5:$G$12,0)),"")))</f>
        <v/>
      </c>
      <c r="V150" s="10" t="str">
        <f aca="true">IF(A150="","",IF(O150&lt;&gt;"",O150,IF(OR(U150="",U150="never",U150=0),"",IF(T150="",TODAY(),T150+U150))))</f>
        <v/>
      </c>
      <c r="W150" s="17" t="str">
        <f aca="true">IF(A150="","",IF(V150="","no rhythm",IF(V150&lt;TODAY(),"Overdue",IF(V150=TODAY(),"Today",IF(V150&lt;=TODAY()+7,"Soon","Later")))))</f>
        <v/>
      </c>
      <c r="X150" s="15" t="str">
        <f aca="true">IF(OR(A150="",V150=""),"",TODAY()-V150)</f>
        <v/>
      </c>
      <c r="Y150" s="15" t="str">
        <f aca="false">IF(A150="","",IFERROR(INDEX(Lists!$I$5:$I$12,MATCH(I150,Lists!$G$5:$G$12,0)),""))</f>
        <v/>
      </c>
      <c r="Z150" s="15" t="str">
        <f aca="false">IF(AND(X150&lt;&gt;"",X150&gt;=0),X150+ROW()/100000,"")</f>
        <v/>
      </c>
    </row>
    <row r="151" customFormat="false" ht="15" hidden="false" customHeight="false" outlineLevel="0" collapsed="false">
      <c r="H151" s="29"/>
      <c r="I151" s="29"/>
      <c r="J151" s="28"/>
      <c r="K151" s="28"/>
      <c r="L151" s="28"/>
      <c r="M151" s="30"/>
      <c r="O151" s="28"/>
      <c r="S151" s="28"/>
      <c r="T151" s="10" t="str">
        <f aca="false">IF(A151="","",IF(COUNTIF(Touches!$B$2:$B$501,A151)=0,"",SUMPRODUCT(MAX((Touches!$B$2:$B$501=A151)*Touches!$A$2:$A$501))))</f>
        <v/>
      </c>
      <c r="U151" s="15" t="str">
        <f aca="false">IF(A151="","",IF(N151&lt;&gt;"",N151,IFERROR(INDEX(Lists!$H$5:$H$12,MATCH(I151,Lists!$G$5:$G$12,0)),"")))</f>
        <v/>
      </c>
      <c r="V151" s="10" t="str">
        <f aca="true">IF(A151="","",IF(O151&lt;&gt;"",O151,IF(OR(U151="",U151="never",U151=0),"",IF(T151="",TODAY(),T151+U151))))</f>
        <v/>
      </c>
      <c r="W151" s="17" t="str">
        <f aca="true">IF(A151="","",IF(V151="","no rhythm",IF(V151&lt;TODAY(),"Overdue",IF(V151=TODAY(),"Today",IF(V151&lt;=TODAY()+7,"Soon","Later")))))</f>
        <v/>
      </c>
      <c r="X151" s="15" t="str">
        <f aca="true">IF(OR(A151="",V151=""),"",TODAY()-V151)</f>
        <v/>
      </c>
      <c r="Y151" s="15" t="str">
        <f aca="false">IF(A151="","",IFERROR(INDEX(Lists!$I$5:$I$12,MATCH(I151,Lists!$G$5:$G$12,0)),""))</f>
        <v/>
      </c>
      <c r="Z151" s="15" t="str">
        <f aca="false">IF(AND(X151&lt;&gt;"",X151&gt;=0),X151+ROW()/100000,"")</f>
        <v/>
      </c>
    </row>
  </sheetData>
  <autoFilter ref="A1:Y151"/>
  <conditionalFormatting sqref="W2:W151">
    <cfRule type="cellIs" priority="2" operator="equal" aboveAverage="0" equalAverage="0" bottom="0" percent="0" rank="0" text="" dxfId="2">
      <formula>"Overdue"</formula>
    </cfRule>
    <cfRule type="cellIs" priority="3" operator="equal" aboveAverage="0" equalAverage="0" bottom="0" percent="0" rank="0" text="" dxfId="1">
      <formula>"Today"</formula>
    </cfRule>
  </conditionalFormatting>
  <dataValidations count="2">
    <dataValidation allowBlank="true" errorStyle="stop" operator="between" showDropDown="false" showErrorMessage="false" showInputMessage="false" sqref="H2:H151" type="list">
      <formula1>Lists!$J$5:$J$12</formula1>
      <formula2>0</formula2>
    </dataValidation>
    <dataValidation allowBlank="true" errorStyle="stop" operator="between" showDropDown="false" showErrorMessage="false" showInputMessage="false" sqref="I2:I151" type="list">
      <formula1>Lists!$G$5:$G$12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3" min="3" style="0" width="12"/>
    <col collapsed="false" customWidth="true" hidden="false" outlineLevel="0" max="4" min="4" style="0" width="20"/>
    <col collapsed="false" customWidth="true" hidden="false" outlineLevel="0" max="5" min="5" style="0" width="12"/>
    <col collapsed="false" customWidth="true" hidden="false" outlineLevel="0" max="6" min="6" style="0" width="14"/>
    <col collapsed="false" customWidth="true" hidden="false" outlineLevel="0" max="7" min="7" style="0" width="50"/>
  </cols>
  <sheetData>
    <row r="1" customFormat="false" ht="30" hidden="false" customHeight="true" outlineLevel="0" collapsed="false">
      <c r="A1" s="26" t="s">
        <v>187</v>
      </c>
      <c r="B1" s="26" t="s">
        <v>260</v>
      </c>
      <c r="C1" s="26" t="s">
        <v>261</v>
      </c>
      <c r="D1" s="26" t="s">
        <v>262</v>
      </c>
      <c r="E1" s="26" t="s">
        <v>263</v>
      </c>
      <c r="F1" s="26" t="s">
        <v>117</v>
      </c>
      <c r="G1" s="26" t="s">
        <v>264</v>
      </c>
    </row>
    <row r="2" customFormat="false" ht="15" hidden="false" customHeight="false" outlineLevel="0" collapsed="false">
      <c r="A2" s="28" t="n">
        <v>46278</v>
      </c>
      <c r="B2" s="29" t="s">
        <v>235</v>
      </c>
      <c r="C2" s="29" t="s">
        <v>137</v>
      </c>
      <c r="D2" s="29" t="s">
        <v>146</v>
      </c>
      <c r="E2" s="29" t="s">
        <v>139</v>
      </c>
      <c r="F2" s="29" t="s">
        <v>138</v>
      </c>
      <c r="G2" s="29" t="s">
        <v>265</v>
      </c>
    </row>
    <row r="3" customFormat="false" ht="15" hidden="false" customHeight="false" outlineLevel="0" collapsed="false">
      <c r="A3" s="28" t="n">
        <v>46280</v>
      </c>
      <c r="B3" s="29" t="s">
        <v>235</v>
      </c>
      <c r="C3" s="29" t="s">
        <v>137</v>
      </c>
      <c r="D3" s="29" t="s">
        <v>146</v>
      </c>
      <c r="E3" s="29" t="s">
        <v>129</v>
      </c>
      <c r="F3" s="29" t="s">
        <v>138</v>
      </c>
      <c r="G3" s="29" t="s">
        <v>266</v>
      </c>
    </row>
    <row r="4" customFormat="false" ht="15" hidden="false" customHeight="false" outlineLevel="0" collapsed="false">
      <c r="A4" s="28" t="n">
        <v>46285</v>
      </c>
      <c r="B4" s="29" t="s">
        <v>235</v>
      </c>
      <c r="C4" s="29" t="s">
        <v>147</v>
      </c>
      <c r="D4" s="29" t="s">
        <v>146</v>
      </c>
      <c r="E4" s="29" t="s">
        <v>129</v>
      </c>
      <c r="F4" s="29" t="s">
        <v>128</v>
      </c>
      <c r="G4" s="29" t="s">
        <v>267</v>
      </c>
    </row>
    <row r="5" customFormat="false" ht="15" hidden="false" customHeight="false" outlineLevel="0" collapsed="false">
      <c r="A5" s="28" t="n">
        <v>46272</v>
      </c>
      <c r="B5" s="29" t="s">
        <v>241</v>
      </c>
      <c r="C5" s="29" t="s">
        <v>147</v>
      </c>
      <c r="D5" s="29" t="s">
        <v>163</v>
      </c>
      <c r="E5" s="29" t="s">
        <v>129</v>
      </c>
      <c r="F5" s="29" t="s">
        <v>138</v>
      </c>
    </row>
    <row r="6" customFormat="false" ht="15" hidden="false" customHeight="false" outlineLevel="0" collapsed="false">
      <c r="A6" s="28" t="n">
        <v>46287</v>
      </c>
      <c r="B6" s="29" t="s">
        <v>241</v>
      </c>
      <c r="C6" s="29" t="s">
        <v>164</v>
      </c>
      <c r="D6" s="29" t="s">
        <v>163</v>
      </c>
      <c r="E6" s="29" t="s">
        <v>129</v>
      </c>
      <c r="F6" s="29" t="s">
        <v>148</v>
      </c>
      <c r="G6" s="29" t="s">
        <v>268</v>
      </c>
    </row>
    <row r="7" customFormat="false" ht="15" hidden="false" customHeight="false" outlineLevel="0" collapsed="false">
      <c r="A7" s="28" t="n">
        <v>46270</v>
      </c>
      <c r="B7" s="29" t="s">
        <v>245</v>
      </c>
      <c r="C7" s="29" t="s">
        <v>164</v>
      </c>
      <c r="D7" s="29" t="s">
        <v>126</v>
      </c>
      <c r="E7" s="29" t="s">
        <v>129</v>
      </c>
      <c r="F7" s="29" t="s">
        <v>157</v>
      </c>
      <c r="G7" s="29" t="s">
        <v>269</v>
      </c>
    </row>
    <row r="8" customFormat="false" ht="15" hidden="false" customHeight="false" outlineLevel="0" collapsed="false">
      <c r="A8" s="28" t="n">
        <v>46279</v>
      </c>
      <c r="B8" s="29" t="s">
        <v>250</v>
      </c>
      <c r="C8" s="29" t="s">
        <v>127</v>
      </c>
      <c r="D8" s="29" t="s">
        <v>146</v>
      </c>
      <c r="E8" s="29" t="s">
        <v>139</v>
      </c>
      <c r="F8" s="29" t="s">
        <v>128</v>
      </c>
      <c r="G8" s="29" t="s">
        <v>270</v>
      </c>
    </row>
    <row r="9" customFormat="false" ht="15" hidden="false" customHeight="false" outlineLevel="0" collapsed="false">
      <c r="A9" s="28" t="n">
        <v>46282</v>
      </c>
      <c r="B9" s="29" t="s">
        <v>253</v>
      </c>
      <c r="C9" s="29" t="s">
        <v>137</v>
      </c>
      <c r="D9" s="29" t="s">
        <v>136</v>
      </c>
      <c r="E9" s="29" t="s">
        <v>129</v>
      </c>
      <c r="F9" s="29" t="s">
        <v>128</v>
      </c>
    </row>
    <row r="10" customFormat="false" ht="15" hidden="false" customHeight="false" outlineLevel="0" collapsed="false">
      <c r="A10" s="28" t="n">
        <v>46289</v>
      </c>
      <c r="B10" s="29" t="s">
        <v>253</v>
      </c>
      <c r="C10" s="29" t="s">
        <v>137</v>
      </c>
      <c r="D10" s="29" t="s">
        <v>136</v>
      </c>
      <c r="E10" s="29" t="s">
        <v>129</v>
      </c>
      <c r="F10" s="29" t="s">
        <v>128</v>
      </c>
      <c r="G10" s="29" t="s">
        <v>271</v>
      </c>
    </row>
    <row r="11" customFormat="false" ht="15" hidden="false" customHeight="false" outlineLevel="0" collapsed="false">
      <c r="A11" s="28"/>
      <c r="B11" s="29"/>
      <c r="C11" s="29"/>
      <c r="D11" s="29"/>
      <c r="E11" s="29"/>
      <c r="F11" s="29"/>
    </row>
    <row r="12" customFormat="false" ht="15" hidden="false" customHeight="false" outlineLevel="0" collapsed="false">
      <c r="A12" s="28"/>
      <c r="B12" s="29"/>
      <c r="C12" s="29"/>
      <c r="D12" s="29"/>
      <c r="E12" s="29"/>
      <c r="F12" s="29"/>
    </row>
    <row r="13" customFormat="false" ht="15" hidden="false" customHeight="false" outlineLevel="0" collapsed="false">
      <c r="A13" s="28"/>
      <c r="B13" s="29"/>
      <c r="C13" s="29"/>
      <c r="D13" s="29"/>
      <c r="E13" s="29"/>
      <c r="F13" s="29"/>
    </row>
    <row r="14" customFormat="false" ht="15" hidden="false" customHeight="false" outlineLevel="0" collapsed="false">
      <c r="A14" s="28"/>
      <c r="B14" s="29"/>
      <c r="C14" s="29"/>
      <c r="D14" s="29"/>
      <c r="E14" s="29"/>
      <c r="F14" s="29"/>
    </row>
    <row r="15" customFormat="false" ht="15" hidden="false" customHeight="false" outlineLevel="0" collapsed="false">
      <c r="A15" s="28"/>
      <c r="B15" s="29"/>
      <c r="C15" s="29"/>
      <c r="D15" s="29"/>
      <c r="E15" s="29"/>
      <c r="F15" s="29"/>
    </row>
    <row r="16" customFormat="false" ht="15" hidden="false" customHeight="false" outlineLevel="0" collapsed="false">
      <c r="A16" s="28"/>
      <c r="B16" s="29"/>
      <c r="C16" s="29"/>
      <c r="D16" s="29"/>
      <c r="E16" s="29"/>
      <c r="F16" s="29"/>
    </row>
    <row r="17" customFormat="false" ht="15" hidden="false" customHeight="false" outlineLevel="0" collapsed="false">
      <c r="A17" s="28"/>
      <c r="B17" s="29"/>
      <c r="C17" s="29"/>
      <c r="D17" s="29"/>
      <c r="E17" s="29"/>
      <c r="F17" s="29"/>
    </row>
    <row r="18" customFormat="false" ht="15" hidden="false" customHeight="false" outlineLevel="0" collapsed="false">
      <c r="A18" s="28"/>
      <c r="B18" s="29"/>
      <c r="C18" s="29"/>
      <c r="D18" s="29"/>
      <c r="E18" s="29"/>
      <c r="F18" s="29"/>
    </row>
    <row r="19" customFormat="false" ht="15" hidden="false" customHeight="false" outlineLevel="0" collapsed="false">
      <c r="A19" s="28"/>
      <c r="B19" s="29"/>
      <c r="C19" s="29"/>
      <c r="D19" s="29"/>
      <c r="E19" s="29"/>
      <c r="F19" s="29"/>
    </row>
    <row r="20" customFormat="false" ht="15" hidden="false" customHeight="false" outlineLevel="0" collapsed="false">
      <c r="A20" s="28"/>
      <c r="B20" s="29"/>
      <c r="C20" s="29"/>
      <c r="D20" s="29"/>
      <c r="E20" s="29"/>
      <c r="F20" s="29"/>
    </row>
    <row r="21" customFormat="false" ht="15" hidden="false" customHeight="false" outlineLevel="0" collapsed="false">
      <c r="A21" s="28"/>
      <c r="B21" s="29"/>
      <c r="C21" s="29"/>
      <c r="D21" s="29"/>
      <c r="E21" s="29"/>
      <c r="F21" s="29"/>
    </row>
    <row r="22" customFormat="false" ht="15" hidden="false" customHeight="false" outlineLevel="0" collapsed="false">
      <c r="A22" s="28"/>
      <c r="B22" s="29"/>
      <c r="C22" s="29"/>
      <c r="D22" s="29"/>
      <c r="E22" s="29"/>
      <c r="F22" s="29"/>
    </row>
    <row r="23" customFormat="false" ht="15" hidden="false" customHeight="false" outlineLevel="0" collapsed="false">
      <c r="A23" s="28"/>
      <c r="B23" s="29"/>
      <c r="C23" s="29"/>
      <c r="D23" s="29"/>
      <c r="E23" s="29"/>
      <c r="F23" s="29"/>
    </row>
    <row r="24" customFormat="false" ht="15" hidden="false" customHeight="false" outlineLevel="0" collapsed="false">
      <c r="A24" s="28"/>
      <c r="B24" s="29"/>
      <c r="C24" s="29"/>
      <c r="D24" s="29"/>
      <c r="E24" s="29"/>
      <c r="F24" s="29"/>
    </row>
    <row r="25" customFormat="false" ht="15" hidden="false" customHeight="false" outlineLevel="0" collapsed="false">
      <c r="A25" s="28"/>
      <c r="B25" s="29"/>
      <c r="C25" s="29"/>
      <c r="D25" s="29"/>
      <c r="E25" s="29"/>
      <c r="F25" s="29"/>
    </row>
    <row r="26" customFormat="false" ht="15" hidden="false" customHeight="false" outlineLevel="0" collapsed="false">
      <c r="A26" s="28"/>
      <c r="B26" s="29"/>
      <c r="C26" s="29"/>
      <c r="D26" s="29"/>
      <c r="E26" s="29"/>
      <c r="F26" s="29"/>
    </row>
    <row r="27" customFormat="false" ht="15" hidden="false" customHeight="false" outlineLevel="0" collapsed="false">
      <c r="A27" s="28"/>
      <c r="B27" s="29"/>
      <c r="C27" s="29"/>
      <c r="D27" s="29"/>
      <c r="E27" s="29"/>
      <c r="F27" s="29"/>
    </row>
    <row r="28" customFormat="false" ht="15" hidden="false" customHeight="false" outlineLevel="0" collapsed="false">
      <c r="A28" s="28"/>
      <c r="B28" s="29"/>
      <c r="C28" s="29"/>
      <c r="D28" s="29"/>
      <c r="E28" s="29"/>
      <c r="F28" s="29"/>
    </row>
    <row r="29" customFormat="false" ht="15" hidden="false" customHeight="false" outlineLevel="0" collapsed="false">
      <c r="A29" s="28"/>
      <c r="B29" s="29"/>
      <c r="C29" s="29"/>
      <c r="D29" s="29"/>
      <c r="E29" s="29"/>
      <c r="F29" s="29"/>
    </row>
    <row r="30" customFormat="false" ht="15" hidden="false" customHeight="false" outlineLevel="0" collapsed="false">
      <c r="A30" s="28"/>
      <c r="B30" s="29"/>
      <c r="C30" s="29"/>
      <c r="D30" s="29"/>
      <c r="E30" s="29"/>
      <c r="F30" s="29"/>
    </row>
    <row r="31" customFormat="false" ht="15" hidden="false" customHeight="false" outlineLevel="0" collapsed="false">
      <c r="A31" s="28"/>
      <c r="B31" s="29"/>
      <c r="C31" s="29"/>
      <c r="D31" s="29"/>
      <c r="E31" s="29"/>
      <c r="F31" s="29"/>
    </row>
    <row r="32" customFormat="false" ht="15" hidden="false" customHeight="false" outlineLevel="0" collapsed="false">
      <c r="A32" s="28"/>
      <c r="B32" s="29"/>
      <c r="C32" s="29"/>
      <c r="D32" s="29"/>
      <c r="E32" s="29"/>
      <c r="F32" s="29"/>
    </row>
    <row r="33" customFormat="false" ht="15" hidden="false" customHeight="false" outlineLevel="0" collapsed="false">
      <c r="A33" s="28"/>
      <c r="B33" s="29"/>
      <c r="C33" s="29"/>
      <c r="D33" s="29"/>
      <c r="E33" s="29"/>
      <c r="F33" s="29"/>
    </row>
    <row r="34" customFormat="false" ht="15" hidden="false" customHeight="false" outlineLevel="0" collapsed="false">
      <c r="A34" s="28"/>
      <c r="B34" s="29"/>
      <c r="C34" s="29"/>
      <c r="D34" s="29"/>
      <c r="E34" s="29"/>
      <c r="F34" s="29"/>
    </row>
    <row r="35" customFormat="false" ht="15" hidden="false" customHeight="false" outlineLevel="0" collapsed="false">
      <c r="A35" s="28"/>
      <c r="B35" s="29"/>
      <c r="C35" s="29"/>
      <c r="D35" s="29"/>
      <c r="E35" s="29"/>
      <c r="F35" s="29"/>
    </row>
    <row r="36" customFormat="false" ht="15" hidden="false" customHeight="false" outlineLevel="0" collapsed="false">
      <c r="A36" s="28"/>
      <c r="B36" s="29"/>
      <c r="C36" s="29"/>
      <c r="D36" s="29"/>
      <c r="E36" s="29"/>
      <c r="F36" s="29"/>
    </row>
    <row r="37" customFormat="false" ht="15" hidden="false" customHeight="false" outlineLevel="0" collapsed="false">
      <c r="A37" s="28"/>
      <c r="B37" s="29"/>
      <c r="C37" s="29"/>
      <c r="D37" s="29"/>
      <c r="E37" s="29"/>
      <c r="F37" s="29"/>
    </row>
    <row r="38" customFormat="false" ht="15" hidden="false" customHeight="false" outlineLevel="0" collapsed="false">
      <c r="A38" s="28"/>
      <c r="B38" s="29"/>
      <c r="C38" s="29"/>
      <c r="D38" s="29"/>
      <c r="E38" s="29"/>
      <c r="F38" s="29"/>
    </row>
    <row r="39" customFormat="false" ht="15" hidden="false" customHeight="false" outlineLevel="0" collapsed="false">
      <c r="A39" s="28"/>
      <c r="B39" s="29"/>
      <c r="C39" s="29"/>
      <c r="D39" s="29"/>
      <c r="E39" s="29"/>
      <c r="F39" s="29"/>
    </row>
    <row r="40" customFormat="false" ht="15" hidden="false" customHeight="false" outlineLevel="0" collapsed="false">
      <c r="A40" s="28"/>
      <c r="B40" s="29"/>
      <c r="C40" s="29"/>
      <c r="D40" s="29"/>
      <c r="E40" s="29"/>
      <c r="F40" s="29"/>
    </row>
    <row r="41" customFormat="false" ht="15" hidden="false" customHeight="false" outlineLevel="0" collapsed="false">
      <c r="A41" s="28"/>
      <c r="B41" s="29"/>
      <c r="C41" s="29"/>
      <c r="D41" s="29"/>
      <c r="E41" s="29"/>
      <c r="F41" s="29"/>
    </row>
    <row r="42" customFormat="false" ht="15" hidden="false" customHeight="false" outlineLevel="0" collapsed="false">
      <c r="A42" s="28"/>
      <c r="B42" s="29"/>
      <c r="C42" s="29"/>
      <c r="D42" s="29"/>
      <c r="E42" s="29"/>
      <c r="F42" s="29"/>
    </row>
    <row r="43" customFormat="false" ht="15" hidden="false" customHeight="false" outlineLevel="0" collapsed="false">
      <c r="A43" s="28"/>
      <c r="B43" s="29"/>
      <c r="C43" s="29"/>
      <c r="D43" s="29"/>
      <c r="E43" s="29"/>
      <c r="F43" s="29"/>
    </row>
    <row r="44" customFormat="false" ht="15" hidden="false" customHeight="false" outlineLevel="0" collapsed="false">
      <c r="A44" s="28"/>
      <c r="B44" s="29"/>
      <c r="C44" s="29"/>
      <c r="D44" s="29"/>
      <c r="E44" s="29"/>
      <c r="F44" s="29"/>
    </row>
    <row r="45" customFormat="false" ht="15" hidden="false" customHeight="false" outlineLevel="0" collapsed="false">
      <c r="A45" s="28"/>
      <c r="B45" s="29"/>
      <c r="C45" s="29"/>
      <c r="D45" s="29"/>
      <c r="E45" s="29"/>
      <c r="F45" s="29"/>
    </row>
    <row r="46" customFormat="false" ht="15" hidden="false" customHeight="false" outlineLevel="0" collapsed="false">
      <c r="A46" s="28"/>
      <c r="B46" s="29"/>
      <c r="C46" s="29"/>
      <c r="D46" s="29"/>
      <c r="E46" s="29"/>
      <c r="F46" s="29"/>
    </row>
    <row r="47" customFormat="false" ht="15" hidden="false" customHeight="false" outlineLevel="0" collapsed="false">
      <c r="A47" s="28"/>
      <c r="B47" s="29"/>
      <c r="C47" s="29"/>
      <c r="D47" s="29"/>
      <c r="E47" s="29"/>
      <c r="F47" s="29"/>
    </row>
    <row r="48" customFormat="false" ht="15" hidden="false" customHeight="false" outlineLevel="0" collapsed="false">
      <c r="A48" s="28"/>
      <c r="B48" s="29"/>
      <c r="C48" s="29"/>
      <c r="D48" s="29"/>
      <c r="E48" s="29"/>
      <c r="F48" s="29"/>
    </row>
    <row r="49" customFormat="false" ht="15" hidden="false" customHeight="false" outlineLevel="0" collapsed="false">
      <c r="A49" s="28"/>
      <c r="B49" s="29"/>
      <c r="C49" s="29"/>
      <c r="D49" s="29"/>
      <c r="E49" s="29"/>
      <c r="F49" s="29"/>
    </row>
    <row r="50" customFormat="false" ht="15" hidden="false" customHeight="false" outlineLevel="0" collapsed="false">
      <c r="A50" s="28"/>
      <c r="B50" s="29"/>
      <c r="C50" s="29"/>
      <c r="D50" s="29"/>
      <c r="E50" s="29"/>
      <c r="F50" s="29"/>
    </row>
    <row r="51" customFormat="false" ht="15" hidden="false" customHeight="false" outlineLevel="0" collapsed="false">
      <c r="A51" s="28"/>
      <c r="B51" s="29"/>
      <c r="C51" s="29"/>
      <c r="D51" s="29"/>
      <c r="E51" s="29"/>
      <c r="F51" s="29"/>
    </row>
    <row r="52" customFormat="false" ht="15" hidden="false" customHeight="false" outlineLevel="0" collapsed="false">
      <c r="A52" s="28"/>
      <c r="B52" s="29"/>
      <c r="C52" s="29"/>
      <c r="D52" s="29"/>
      <c r="E52" s="29"/>
      <c r="F52" s="29"/>
    </row>
    <row r="53" customFormat="false" ht="15" hidden="false" customHeight="false" outlineLevel="0" collapsed="false">
      <c r="A53" s="28"/>
      <c r="B53" s="29"/>
      <c r="C53" s="29"/>
      <c r="D53" s="29"/>
      <c r="E53" s="29"/>
      <c r="F53" s="29"/>
    </row>
    <row r="54" customFormat="false" ht="15" hidden="false" customHeight="false" outlineLevel="0" collapsed="false">
      <c r="A54" s="28"/>
      <c r="B54" s="29"/>
      <c r="C54" s="29"/>
      <c r="D54" s="29"/>
      <c r="E54" s="29"/>
      <c r="F54" s="29"/>
    </row>
    <row r="55" customFormat="false" ht="15" hidden="false" customHeight="false" outlineLevel="0" collapsed="false">
      <c r="A55" s="28"/>
      <c r="B55" s="29"/>
      <c r="C55" s="29"/>
      <c r="D55" s="29"/>
      <c r="E55" s="29"/>
      <c r="F55" s="29"/>
    </row>
    <row r="56" customFormat="false" ht="15" hidden="false" customHeight="false" outlineLevel="0" collapsed="false">
      <c r="A56" s="28"/>
      <c r="B56" s="29"/>
      <c r="C56" s="29"/>
      <c r="D56" s="29"/>
      <c r="E56" s="29"/>
      <c r="F56" s="29"/>
    </row>
    <row r="57" customFormat="false" ht="15" hidden="false" customHeight="false" outlineLevel="0" collapsed="false">
      <c r="A57" s="28"/>
      <c r="B57" s="29"/>
      <c r="C57" s="29"/>
      <c r="D57" s="29"/>
      <c r="E57" s="29"/>
      <c r="F57" s="29"/>
    </row>
    <row r="58" customFormat="false" ht="15" hidden="false" customHeight="false" outlineLevel="0" collapsed="false">
      <c r="A58" s="28"/>
      <c r="B58" s="29"/>
      <c r="C58" s="29"/>
      <c r="D58" s="29"/>
      <c r="E58" s="29"/>
      <c r="F58" s="29"/>
    </row>
    <row r="59" customFormat="false" ht="15" hidden="false" customHeight="false" outlineLevel="0" collapsed="false">
      <c r="A59" s="28"/>
      <c r="B59" s="29"/>
      <c r="C59" s="29"/>
      <c r="D59" s="29"/>
      <c r="E59" s="29"/>
      <c r="F59" s="29"/>
    </row>
    <row r="60" customFormat="false" ht="15" hidden="false" customHeight="false" outlineLevel="0" collapsed="false">
      <c r="A60" s="28"/>
      <c r="B60" s="29"/>
      <c r="C60" s="29"/>
      <c r="D60" s="29"/>
      <c r="E60" s="29"/>
      <c r="F60" s="29"/>
    </row>
    <row r="61" customFormat="false" ht="15" hidden="false" customHeight="false" outlineLevel="0" collapsed="false">
      <c r="A61" s="28"/>
      <c r="B61" s="29"/>
      <c r="C61" s="29"/>
      <c r="D61" s="29"/>
      <c r="E61" s="29"/>
      <c r="F61" s="29"/>
    </row>
    <row r="62" customFormat="false" ht="15" hidden="false" customHeight="false" outlineLevel="0" collapsed="false">
      <c r="A62" s="28"/>
      <c r="B62" s="29"/>
      <c r="C62" s="29"/>
      <c r="D62" s="29"/>
      <c r="E62" s="29"/>
      <c r="F62" s="29"/>
    </row>
    <row r="63" customFormat="false" ht="15" hidden="false" customHeight="false" outlineLevel="0" collapsed="false">
      <c r="A63" s="28"/>
      <c r="B63" s="29"/>
      <c r="C63" s="29"/>
      <c r="D63" s="29"/>
      <c r="E63" s="29"/>
      <c r="F63" s="29"/>
    </row>
    <row r="64" customFormat="false" ht="15" hidden="false" customHeight="false" outlineLevel="0" collapsed="false">
      <c r="A64" s="28"/>
      <c r="B64" s="29"/>
      <c r="C64" s="29"/>
      <c r="D64" s="29"/>
      <c r="E64" s="29"/>
      <c r="F64" s="29"/>
    </row>
    <row r="65" customFormat="false" ht="15" hidden="false" customHeight="false" outlineLevel="0" collapsed="false">
      <c r="A65" s="28"/>
      <c r="B65" s="29"/>
      <c r="C65" s="29"/>
      <c r="D65" s="29"/>
      <c r="E65" s="29"/>
      <c r="F65" s="29"/>
    </row>
    <row r="66" customFormat="false" ht="15" hidden="false" customHeight="false" outlineLevel="0" collapsed="false">
      <c r="A66" s="28"/>
      <c r="B66" s="29"/>
      <c r="C66" s="29"/>
      <c r="D66" s="29"/>
      <c r="E66" s="29"/>
      <c r="F66" s="29"/>
    </row>
    <row r="67" customFormat="false" ht="15" hidden="false" customHeight="false" outlineLevel="0" collapsed="false">
      <c r="A67" s="28"/>
      <c r="B67" s="29"/>
      <c r="C67" s="29"/>
      <c r="D67" s="29"/>
      <c r="E67" s="29"/>
      <c r="F67" s="29"/>
    </row>
    <row r="68" customFormat="false" ht="15" hidden="false" customHeight="false" outlineLevel="0" collapsed="false">
      <c r="A68" s="28"/>
      <c r="B68" s="29"/>
      <c r="C68" s="29"/>
      <c r="D68" s="29"/>
      <c r="E68" s="29"/>
      <c r="F68" s="29"/>
    </row>
    <row r="69" customFormat="false" ht="15" hidden="false" customHeight="false" outlineLevel="0" collapsed="false">
      <c r="A69" s="28"/>
      <c r="B69" s="29"/>
      <c r="C69" s="29"/>
      <c r="D69" s="29"/>
      <c r="E69" s="29"/>
      <c r="F69" s="29"/>
    </row>
    <row r="70" customFormat="false" ht="15" hidden="false" customHeight="false" outlineLevel="0" collapsed="false">
      <c r="A70" s="28"/>
      <c r="B70" s="29"/>
      <c r="C70" s="29"/>
      <c r="D70" s="29"/>
      <c r="E70" s="29"/>
      <c r="F70" s="29"/>
    </row>
    <row r="71" customFormat="false" ht="15" hidden="false" customHeight="false" outlineLevel="0" collapsed="false">
      <c r="A71" s="28"/>
      <c r="B71" s="29"/>
      <c r="C71" s="29"/>
      <c r="D71" s="29"/>
      <c r="E71" s="29"/>
      <c r="F71" s="29"/>
    </row>
    <row r="72" customFormat="false" ht="15" hidden="false" customHeight="false" outlineLevel="0" collapsed="false">
      <c r="A72" s="28"/>
      <c r="B72" s="29"/>
      <c r="C72" s="29"/>
      <c r="D72" s="29"/>
      <c r="E72" s="29"/>
      <c r="F72" s="29"/>
    </row>
    <row r="73" customFormat="false" ht="15" hidden="false" customHeight="false" outlineLevel="0" collapsed="false">
      <c r="A73" s="28"/>
      <c r="B73" s="29"/>
      <c r="C73" s="29"/>
      <c r="D73" s="29"/>
      <c r="E73" s="29"/>
      <c r="F73" s="29"/>
    </row>
    <row r="74" customFormat="false" ht="15" hidden="false" customHeight="false" outlineLevel="0" collapsed="false">
      <c r="A74" s="28"/>
      <c r="B74" s="29"/>
      <c r="C74" s="29"/>
      <c r="D74" s="29"/>
      <c r="E74" s="29"/>
      <c r="F74" s="29"/>
    </row>
    <row r="75" customFormat="false" ht="15" hidden="false" customHeight="false" outlineLevel="0" collapsed="false">
      <c r="A75" s="28"/>
      <c r="B75" s="29"/>
      <c r="C75" s="29"/>
      <c r="D75" s="29"/>
      <c r="E75" s="29"/>
      <c r="F75" s="29"/>
    </row>
    <row r="76" customFormat="false" ht="15" hidden="false" customHeight="false" outlineLevel="0" collapsed="false">
      <c r="A76" s="28"/>
      <c r="B76" s="29"/>
      <c r="C76" s="29"/>
      <c r="D76" s="29"/>
      <c r="E76" s="29"/>
      <c r="F76" s="29"/>
    </row>
    <row r="77" customFormat="false" ht="15" hidden="false" customHeight="false" outlineLevel="0" collapsed="false">
      <c r="A77" s="28"/>
      <c r="B77" s="29"/>
      <c r="C77" s="29"/>
      <c r="D77" s="29"/>
      <c r="E77" s="29"/>
      <c r="F77" s="29"/>
    </row>
    <row r="78" customFormat="false" ht="15" hidden="false" customHeight="false" outlineLevel="0" collapsed="false">
      <c r="A78" s="28"/>
      <c r="B78" s="29"/>
      <c r="C78" s="29"/>
      <c r="D78" s="29"/>
      <c r="E78" s="29"/>
      <c r="F78" s="29"/>
    </row>
    <row r="79" customFormat="false" ht="15" hidden="false" customHeight="false" outlineLevel="0" collapsed="false">
      <c r="A79" s="28"/>
      <c r="B79" s="29"/>
      <c r="C79" s="29"/>
      <c r="D79" s="29"/>
      <c r="E79" s="29"/>
      <c r="F79" s="29"/>
    </row>
    <row r="80" customFormat="false" ht="15" hidden="false" customHeight="false" outlineLevel="0" collapsed="false">
      <c r="A80" s="28"/>
      <c r="B80" s="29"/>
      <c r="C80" s="29"/>
      <c r="D80" s="29"/>
      <c r="E80" s="29"/>
      <c r="F80" s="29"/>
    </row>
    <row r="81" customFormat="false" ht="15" hidden="false" customHeight="false" outlineLevel="0" collapsed="false">
      <c r="A81" s="28"/>
      <c r="B81" s="29"/>
      <c r="C81" s="29"/>
      <c r="D81" s="29"/>
      <c r="E81" s="29"/>
      <c r="F81" s="29"/>
    </row>
    <row r="82" customFormat="false" ht="15" hidden="false" customHeight="false" outlineLevel="0" collapsed="false">
      <c r="A82" s="28"/>
      <c r="B82" s="29"/>
      <c r="C82" s="29"/>
      <c r="D82" s="29"/>
      <c r="E82" s="29"/>
      <c r="F82" s="29"/>
    </row>
    <row r="83" customFormat="false" ht="15" hidden="false" customHeight="false" outlineLevel="0" collapsed="false">
      <c r="A83" s="28"/>
      <c r="B83" s="29"/>
      <c r="C83" s="29"/>
      <c r="D83" s="29"/>
      <c r="E83" s="29"/>
      <c r="F83" s="29"/>
    </row>
    <row r="84" customFormat="false" ht="15" hidden="false" customHeight="false" outlineLevel="0" collapsed="false">
      <c r="A84" s="28"/>
      <c r="B84" s="29"/>
      <c r="C84" s="29"/>
      <c r="D84" s="29"/>
      <c r="E84" s="29"/>
      <c r="F84" s="29"/>
    </row>
    <row r="85" customFormat="false" ht="15" hidden="false" customHeight="false" outlineLevel="0" collapsed="false">
      <c r="A85" s="28"/>
      <c r="B85" s="29"/>
      <c r="C85" s="29"/>
      <c r="D85" s="29"/>
      <c r="E85" s="29"/>
      <c r="F85" s="29"/>
    </row>
    <row r="86" customFormat="false" ht="15" hidden="false" customHeight="false" outlineLevel="0" collapsed="false">
      <c r="A86" s="28"/>
      <c r="B86" s="29"/>
      <c r="C86" s="29"/>
      <c r="D86" s="29"/>
      <c r="E86" s="29"/>
      <c r="F86" s="29"/>
    </row>
    <row r="87" customFormat="false" ht="15" hidden="false" customHeight="false" outlineLevel="0" collapsed="false">
      <c r="A87" s="28"/>
      <c r="B87" s="29"/>
      <c r="C87" s="29"/>
      <c r="D87" s="29"/>
      <c r="E87" s="29"/>
      <c r="F87" s="29"/>
    </row>
    <row r="88" customFormat="false" ht="15" hidden="false" customHeight="false" outlineLevel="0" collapsed="false">
      <c r="A88" s="28"/>
      <c r="B88" s="29"/>
      <c r="C88" s="29"/>
      <c r="D88" s="29"/>
      <c r="E88" s="29"/>
      <c r="F88" s="29"/>
    </row>
    <row r="89" customFormat="false" ht="15" hidden="false" customHeight="false" outlineLevel="0" collapsed="false">
      <c r="A89" s="28"/>
      <c r="B89" s="29"/>
      <c r="C89" s="29"/>
      <c r="D89" s="29"/>
      <c r="E89" s="29"/>
      <c r="F89" s="29"/>
    </row>
    <row r="90" customFormat="false" ht="15" hidden="false" customHeight="false" outlineLevel="0" collapsed="false">
      <c r="A90" s="28"/>
      <c r="B90" s="29"/>
      <c r="C90" s="29"/>
      <c r="D90" s="29"/>
      <c r="E90" s="29"/>
      <c r="F90" s="29"/>
    </row>
    <row r="91" customFormat="false" ht="15" hidden="false" customHeight="false" outlineLevel="0" collapsed="false">
      <c r="A91" s="28"/>
      <c r="B91" s="29"/>
      <c r="C91" s="29"/>
      <c r="D91" s="29"/>
      <c r="E91" s="29"/>
      <c r="F91" s="29"/>
    </row>
    <row r="92" customFormat="false" ht="15" hidden="false" customHeight="false" outlineLevel="0" collapsed="false">
      <c r="A92" s="28"/>
      <c r="B92" s="29"/>
      <c r="C92" s="29"/>
      <c r="D92" s="29"/>
      <c r="E92" s="29"/>
      <c r="F92" s="29"/>
    </row>
    <row r="93" customFormat="false" ht="15" hidden="false" customHeight="false" outlineLevel="0" collapsed="false">
      <c r="A93" s="28"/>
      <c r="B93" s="29"/>
      <c r="C93" s="29"/>
      <c r="D93" s="29"/>
      <c r="E93" s="29"/>
      <c r="F93" s="29"/>
    </row>
    <row r="94" customFormat="false" ht="15" hidden="false" customHeight="false" outlineLevel="0" collapsed="false">
      <c r="A94" s="28"/>
      <c r="B94" s="29"/>
      <c r="C94" s="29"/>
      <c r="D94" s="29"/>
      <c r="E94" s="29"/>
      <c r="F94" s="29"/>
    </row>
    <row r="95" customFormat="false" ht="15" hidden="false" customHeight="false" outlineLevel="0" collapsed="false">
      <c r="A95" s="28"/>
      <c r="B95" s="29"/>
      <c r="C95" s="29"/>
      <c r="D95" s="29"/>
      <c r="E95" s="29"/>
      <c r="F95" s="29"/>
    </row>
    <row r="96" customFormat="false" ht="15" hidden="false" customHeight="false" outlineLevel="0" collapsed="false">
      <c r="A96" s="28"/>
      <c r="B96" s="29"/>
      <c r="C96" s="29"/>
      <c r="D96" s="29"/>
      <c r="E96" s="29"/>
      <c r="F96" s="29"/>
    </row>
    <row r="97" customFormat="false" ht="15" hidden="false" customHeight="false" outlineLevel="0" collapsed="false">
      <c r="A97" s="28"/>
      <c r="B97" s="29"/>
      <c r="C97" s="29"/>
      <c r="D97" s="29"/>
      <c r="E97" s="29"/>
      <c r="F97" s="29"/>
    </row>
    <row r="98" customFormat="false" ht="15" hidden="false" customHeight="false" outlineLevel="0" collapsed="false">
      <c r="A98" s="28"/>
      <c r="B98" s="29"/>
      <c r="C98" s="29"/>
      <c r="D98" s="29"/>
      <c r="E98" s="29"/>
      <c r="F98" s="29"/>
    </row>
    <row r="99" customFormat="false" ht="15" hidden="false" customHeight="false" outlineLevel="0" collapsed="false">
      <c r="A99" s="28"/>
      <c r="B99" s="29"/>
      <c r="C99" s="29"/>
      <c r="D99" s="29"/>
      <c r="E99" s="29"/>
      <c r="F99" s="29"/>
    </row>
    <row r="100" customFormat="false" ht="15" hidden="false" customHeight="false" outlineLevel="0" collapsed="false">
      <c r="A100" s="28"/>
      <c r="B100" s="29"/>
      <c r="C100" s="29"/>
      <c r="D100" s="29"/>
      <c r="E100" s="29"/>
      <c r="F100" s="29"/>
    </row>
    <row r="101" customFormat="false" ht="15" hidden="false" customHeight="false" outlineLevel="0" collapsed="false">
      <c r="A101" s="28"/>
      <c r="B101" s="29"/>
      <c r="C101" s="29"/>
      <c r="D101" s="29"/>
      <c r="E101" s="29"/>
      <c r="F101" s="29"/>
    </row>
    <row r="102" customFormat="false" ht="15" hidden="false" customHeight="false" outlineLevel="0" collapsed="false">
      <c r="A102" s="28"/>
      <c r="B102" s="29"/>
      <c r="C102" s="29"/>
      <c r="D102" s="29"/>
      <c r="E102" s="29"/>
      <c r="F102" s="29"/>
    </row>
    <row r="103" customFormat="false" ht="15" hidden="false" customHeight="false" outlineLevel="0" collapsed="false">
      <c r="A103" s="28"/>
      <c r="B103" s="29"/>
      <c r="C103" s="29"/>
      <c r="D103" s="29"/>
      <c r="E103" s="29"/>
      <c r="F103" s="29"/>
    </row>
    <row r="104" customFormat="false" ht="15" hidden="false" customHeight="false" outlineLevel="0" collapsed="false">
      <c r="A104" s="28"/>
      <c r="B104" s="29"/>
      <c r="C104" s="29"/>
      <c r="D104" s="29"/>
      <c r="E104" s="29"/>
      <c r="F104" s="29"/>
    </row>
    <row r="105" customFormat="false" ht="15" hidden="false" customHeight="false" outlineLevel="0" collapsed="false">
      <c r="A105" s="28"/>
      <c r="B105" s="29"/>
      <c r="C105" s="29"/>
      <c r="D105" s="29"/>
      <c r="E105" s="29"/>
      <c r="F105" s="29"/>
    </row>
    <row r="106" customFormat="false" ht="15" hidden="false" customHeight="false" outlineLevel="0" collapsed="false">
      <c r="A106" s="28"/>
      <c r="B106" s="29"/>
      <c r="C106" s="29"/>
      <c r="D106" s="29"/>
      <c r="E106" s="29"/>
      <c r="F106" s="29"/>
    </row>
    <row r="107" customFormat="false" ht="15" hidden="false" customHeight="false" outlineLevel="0" collapsed="false">
      <c r="A107" s="28"/>
      <c r="B107" s="29"/>
      <c r="C107" s="29"/>
      <c r="D107" s="29"/>
      <c r="E107" s="29"/>
      <c r="F107" s="29"/>
    </row>
    <row r="108" customFormat="false" ht="15" hidden="false" customHeight="false" outlineLevel="0" collapsed="false">
      <c r="A108" s="28"/>
      <c r="B108" s="29"/>
      <c r="C108" s="29"/>
      <c r="D108" s="29"/>
      <c r="E108" s="29"/>
      <c r="F108" s="29"/>
    </row>
    <row r="109" customFormat="false" ht="15" hidden="false" customHeight="false" outlineLevel="0" collapsed="false">
      <c r="A109" s="28"/>
      <c r="B109" s="29"/>
      <c r="C109" s="29"/>
      <c r="D109" s="29"/>
      <c r="E109" s="29"/>
      <c r="F109" s="29"/>
    </row>
    <row r="110" customFormat="false" ht="15" hidden="false" customHeight="false" outlineLevel="0" collapsed="false">
      <c r="A110" s="28"/>
      <c r="B110" s="29"/>
      <c r="C110" s="29"/>
      <c r="D110" s="29"/>
      <c r="E110" s="29"/>
      <c r="F110" s="29"/>
    </row>
    <row r="111" customFormat="false" ht="15" hidden="false" customHeight="false" outlineLevel="0" collapsed="false">
      <c r="A111" s="28"/>
      <c r="B111" s="29"/>
      <c r="C111" s="29"/>
      <c r="D111" s="29"/>
      <c r="E111" s="29"/>
      <c r="F111" s="29"/>
    </row>
    <row r="112" customFormat="false" ht="15" hidden="false" customHeight="false" outlineLevel="0" collapsed="false">
      <c r="A112" s="28"/>
      <c r="B112" s="29"/>
      <c r="C112" s="29"/>
      <c r="D112" s="29"/>
      <c r="E112" s="29"/>
      <c r="F112" s="29"/>
    </row>
    <row r="113" customFormat="false" ht="15" hidden="false" customHeight="false" outlineLevel="0" collapsed="false">
      <c r="A113" s="28"/>
      <c r="B113" s="29"/>
      <c r="C113" s="29"/>
      <c r="D113" s="29"/>
      <c r="E113" s="29"/>
      <c r="F113" s="29"/>
    </row>
    <row r="114" customFormat="false" ht="15" hidden="false" customHeight="false" outlineLevel="0" collapsed="false">
      <c r="A114" s="28"/>
      <c r="B114" s="29"/>
      <c r="C114" s="29"/>
      <c r="D114" s="29"/>
      <c r="E114" s="29"/>
      <c r="F114" s="29"/>
    </row>
    <row r="115" customFormat="false" ht="15" hidden="false" customHeight="false" outlineLevel="0" collapsed="false">
      <c r="A115" s="28"/>
      <c r="B115" s="29"/>
      <c r="C115" s="29"/>
      <c r="D115" s="29"/>
      <c r="E115" s="29"/>
      <c r="F115" s="29"/>
    </row>
    <row r="116" customFormat="false" ht="15" hidden="false" customHeight="false" outlineLevel="0" collapsed="false">
      <c r="A116" s="28"/>
      <c r="B116" s="29"/>
      <c r="C116" s="29"/>
      <c r="D116" s="29"/>
      <c r="E116" s="29"/>
      <c r="F116" s="29"/>
    </row>
    <row r="117" customFormat="false" ht="15" hidden="false" customHeight="false" outlineLevel="0" collapsed="false">
      <c r="A117" s="28"/>
      <c r="B117" s="29"/>
      <c r="C117" s="29"/>
      <c r="D117" s="29"/>
      <c r="E117" s="29"/>
      <c r="F117" s="29"/>
    </row>
    <row r="118" customFormat="false" ht="15" hidden="false" customHeight="false" outlineLevel="0" collapsed="false">
      <c r="A118" s="28"/>
      <c r="B118" s="29"/>
      <c r="C118" s="29"/>
      <c r="D118" s="29"/>
      <c r="E118" s="29"/>
      <c r="F118" s="29"/>
    </row>
    <row r="119" customFormat="false" ht="15" hidden="false" customHeight="false" outlineLevel="0" collapsed="false">
      <c r="A119" s="28"/>
      <c r="B119" s="29"/>
      <c r="C119" s="29"/>
      <c r="D119" s="29"/>
      <c r="E119" s="29"/>
      <c r="F119" s="29"/>
    </row>
    <row r="120" customFormat="false" ht="15" hidden="false" customHeight="false" outlineLevel="0" collapsed="false">
      <c r="A120" s="28"/>
      <c r="B120" s="29"/>
      <c r="C120" s="29"/>
      <c r="D120" s="29"/>
      <c r="E120" s="29"/>
      <c r="F120" s="29"/>
    </row>
    <row r="121" customFormat="false" ht="15" hidden="false" customHeight="false" outlineLevel="0" collapsed="false">
      <c r="A121" s="28"/>
      <c r="B121" s="29"/>
      <c r="C121" s="29"/>
      <c r="D121" s="29"/>
      <c r="E121" s="29"/>
      <c r="F121" s="29"/>
    </row>
    <row r="122" customFormat="false" ht="15" hidden="false" customHeight="false" outlineLevel="0" collapsed="false">
      <c r="A122" s="28"/>
      <c r="B122" s="29"/>
      <c r="C122" s="29"/>
      <c r="D122" s="29"/>
      <c r="E122" s="29"/>
      <c r="F122" s="29"/>
    </row>
    <row r="123" customFormat="false" ht="15" hidden="false" customHeight="false" outlineLevel="0" collapsed="false">
      <c r="A123" s="28"/>
      <c r="B123" s="29"/>
      <c r="C123" s="29"/>
      <c r="D123" s="29"/>
      <c r="E123" s="29"/>
      <c r="F123" s="29"/>
    </row>
    <row r="124" customFormat="false" ht="15" hidden="false" customHeight="false" outlineLevel="0" collapsed="false">
      <c r="A124" s="28"/>
      <c r="B124" s="29"/>
      <c r="C124" s="29"/>
      <c r="D124" s="29"/>
      <c r="E124" s="29"/>
      <c r="F124" s="29"/>
    </row>
    <row r="125" customFormat="false" ht="15" hidden="false" customHeight="false" outlineLevel="0" collapsed="false">
      <c r="A125" s="28"/>
      <c r="B125" s="29"/>
      <c r="C125" s="29"/>
      <c r="D125" s="29"/>
      <c r="E125" s="29"/>
      <c r="F125" s="29"/>
    </row>
    <row r="126" customFormat="false" ht="15" hidden="false" customHeight="false" outlineLevel="0" collapsed="false">
      <c r="A126" s="28"/>
      <c r="B126" s="29"/>
      <c r="C126" s="29"/>
      <c r="D126" s="29"/>
      <c r="E126" s="29"/>
      <c r="F126" s="29"/>
    </row>
    <row r="127" customFormat="false" ht="15" hidden="false" customHeight="false" outlineLevel="0" collapsed="false">
      <c r="A127" s="28"/>
      <c r="B127" s="29"/>
      <c r="C127" s="29"/>
      <c r="D127" s="29"/>
      <c r="E127" s="29"/>
      <c r="F127" s="29"/>
    </row>
    <row r="128" customFormat="false" ht="15" hidden="false" customHeight="false" outlineLevel="0" collapsed="false">
      <c r="A128" s="28"/>
      <c r="B128" s="29"/>
      <c r="C128" s="29"/>
      <c r="D128" s="29"/>
      <c r="E128" s="29"/>
      <c r="F128" s="29"/>
    </row>
    <row r="129" customFormat="false" ht="15" hidden="false" customHeight="false" outlineLevel="0" collapsed="false">
      <c r="A129" s="28"/>
      <c r="B129" s="29"/>
      <c r="C129" s="29"/>
      <c r="D129" s="29"/>
      <c r="E129" s="29"/>
      <c r="F129" s="29"/>
    </row>
    <row r="130" customFormat="false" ht="15" hidden="false" customHeight="false" outlineLevel="0" collapsed="false">
      <c r="A130" s="28"/>
      <c r="B130" s="29"/>
      <c r="C130" s="29"/>
      <c r="D130" s="29"/>
      <c r="E130" s="29"/>
      <c r="F130" s="29"/>
    </row>
    <row r="131" customFormat="false" ht="15" hidden="false" customHeight="false" outlineLevel="0" collapsed="false">
      <c r="A131" s="28"/>
      <c r="B131" s="29"/>
      <c r="C131" s="29"/>
      <c r="D131" s="29"/>
      <c r="E131" s="29"/>
      <c r="F131" s="29"/>
    </row>
    <row r="132" customFormat="false" ht="15" hidden="false" customHeight="false" outlineLevel="0" collapsed="false">
      <c r="A132" s="28"/>
      <c r="B132" s="29"/>
      <c r="C132" s="29"/>
      <c r="D132" s="29"/>
      <c r="E132" s="29"/>
      <c r="F132" s="29"/>
    </row>
    <row r="133" customFormat="false" ht="15" hidden="false" customHeight="false" outlineLevel="0" collapsed="false">
      <c r="A133" s="28"/>
      <c r="B133" s="29"/>
      <c r="C133" s="29"/>
      <c r="D133" s="29"/>
      <c r="E133" s="29"/>
      <c r="F133" s="29"/>
    </row>
    <row r="134" customFormat="false" ht="15" hidden="false" customHeight="false" outlineLevel="0" collapsed="false">
      <c r="A134" s="28"/>
      <c r="B134" s="29"/>
      <c r="C134" s="29"/>
      <c r="D134" s="29"/>
      <c r="E134" s="29"/>
      <c r="F134" s="29"/>
    </row>
    <row r="135" customFormat="false" ht="15" hidden="false" customHeight="false" outlineLevel="0" collapsed="false">
      <c r="A135" s="28"/>
      <c r="B135" s="29"/>
      <c r="C135" s="29"/>
      <c r="D135" s="29"/>
      <c r="E135" s="29"/>
      <c r="F135" s="29"/>
    </row>
    <row r="136" customFormat="false" ht="15" hidden="false" customHeight="false" outlineLevel="0" collapsed="false">
      <c r="A136" s="28"/>
      <c r="B136" s="29"/>
      <c r="C136" s="29"/>
      <c r="D136" s="29"/>
      <c r="E136" s="29"/>
      <c r="F136" s="29"/>
    </row>
    <row r="137" customFormat="false" ht="15" hidden="false" customHeight="false" outlineLevel="0" collapsed="false">
      <c r="A137" s="28"/>
      <c r="B137" s="29"/>
      <c r="C137" s="29"/>
      <c r="D137" s="29"/>
      <c r="E137" s="29"/>
      <c r="F137" s="29"/>
    </row>
    <row r="138" customFormat="false" ht="15" hidden="false" customHeight="false" outlineLevel="0" collapsed="false">
      <c r="A138" s="28"/>
      <c r="B138" s="29"/>
      <c r="C138" s="29"/>
      <c r="D138" s="29"/>
      <c r="E138" s="29"/>
      <c r="F138" s="29"/>
    </row>
    <row r="139" customFormat="false" ht="15" hidden="false" customHeight="false" outlineLevel="0" collapsed="false">
      <c r="A139" s="28"/>
      <c r="B139" s="29"/>
      <c r="C139" s="29"/>
      <c r="D139" s="29"/>
      <c r="E139" s="29"/>
      <c r="F139" s="29"/>
    </row>
    <row r="140" customFormat="false" ht="15" hidden="false" customHeight="false" outlineLevel="0" collapsed="false">
      <c r="A140" s="28"/>
      <c r="B140" s="29"/>
      <c r="C140" s="29"/>
      <c r="D140" s="29"/>
      <c r="E140" s="29"/>
      <c r="F140" s="29"/>
    </row>
    <row r="141" customFormat="false" ht="15" hidden="false" customHeight="false" outlineLevel="0" collapsed="false">
      <c r="A141" s="28"/>
      <c r="B141" s="29"/>
      <c r="C141" s="29"/>
      <c r="D141" s="29"/>
      <c r="E141" s="29"/>
      <c r="F141" s="29"/>
    </row>
    <row r="142" customFormat="false" ht="15" hidden="false" customHeight="false" outlineLevel="0" collapsed="false">
      <c r="A142" s="28"/>
      <c r="B142" s="29"/>
      <c r="C142" s="29"/>
      <c r="D142" s="29"/>
      <c r="E142" s="29"/>
      <c r="F142" s="29"/>
    </row>
    <row r="143" customFormat="false" ht="15" hidden="false" customHeight="false" outlineLevel="0" collapsed="false">
      <c r="A143" s="28"/>
      <c r="B143" s="29"/>
      <c r="C143" s="29"/>
      <c r="D143" s="29"/>
      <c r="E143" s="29"/>
      <c r="F143" s="29"/>
    </row>
    <row r="144" customFormat="false" ht="15" hidden="false" customHeight="false" outlineLevel="0" collapsed="false">
      <c r="A144" s="28"/>
      <c r="B144" s="29"/>
      <c r="C144" s="29"/>
      <c r="D144" s="29"/>
      <c r="E144" s="29"/>
      <c r="F144" s="29"/>
    </row>
    <row r="145" customFormat="false" ht="15" hidden="false" customHeight="false" outlineLevel="0" collapsed="false">
      <c r="A145" s="28"/>
      <c r="B145" s="29"/>
      <c r="C145" s="29"/>
      <c r="D145" s="29"/>
      <c r="E145" s="29"/>
      <c r="F145" s="29"/>
    </row>
    <row r="146" customFormat="false" ht="15" hidden="false" customHeight="false" outlineLevel="0" collapsed="false">
      <c r="A146" s="28"/>
      <c r="B146" s="29"/>
      <c r="C146" s="29"/>
      <c r="D146" s="29"/>
      <c r="E146" s="29"/>
      <c r="F146" s="29"/>
    </row>
    <row r="147" customFormat="false" ht="15" hidden="false" customHeight="false" outlineLevel="0" collapsed="false">
      <c r="A147" s="28"/>
      <c r="B147" s="29"/>
      <c r="C147" s="29"/>
      <c r="D147" s="29"/>
      <c r="E147" s="29"/>
      <c r="F147" s="29"/>
    </row>
    <row r="148" customFormat="false" ht="15" hidden="false" customHeight="false" outlineLevel="0" collapsed="false">
      <c r="A148" s="28"/>
      <c r="B148" s="29"/>
      <c r="C148" s="29"/>
      <c r="D148" s="29"/>
      <c r="E148" s="29"/>
      <c r="F148" s="29"/>
    </row>
    <row r="149" customFormat="false" ht="15" hidden="false" customHeight="false" outlineLevel="0" collapsed="false">
      <c r="A149" s="28"/>
      <c r="B149" s="29"/>
      <c r="C149" s="29"/>
      <c r="D149" s="29"/>
      <c r="E149" s="29"/>
      <c r="F149" s="29"/>
    </row>
    <row r="150" customFormat="false" ht="15" hidden="false" customHeight="false" outlineLevel="0" collapsed="false">
      <c r="A150" s="28"/>
      <c r="B150" s="29"/>
      <c r="C150" s="29"/>
      <c r="D150" s="29"/>
      <c r="E150" s="29"/>
      <c r="F150" s="29"/>
    </row>
    <row r="151" customFormat="false" ht="15" hidden="false" customHeight="false" outlineLevel="0" collapsed="false">
      <c r="A151" s="28"/>
      <c r="B151" s="29"/>
      <c r="C151" s="29"/>
      <c r="D151" s="29"/>
      <c r="E151" s="29"/>
      <c r="F151" s="29"/>
    </row>
    <row r="152" customFormat="false" ht="15" hidden="false" customHeight="false" outlineLevel="0" collapsed="false">
      <c r="A152" s="28"/>
      <c r="B152" s="29"/>
      <c r="C152" s="29"/>
      <c r="D152" s="29"/>
      <c r="E152" s="29"/>
      <c r="F152" s="29"/>
    </row>
    <row r="153" customFormat="false" ht="15" hidden="false" customHeight="false" outlineLevel="0" collapsed="false">
      <c r="A153" s="28"/>
      <c r="B153" s="29"/>
      <c r="C153" s="29"/>
      <c r="D153" s="29"/>
      <c r="E153" s="29"/>
      <c r="F153" s="29"/>
    </row>
    <row r="154" customFormat="false" ht="15" hidden="false" customHeight="false" outlineLevel="0" collapsed="false">
      <c r="A154" s="28"/>
      <c r="B154" s="29"/>
      <c r="C154" s="29"/>
      <c r="D154" s="29"/>
      <c r="E154" s="29"/>
      <c r="F154" s="29"/>
    </row>
    <row r="155" customFormat="false" ht="15" hidden="false" customHeight="false" outlineLevel="0" collapsed="false">
      <c r="A155" s="28"/>
      <c r="B155" s="29"/>
      <c r="C155" s="29"/>
      <c r="D155" s="29"/>
      <c r="E155" s="29"/>
      <c r="F155" s="29"/>
    </row>
    <row r="156" customFormat="false" ht="15" hidden="false" customHeight="false" outlineLevel="0" collapsed="false">
      <c r="A156" s="28"/>
      <c r="B156" s="29"/>
      <c r="C156" s="29"/>
      <c r="D156" s="29"/>
      <c r="E156" s="29"/>
      <c r="F156" s="29"/>
    </row>
    <row r="157" customFormat="false" ht="15" hidden="false" customHeight="false" outlineLevel="0" collapsed="false">
      <c r="A157" s="28"/>
      <c r="B157" s="29"/>
      <c r="C157" s="29"/>
      <c r="D157" s="29"/>
      <c r="E157" s="29"/>
      <c r="F157" s="29"/>
    </row>
    <row r="158" customFormat="false" ht="15" hidden="false" customHeight="false" outlineLevel="0" collapsed="false">
      <c r="A158" s="28"/>
      <c r="B158" s="29"/>
      <c r="C158" s="29"/>
      <c r="D158" s="29"/>
      <c r="E158" s="29"/>
      <c r="F158" s="29"/>
    </row>
    <row r="159" customFormat="false" ht="15" hidden="false" customHeight="false" outlineLevel="0" collapsed="false">
      <c r="A159" s="28"/>
      <c r="B159" s="29"/>
      <c r="C159" s="29"/>
      <c r="D159" s="29"/>
      <c r="E159" s="29"/>
      <c r="F159" s="29"/>
    </row>
    <row r="160" customFormat="false" ht="15" hidden="false" customHeight="false" outlineLevel="0" collapsed="false">
      <c r="A160" s="28"/>
      <c r="B160" s="29"/>
      <c r="C160" s="29"/>
      <c r="D160" s="29"/>
      <c r="E160" s="29"/>
      <c r="F160" s="29"/>
    </row>
    <row r="161" customFormat="false" ht="15" hidden="false" customHeight="false" outlineLevel="0" collapsed="false">
      <c r="A161" s="28"/>
      <c r="B161" s="29"/>
      <c r="C161" s="29"/>
      <c r="D161" s="29"/>
      <c r="E161" s="29"/>
      <c r="F161" s="29"/>
    </row>
    <row r="162" customFormat="false" ht="15" hidden="false" customHeight="false" outlineLevel="0" collapsed="false">
      <c r="A162" s="28"/>
      <c r="B162" s="29"/>
      <c r="C162" s="29"/>
      <c r="D162" s="29"/>
      <c r="E162" s="29"/>
      <c r="F162" s="29"/>
    </row>
    <row r="163" customFormat="false" ht="15" hidden="false" customHeight="false" outlineLevel="0" collapsed="false">
      <c r="A163" s="28"/>
      <c r="B163" s="29"/>
      <c r="C163" s="29"/>
      <c r="D163" s="29"/>
      <c r="E163" s="29"/>
      <c r="F163" s="29"/>
    </row>
    <row r="164" customFormat="false" ht="15" hidden="false" customHeight="false" outlineLevel="0" collapsed="false">
      <c r="A164" s="28"/>
      <c r="B164" s="29"/>
      <c r="C164" s="29"/>
      <c r="D164" s="29"/>
      <c r="E164" s="29"/>
      <c r="F164" s="29"/>
    </row>
    <row r="165" customFormat="false" ht="15" hidden="false" customHeight="false" outlineLevel="0" collapsed="false">
      <c r="A165" s="28"/>
      <c r="B165" s="29"/>
      <c r="C165" s="29"/>
      <c r="D165" s="29"/>
      <c r="E165" s="29"/>
      <c r="F165" s="29"/>
    </row>
    <row r="166" customFormat="false" ht="15" hidden="false" customHeight="false" outlineLevel="0" collapsed="false">
      <c r="A166" s="28"/>
      <c r="B166" s="29"/>
      <c r="C166" s="29"/>
      <c r="D166" s="29"/>
      <c r="E166" s="29"/>
      <c r="F166" s="29"/>
    </row>
    <row r="167" customFormat="false" ht="15" hidden="false" customHeight="false" outlineLevel="0" collapsed="false">
      <c r="A167" s="28"/>
      <c r="B167" s="29"/>
      <c r="C167" s="29"/>
      <c r="D167" s="29"/>
      <c r="E167" s="29"/>
      <c r="F167" s="29"/>
    </row>
    <row r="168" customFormat="false" ht="15" hidden="false" customHeight="false" outlineLevel="0" collapsed="false">
      <c r="A168" s="28"/>
      <c r="B168" s="29"/>
      <c r="C168" s="29"/>
      <c r="D168" s="29"/>
      <c r="E168" s="29"/>
      <c r="F168" s="29"/>
    </row>
    <row r="169" customFormat="false" ht="15" hidden="false" customHeight="false" outlineLevel="0" collapsed="false">
      <c r="A169" s="28"/>
      <c r="B169" s="29"/>
      <c r="C169" s="29"/>
      <c r="D169" s="29"/>
      <c r="E169" s="29"/>
      <c r="F169" s="29"/>
    </row>
    <row r="170" customFormat="false" ht="15" hidden="false" customHeight="false" outlineLevel="0" collapsed="false">
      <c r="A170" s="28"/>
      <c r="B170" s="29"/>
      <c r="C170" s="29"/>
      <c r="D170" s="29"/>
      <c r="E170" s="29"/>
      <c r="F170" s="29"/>
    </row>
    <row r="171" customFormat="false" ht="15" hidden="false" customHeight="false" outlineLevel="0" collapsed="false">
      <c r="A171" s="28"/>
      <c r="B171" s="29"/>
      <c r="C171" s="29"/>
      <c r="D171" s="29"/>
      <c r="E171" s="29"/>
      <c r="F171" s="29"/>
    </row>
    <row r="172" customFormat="false" ht="15" hidden="false" customHeight="false" outlineLevel="0" collapsed="false">
      <c r="A172" s="28"/>
      <c r="B172" s="29"/>
      <c r="C172" s="29"/>
      <c r="D172" s="29"/>
      <c r="E172" s="29"/>
      <c r="F172" s="29"/>
    </row>
    <row r="173" customFormat="false" ht="15" hidden="false" customHeight="false" outlineLevel="0" collapsed="false">
      <c r="A173" s="28"/>
      <c r="B173" s="29"/>
      <c r="C173" s="29"/>
      <c r="D173" s="29"/>
      <c r="E173" s="29"/>
      <c r="F173" s="29"/>
    </row>
    <row r="174" customFormat="false" ht="15" hidden="false" customHeight="false" outlineLevel="0" collapsed="false">
      <c r="A174" s="28"/>
      <c r="B174" s="29"/>
      <c r="C174" s="29"/>
      <c r="D174" s="29"/>
      <c r="E174" s="29"/>
      <c r="F174" s="29"/>
    </row>
    <row r="175" customFormat="false" ht="15" hidden="false" customHeight="false" outlineLevel="0" collapsed="false">
      <c r="A175" s="28"/>
      <c r="B175" s="29"/>
      <c r="C175" s="29"/>
      <c r="D175" s="29"/>
      <c r="E175" s="29"/>
      <c r="F175" s="29"/>
    </row>
    <row r="176" customFormat="false" ht="15" hidden="false" customHeight="false" outlineLevel="0" collapsed="false">
      <c r="A176" s="28"/>
      <c r="B176" s="29"/>
      <c r="C176" s="29"/>
      <c r="D176" s="29"/>
      <c r="E176" s="29"/>
      <c r="F176" s="29"/>
    </row>
    <row r="177" customFormat="false" ht="15" hidden="false" customHeight="false" outlineLevel="0" collapsed="false">
      <c r="A177" s="28"/>
      <c r="B177" s="29"/>
      <c r="C177" s="29"/>
      <c r="D177" s="29"/>
      <c r="E177" s="29"/>
      <c r="F177" s="29"/>
    </row>
    <row r="178" customFormat="false" ht="15" hidden="false" customHeight="false" outlineLevel="0" collapsed="false">
      <c r="A178" s="28"/>
      <c r="B178" s="29"/>
      <c r="C178" s="29"/>
      <c r="D178" s="29"/>
      <c r="E178" s="29"/>
      <c r="F178" s="29"/>
    </row>
    <row r="179" customFormat="false" ht="15" hidden="false" customHeight="false" outlineLevel="0" collapsed="false">
      <c r="A179" s="28"/>
      <c r="B179" s="29"/>
      <c r="C179" s="29"/>
      <c r="D179" s="29"/>
      <c r="E179" s="29"/>
      <c r="F179" s="29"/>
    </row>
    <row r="180" customFormat="false" ht="15" hidden="false" customHeight="false" outlineLevel="0" collapsed="false">
      <c r="A180" s="28"/>
      <c r="B180" s="29"/>
      <c r="C180" s="29"/>
      <c r="D180" s="29"/>
      <c r="E180" s="29"/>
      <c r="F180" s="29"/>
    </row>
    <row r="181" customFormat="false" ht="15" hidden="false" customHeight="false" outlineLevel="0" collapsed="false">
      <c r="A181" s="28"/>
      <c r="B181" s="29"/>
      <c r="C181" s="29"/>
      <c r="D181" s="29"/>
      <c r="E181" s="29"/>
      <c r="F181" s="29"/>
    </row>
    <row r="182" customFormat="false" ht="15" hidden="false" customHeight="false" outlineLevel="0" collapsed="false">
      <c r="A182" s="28"/>
      <c r="B182" s="29"/>
      <c r="C182" s="29"/>
      <c r="D182" s="29"/>
      <c r="E182" s="29"/>
      <c r="F182" s="29"/>
    </row>
    <row r="183" customFormat="false" ht="15" hidden="false" customHeight="false" outlineLevel="0" collapsed="false">
      <c r="A183" s="28"/>
      <c r="B183" s="29"/>
      <c r="C183" s="29"/>
      <c r="D183" s="29"/>
      <c r="E183" s="29"/>
      <c r="F183" s="29"/>
    </row>
    <row r="184" customFormat="false" ht="15" hidden="false" customHeight="false" outlineLevel="0" collapsed="false">
      <c r="A184" s="28"/>
      <c r="B184" s="29"/>
      <c r="C184" s="29"/>
      <c r="D184" s="29"/>
      <c r="E184" s="29"/>
      <c r="F184" s="29"/>
    </row>
    <row r="185" customFormat="false" ht="15" hidden="false" customHeight="false" outlineLevel="0" collapsed="false">
      <c r="A185" s="28"/>
      <c r="B185" s="29"/>
      <c r="C185" s="29"/>
      <c r="D185" s="29"/>
      <c r="E185" s="29"/>
      <c r="F185" s="29"/>
    </row>
    <row r="186" customFormat="false" ht="15" hidden="false" customHeight="false" outlineLevel="0" collapsed="false">
      <c r="A186" s="28"/>
      <c r="B186" s="29"/>
      <c r="C186" s="29"/>
      <c r="D186" s="29"/>
      <c r="E186" s="29"/>
      <c r="F186" s="29"/>
    </row>
    <row r="187" customFormat="false" ht="15" hidden="false" customHeight="false" outlineLevel="0" collapsed="false">
      <c r="A187" s="28"/>
      <c r="B187" s="29"/>
      <c r="C187" s="29"/>
      <c r="D187" s="29"/>
      <c r="E187" s="29"/>
      <c r="F187" s="29"/>
    </row>
    <row r="188" customFormat="false" ht="15" hidden="false" customHeight="false" outlineLevel="0" collapsed="false">
      <c r="A188" s="28"/>
      <c r="B188" s="29"/>
      <c r="C188" s="29"/>
      <c r="D188" s="29"/>
      <c r="E188" s="29"/>
      <c r="F188" s="29"/>
    </row>
    <row r="189" customFormat="false" ht="15" hidden="false" customHeight="false" outlineLevel="0" collapsed="false">
      <c r="A189" s="28"/>
      <c r="B189" s="29"/>
      <c r="C189" s="29"/>
      <c r="D189" s="29"/>
      <c r="E189" s="29"/>
      <c r="F189" s="29"/>
    </row>
    <row r="190" customFormat="false" ht="15" hidden="false" customHeight="false" outlineLevel="0" collapsed="false">
      <c r="A190" s="28"/>
      <c r="B190" s="29"/>
      <c r="C190" s="29"/>
      <c r="D190" s="29"/>
      <c r="E190" s="29"/>
      <c r="F190" s="29"/>
    </row>
    <row r="191" customFormat="false" ht="15" hidden="false" customHeight="false" outlineLevel="0" collapsed="false">
      <c r="A191" s="28"/>
      <c r="B191" s="29"/>
      <c r="C191" s="29"/>
      <c r="D191" s="29"/>
      <c r="E191" s="29"/>
      <c r="F191" s="29"/>
    </row>
    <row r="192" customFormat="false" ht="15" hidden="false" customHeight="false" outlineLevel="0" collapsed="false">
      <c r="A192" s="28"/>
      <c r="B192" s="29"/>
      <c r="C192" s="29"/>
      <c r="D192" s="29"/>
      <c r="E192" s="29"/>
      <c r="F192" s="29"/>
    </row>
    <row r="193" customFormat="false" ht="15" hidden="false" customHeight="false" outlineLevel="0" collapsed="false">
      <c r="A193" s="28"/>
      <c r="B193" s="29"/>
      <c r="C193" s="29"/>
      <c r="D193" s="29"/>
      <c r="E193" s="29"/>
      <c r="F193" s="29"/>
    </row>
    <row r="194" customFormat="false" ht="15" hidden="false" customHeight="false" outlineLevel="0" collapsed="false">
      <c r="A194" s="28"/>
      <c r="B194" s="29"/>
      <c r="C194" s="29"/>
      <c r="D194" s="29"/>
      <c r="E194" s="29"/>
      <c r="F194" s="29"/>
    </row>
    <row r="195" customFormat="false" ht="15" hidden="false" customHeight="false" outlineLevel="0" collapsed="false">
      <c r="A195" s="28"/>
      <c r="B195" s="29"/>
      <c r="C195" s="29"/>
      <c r="D195" s="29"/>
      <c r="E195" s="29"/>
      <c r="F195" s="29"/>
    </row>
    <row r="196" customFormat="false" ht="15" hidden="false" customHeight="false" outlineLevel="0" collapsed="false">
      <c r="A196" s="28"/>
      <c r="B196" s="29"/>
      <c r="C196" s="29"/>
      <c r="D196" s="29"/>
      <c r="E196" s="29"/>
      <c r="F196" s="29"/>
    </row>
    <row r="197" customFormat="false" ht="15" hidden="false" customHeight="false" outlineLevel="0" collapsed="false">
      <c r="A197" s="28"/>
      <c r="B197" s="29"/>
      <c r="C197" s="29"/>
      <c r="D197" s="29"/>
      <c r="E197" s="29"/>
      <c r="F197" s="29"/>
    </row>
    <row r="198" customFormat="false" ht="15" hidden="false" customHeight="false" outlineLevel="0" collapsed="false">
      <c r="A198" s="28"/>
      <c r="B198" s="29"/>
      <c r="C198" s="29"/>
      <c r="D198" s="29"/>
      <c r="E198" s="29"/>
      <c r="F198" s="29"/>
    </row>
    <row r="199" customFormat="false" ht="15" hidden="false" customHeight="false" outlineLevel="0" collapsed="false">
      <c r="A199" s="28"/>
      <c r="B199" s="29"/>
      <c r="C199" s="29"/>
      <c r="D199" s="29"/>
      <c r="E199" s="29"/>
      <c r="F199" s="29"/>
    </row>
    <row r="200" customFormat="false" ht="15" hidden="false" customHeight="false" outlineLevel="0" collapsed="false">
      <c r="A200" s="28"/>
      <c r="B200" s="29"/>
      <c r="C200" s="29"/>
      <c r="D200" s="29"/>
      <c r="E200" s="29"/>
      <c r="F200" s="29"/>
    </row>
    <row r="201" customFormat="false" ht="15" hidden="false" customHeight="false" outlineLevel="0" collapsed="false">
      <c r="A201" s="28"/>
      <c r="B201" s="29"/>
      <c r="C201" s="29"/>
      <c r="D201" s="29"/>
      <c r="E201" s="29"/>
      <c r="F201" s="29"/>
    </row>
    <row r="202" customFormat="false" ht="15" hidden="false" customHeight="false" outlineLevel="0" collapsed="false">
      <c r="A202" s="28"/>
      <c r="B202" s="29"/>
      <c r="C202" s="29"/>
      <c r="D202" s="29"/>
      <c r="E202" s="29"/>
      <c r="F202" s="29"/>
    </row>
    <row r="203" customFormat="false" ht="15" hidden="false" customHeight="false" outlineLevel="0" collapsed="false">
      <c r="A203" s="28"/>
      <c r="B203" s="29"/>
      <c r="C203" s="29"/>
      <c r="D203" s="29"/>
      <c r="E203" s="29"/>
      <c r="F203" s="29"/>
    </row>
    <row r="204" customFormat="false" ht="15" hidden="false" customHeight="false" outlineLevel="0" collapsed="false">
      <c r="A204" s="28"/>
      <c r="B204" s="29"/>
      <c r="C204" s="29"/>
      <c r="D204" s="29"/>
      <c r="E204" s="29"/>
      <c r="F204" s="29"/>
    </row>
    <row r="205" customFormat="false" ht="15" hidden="false" customHeight="false" outlineLevel="0" collapsed="false">
      <c r="A205" s="28"/>
      <c r="B205" s="29"/>
      <c r="C205" s="29"/>
      <c r="D205" s="29"/>
      <c r="E205" s="29"/>
      <c r="F205" s="29"/>
    </row>
    <row r="206" customFormat="false" ht="15" hidden="false" customHeight="false" outlineLevel="0" collapsed="false">
      <c r="A206" s="28"/>
      <c r="B206" s="29"/>
      <c r="C206" s="29"/>
      <c r="D206" s="29"/>
      <c r="E206" s="29"/>
      <c r="F206" s="29"/>
    </row>
    <row r="207" customFormat="false" ht="15" hidden="false" customHeight="false" outlineLevel="0" collapsed="false">
      <c r="A207" s="28"/>
      <c r="B207" s="29"/>
      <c r="C207" s="29"/>
      <c r="D207" s="29"/>
      <c r="E207" s="29"/>
      <c r="F207" s="29"/>
    </row>
    <row r="208" customFormat="false" ht="15" hidden="false" customHeight="false" outlineLevel="0" collapsed="false">
      <c r="A208" s="28"/>
      <c r="B208" s="29"/>
      <c r="C208" s="29"/>
      <c r="D208" s="29"/>
      <c r="E208" s="29"/>
      <c r="F208" s="29"/>
    </row>
    <row r="209" customFormat="false" ht="15" hidden="false" customHeight="false" outlineLevel="0" collapsed="false">
      <c r="A209" s="28"/>
      <c r="B209" s="29"/>
      <c r="C209" s="29"/>
      <c r="D209" s="29"/>
      <c r="E209" s="29"/>
      <c r="F209" s="29"/>
    </row>
    <row r="210" customFormat="false" ht="15" hidden="false" customHeight="false" outlineLevel="0" collapsed="false">
      <c r="A210" s="28"/>
      <c r="B210" s="29"/>
      <c r="C210" s="29"/>
      <c r="D210" s="29"/>
      <c r="E210" s="29"/>
      <c r="F210" s="29"/>
    </row>
    <row r="211" customFormat="false" ht="15" hidden="false" customHeight="false" outlineLevel="0" collapsed="false">
      <c r="A211" s="28"/>
      <c r="B211" s="29"/>
      <c r="C211" s="29"/>
      <c r="D211" s="29"/>
      <c r="E211" s="29"/>
      <c r="F211" s="29"/>
    </row>
    <row r="212" customFormat="false" ht="15" hidden="false" customHeight="false" outlineLevel="0" collapsed="false">
      <c r="A212" s="28"/>
      <c r="B212" s="29"/>
      <c r="C212" s="29"/>
      <c r="D212" s="29"/>
      <c r="E212" s="29"/>
      <c r="F212" s="29"/>
    </row>
    <row r="213" customFormat="false" ht="15" hidden="false" customHeight="false" outlineLevel="0" collapsed="false">
      <c r="A213" s="28"/>
      <c r="B213" s="29"/>
      <c r="C213" s="29"/>
      <c r="D213" s="29"/>
      <c r="E213" s="29"/>
      <c r="F213" s="29"/>
    </row>
    <row r="214" customFormat="false" ht="15" hidden="false" customHeight="false" outlineLevel="0" collapsed="false">
      <c r="A214" s="28"/>
      <c r="B214" s="29"/>
      <c r="C214" s="29"/>
      <c r="D214" s="29"/>
      <c r="E214" s="29"/>
      <c r="F214" s="29"/>
    </row>
    <row r="215" customFormat="false" ht="15" hidden="false" customHeight="false" outlineLevel="0" collapsed="false">
      <c r="A215" s="28"/>
      <c r="B215" s="29"/>
      <c r="C215" s="29"/>
      <c r="D215" s="29"/>
      <c r="E215" s="29"/>
      <c r="F215" s="29"/>
    </row>
    <row r="216" customFormat="false" ht="15" hidden="false" customHeight="false" outlineLevel="0" collapsed="false">
      <c r="A216" s="28"/>
      <c r="B216" s="29"/>
      <c r="C216" s="29"/>
      <c r="D216" s="29"/>
      <c r="E216" s="29"/>
      <c r="F216" s="29"/>
    </row>
    <row r="217" customFormat="false" ht="15" hidden="false" customHeight="false" outlineLevel="0" collapsed="false">
      <c r="A217" s="28"/>
      <c r="B217" s="29"/>
      <c r="C217" s="29"/>
      <c r="D217" s="29"/>
      <c r="E217" s="29"/>
      <c r="F217" s="29"/>
    </row>
    <row r="218" customFormat="false" ht="15" hidden="false" customHeight="false" outlineLevel="0" collapsed="false">
      <c r="A218" s="28"/>
      <c r="B218" s="29"/>
      <c r="C218" s="29"/>
      <c r="D218" s="29"/>
      <c r="E218" s="29"/>
      <c r="F218" s="29"/>
    </row>
    <row r="219" customFormat="false" ht="15" hidden="false" customHeight="false" outlineLevel="0" collapsed="false">
      <c r="A219" s="28"/>
      <c r="B219" s="29"/>
      <c r="C219" s="29"/>
      <c r="D219" s="29"/>
      <c r="E219" s="29"/>
      <c r="F219" s="29"/>
    </row>
    <row r="220" customFormat="false" ht="15" hidden="false" customHeight="false" outlineLevel="0" collapsed="false">
      <c r="A220" s="28"/>
      <c r="B220" s="29"/>
      <c r="C220" s="29"/>
      <c r="D220" s="29"/>
      <c r="E220" s="29"/>
      <c r="F220" s="29"/>
    </row>
    <row r="221" customFormat="false" ht="15" hidden="false" customHeight="false" outlineLevel="0" collapsed="false">
      <c r="A221" s="28"/>
      <c r="B221" s="29"/>
      <c r="C221" s="29"/>
      <c r="D221" s="29"/>
      <c r="E221" s="29"/>
      <c r="F221" s="29"/>
    </row>
    <row r="222" customFormat="false" ht="15" hidden="false" customHeight="false" outlineLevel="0" collapsed="false">
      <c r="A222" s="28"/>
      <c r="B222" s="29"/>
      <c r="C222" s="29"/>
      <c r="D222" s="29"/>
      <c r="E222" s="29"/>
      <c r="F222" s="29"/>
    </row>
    <row r="223" customFormat="false" ht="15" hidden="false" customHeight="false" outlineLevel="0" collapsed="false">
      <c r="A223" s="28"/>
      <c r="B223" s="29"/>
      <c r="C223" s="29"/>
      <c r="D223" s="29"/>
      <c r="E223" s="29"/>
      <c r="F223" s="29"/>
    </row>
    <row r="224" customFormat="false" ht="15" hidden="false" customHeight="false" outlineLevel="0" collapsed="false">
      <c r="A224" s="28"/>
      <c r="B224" s="29"/>
      <c r="C224" s="29"/>
      <c r="D224" s="29"/>
      <c r="E224" s="29"/>
      <c r="F224" s="29"/>
    </row>
    <row r="225" customFormat="false" ht="15" hidden="false" customHeight="false" outlineLevel="0" collapsed="false">
      <c r="A225" s="28"/>
      <c r="B225" s="29"/>
      <c r="C225" s="29"/>
      <c r="D225" s="29"/>
      <c r="E225" s="29"/>
      <c r="F225" s="29"/>
    </row>
    <row r="226" customFormat="false" ht="15" hidden="false" customHeight="false" outlineLevel="0" collapsed="false">
      <c r="A226" s="28"/>
      <c r="B226" s="29"/>
      <c r="C226" s="29"/>
      <c r="D226" s="29"/>
      <c r="E226" s="29"/>
      <c r="F226" s="29"/>
    </row>
    <row r="227" customFormat="false" ht="15" hidden="false" customHeight="false" outlineLevel="0" collapsed="false">
      <c r="A227" s="28"/>
      <c r="B227" s="29"/>
      <c r="C227" s="29"/>
      <c r="D227" s="29"/>
      <c r="E227" s="29"/>
      <c r="F227" s="29"/>
    </row>
    <row r="228" customFormat="false" ht="15" hidden="false" customHeight="false" outlineLevel="0" collapsed="false">
      <c r="A228" s="28"/>
      <c r="B228" s="29"/>
      <c r="C228" s="29"/>
      <c r="D228" s="29"/>
      <c r="E228" s="29"/>
      <c r="F228" s="29"/>
    </row>
    <row r="229" customFormat="false" ht="15" hidden="false" customHeight="false" outlineLevel="0" collapsed="false">
      <c r="A229" s="28"/>
      <c r="B229" s="29"/>
      <c r="C229" s="29"/>
      <c r="D229" s="29"/>
      <c r="E229" s="29"/>
      <c r="F229" s="29"/>
    </row>
    <row r="230" customFormat="false" ht="15" hidden="false" customHeight="false" outlineLevel="0" collapsed="false">
      <c r="A230" s="28"/>
      <c r="B230" s="29"/>
      <c r="C230" s="29"/>
      <c r="D230" s="29"/>
      <c r="E230" s="29"/>
      <c r="F230" s="29"/>
    </row>
    <row r="231" customFormat="false" ht="15" hidden="false" customHeight="false" outlineLevel="0" collapsed="false">
      <c r="A231" s="28"/>
      <c r="B231" s="29"/>
      <c r="C231" s="29"/>
      <c r="D231" s="29"/>
      <c r="E231" s="29"/>
      <c r="F231" s="29"/>
    </row>
    <row r="232" customFormat="false" ht="15" hidden="false" customHeight="false" outlineLevel="0" collapsed="false">
      <c r="A232" s="28"/>
      <c r="B232" s="29"/>
      <c r="C232" s="29"/>
      <c r="D232" s="29"/>
      <c r="E232" s="29"/>
      <c r="F232" s="29"/>
    </row>
    <row r="233" customFormat="false" ht="15" hidden="false" customHeight="false" outlineLevel="0" collapsed="false">
      <c r="A233" s="28"/>
      <c r="B233" s="29"/>
      <c r="C233" s="29"/>
      <c r="D233" s="29"/>
      <c r="E233" s="29"/>
      <c r="F233" s="29"/>
    </row>
    <row r="234" customFormat="false" ht="15" hidden="false" customHeight="false" outlineLevel="0" collapsed="false">
      <c r="A234" s="28"/>
      <c r="B234" s="29"/>
      <c r="C234" s="29"/>
      <c r="D234" s="29"/>
      <c r="E234" s="29"/>
      <c r="F234" s="29"/>
    </row>
    <row r="235" customFormat="false" ht="15" hidden="false" customHeight="false" outlineLevel="0" collapsed="false">
      <c r="A235" s="28"/>
      <c r="B235" s="29"/>
      <c r="C235" s="29"/>
      <c r="D235" s="29"/>
      <c r="E235" s="29"/>
      <c r="F235" s="29"/>
    </row>
    <row r="236" customFormat="false" ht="15" hidden="false" customHeight="false" outlineLevel="0" collapsed="false">
      <c r="A236" s="28"/>
      <c r="B236" s="29"/>
      <c r="C236" s="29"/>
      <c r="D236" s="29"/>
      <c r="E236" s="29"/>
      <c r="F236" s="29"/>
    </row>
    <row r="237" customFormat="false" ht="15" hidden="false" customHeight="false" outlineLevel="0" collapsed="false">
      <c r="A237" s="28"/>
      <c r="B237" s="29"/>
      <c r="C237" s="29"/>
      <c r="D237" s="29"/>
      <c r="E237" s="29"/>
      <c r="F237" s="29"/>
    </row>
    <row r="238" customFormat="false" ht="15" hidden="false" customHeight="false" outlineLevel="0" collapsed="false">
      <c r="A238" s="28"/>
      <c r="B238" s="29"/>
      <c r="C238" s="29"/>
      <c r="D238" s="29"/>
      <c r="E238" s="29"/>
      <c r="F238" s="29"/>
    </row>
    <row r="239" customFormat="false" ht="15" hidden="false" customHeight="false" outlineLevel="0" collapsed="false">
      <c r="A239" s="28"/>
      <c r="B239" s="29"/>
      <c r="C239" s="29"/>
      <c r="D239" s="29"/>
      <c r="E239" s="29"/>
      <c r="F239" s="29"/>
    </row>
    <row r="240" customFormat="false" ht="15" hidden="false" customHeight="false" outlineLevel="0" collapsed="false">
      <c r="A240" s="28"/>
      <c r="B240" s="29"/>
      <c r="C240" s="29"/>
      <c r="D240" s="29"/>
      <c r="E240" s="29"/>
      <c r="F240" s="29"/>
    </row>
    <row r="241" customFormat="false" ht="15" hidden="false" customHeight="false" outlineLevel="0" collapsed="false">
      <c r="A241" s="28"/>
      <c r="B241" s="29"/>
      <c r="C241" s="29"/>
      <c r="D241" s="29"/>
      <c r="E241" s="29"/>
      <c r="F241" s="29"/>
    </row>
    <row r="242" customFormat="false" ht="15" hidden="false" customHeight="false" outlineLevel="0" collapsed="false">
      <c r="A242" s="28"/>
      <c r="B242" s="29"/>
      <c r="C242" s="29"/>
      <c r="D242" s="29"/>
      <c r="E242" s="29"/>
      <c r="F242" s="29"/>
    </row>
    <row r="243" customFormat="false" ht="15" hidden="false" customHeight="false" outlineLevel="0" collapsed="false">
      <c r="A243" s="28"/>
      <c r="B243" s="29"/>
      <c r="C243" s="29"/>
      <c r="D243" s="29"/>
      <c r="E243" s="29"/>
      <c r="F243" s="29"/>
    </row>
    <row r="244" customFormat="false" ht="15" hidden="false" customHeight="false" outlineLevel="0" collapsed="false">
      <c r="A244" s="28"/>
      <c r="B244" s="29"/>
      <c r="C244" s="29"/>
      <c r="D244" s="29"/>
      <c r="E244" s="29"/>
      <c r="F244" s="29"/>
    </row>
    <row r="245" customFormat="false" ht="15" hidden="false" customHeight="false" outlineLevel="0" collapsed="false">
      <c r="A245" s="28"/>
      <c r="B245" s="29"/>
      <c r="C245" s="29"/>
      <c r="D245" s="29"/>
      <c r="E245" s="29"/>
      <c r="F245" s="29"/>
    </row>
    <row r="246" customFormat="false" ht="15" hidden="false" customHeight="false" outlineLevel="0" collapsed="false">
      <c r="A246" s="28"/>
      <c r="B246" s="29"/>
      <c r="C246" s="29"/>
      <c r="D246" s="29"/>
      <c r="E246" s="29"/>
      <c r="F246" s="29"/>
    </row>
    <row r="247" customFormat="false" ht="15" hidden="false" customHeight="false" outlineLevel="0" collapsed="false">
      <c r="A247" s="28"/>
      <c r="B247" s="29"/>
      <c r="C247" s="29"/>
      <c r="D247" s="29"/>
      <c r="E247" s="29"/>
      <c r="F247" s="29"/>
    </row>
    <row r="248" customFormat="false" ht="15" hidden="false" customHeight="false" outlineLevel="0" collapsed="false">
      <c r="A248" s="28"/>
      <c r="B248" s="29"/>
      <c r="C248" s="29"/>
      <c r="D248" s="29"/>
      <c r="E248" s="29"/>
      <c r="F248" s="29"/>
    </row>
    <row r="249" customFormat="false" ht="15" hidden="false" customHeight="false" outlineLevel="0" collapsed="false">
      <c r="A249" s="28"/>
      <c r="B249" s="29"/>
      <c r="C249" s="29"/>
      <c r="D249" s="29"/>
      <c r="E249" s="29"/>
      <c r="F249" s="29"/>
    </row>
    <row r="250" customFormat="false" ht="15" hidden="false" customHeight="false" outlineLevel="0" collapsed="false">
      <c r="A250" s="28"/>
      <c r="B250" s="29"/>
      <c r="C250" s="29"/>
      <c r="D250" s="29"/>
      <c r="E250" s="29"/>
      <c r="F250" s="29"/>
    </row>
    <row r="251" customFormat="false" ht="15" hidden="false" customHeight="false" outlineLevel="0" collapsed="false">
      <c r="A251" s="28"/>
      <c r="B251" s="29"/>
      <c r="C251" s="29"/>
      <c r="D251" s="29"/>
      <c r="E251" s="29"/>
      <c r="F251" s="29"/>
    </row>
    <row r="252" customFormat="false" ht="15" hidden="false" customHeight="false" outlineLevel="0" collapsed="false">
      <c r="A252" s="28"/>
      <c r="B252" s="29"/>
      <c r="C252" s="29"/>
      <c r="D252" s="29"/>
      <c r="E252" s="29"/>
      <c r="F252" s="29"/>
    </row>
    <row r="253" customFormat="false" ht="15" hidden="false" customHeight="false" outlineLevel="0" collapsed="false">
      <c r="A253" s="28"/>
      <c r="B253" s="29"/>
      <c r="C253" s="29"/>
      <c r="D253" s="29"/>
      <c r="E253" s="29"/>
      <c r="F253" s="29"/>
    </row>
    <row r="254" customFormat="false" ht="15" hidden="false" customHeight="false" outlineLevel="0" collapsed="false">
      <c r="A254" s="28"/>
      <c r="B254" s="29"/>
      <c r="C254" s="29"/>
      <c r="D254" s="29"/>
      <c r="E254" s="29"/>
      <c r="F254" s="29"/>
    </row>
    <row r="255" customFormat="false" ht="15" hidden="false" customHeight="false" outlineLevel="0" collapsed="false">
      <c r="A255" s="28"/>
      <c r="B255" s="29"/>
      <c r="C255" s="29"/>
      <c r="D255" s="29"/>
      <c r="E255" s="29"/>
      <c r="F255" s="29"/>
    </row>
    <row r="256" customFormat="false" ht="15" hidden="false" customHeight="false" outlineLevel="0" collapsed="false">
      <c r="A256" s="28"/>
      <c r="B256" s="29"/>
      <c r="C256" s="29"/>
      <c r="D256" s="29"/>
      <c r="E256" s="29"/>
      <c r="F256" s="29"/>
    </row>
    <row r="257" customFormat="false" ht="15" hidden="false" customHeight="false" outlineLevel="0" collapsed="false">
      <c r="A257" s="28"/>
      <c r="B257" s="29"/>
      <c r="C257" s="29"/>
      <c r="D257" s="29"/>
      <c r="E257" s="29"/>
      <c r="F257" s="29"/>
    </row>
    <row r="258" customFormat="false" ht="15" hidden="false" customHeight="false" outlineLevel="0" collapsed="false">
      <c r="A258" s="28"/>
      <c r="B258" s="29"/>
      <c r="C258" s="29"/>
      <c r="D258" s="29"/>
      <c r="E258" s="29"/>
      <c r="F258" s="29"/>
    </row>
    <row r="259" customFormat="false" ht="15" hidden="false" customHeight="false" outlineLevel="0" collapsed="false">
      <c r="A259" s="28"/>
      <c r="B259" s="29"/>
      <c r="C259" s="29"/>
      <c r="D259" s="29"/>
      <c r="E259" s="29"/>
      <c r="F259" s="29"/>
    </row>
    <row r="260" customFormat="false" ht="15" hidden="false" customHeight="false" outlineLevel="0" collapsed="false">
      <c r="A260" s="28"/>
      <c r="B260" s="29"/>
      <c r="C260" s="29"/>
      <c r="D260" s="29"/>
      <c r="E260" s="29"/>
      <c r="F260" s="29"/>
    </row>
    <row r="261" customFormat="false" ht="15" hidden="false" customHeight="false" outlineLevel="0" collapsed="false">
      <c r="A261" s="28"/>
      <c r="B261" s="29"/>
      <c r="C261" s="29"/>
      <c r="D261" s="29"/>
      <c r="E261" s="29"/>
      <c r="F261" s="29"/>
    </row>
    <row r="262" customFormat="false" ht="15" hidden="false" customHeight="false" outlineLevel="0" collapsed="false">
      <c r="A262" s="28"/>
      <c r="B262" s="29"/>
      <c r="C262" s="29"/>
      <c r="D262" s="29"/>
      <c r="E262" s="29"/>
      <c r="F262" s="29"/>
    </row>
    <row r="263" customFormat="false" ht="15" hidden="false" customHeight="false" outlineLevel="0" collapsed="false">
      <c r="A263" s="28"/>
      <c r="B263" s="29"/>
      <c r="C263" s="29"/>
      <c r="D263" s="29"/>
      <c r="E263" s="29"/>
      <c r="F263" s="29"/>
    </row>
    <row r="264" customFormat="false" ht="15" hidden="false" customHeight="false" outlineLevel="0" collapsed="false">
      <c r="A264" s="28"/>
      <c r="B264" s="29"/>
      <c r="C264" s="29"/>
      <c r="D264" s="29"/>
      <c r="E264" s="29"/>
      <c r="F264" s="29"/>
    </row>
    <row r="265" customFormat="false" ht="15" hidden="false" customHeight="false" outlineLevel="0" collapsed="false">
      <c r="A265" s="28"/>
      <c r="B265" s="29"/>
      <c r="C265" s="29"/>
      <c r="D265" s="29"/>
      <c r="E265" s="29"/>
      <c r="F265" s="29"/>
    </row>
    <row r="266" customFormat="false" ht="15" hidden="false" customHeight="false" outlineLevel="0" collapsed="false">
      <c r="A266" s="28"/>
      <c r="B266" s="29"/>
      <c r="C266" s="29"/>
      <c r="D266" s="29"/>
      <c r="E266" s="29"/>
      <c r="F266" s="29"/>
    </row>
    <row r="267" customFormat="false" ht="15" hidden="false" customHeight="false" outlineLevel="0" collapsed="false">
      <c r="A267" s="28"/>
      <c r="B267" s="29"/>
      <c r="C267" s="29"/>
      <c r="D267" s="29"/>
      <c r="E267" s="29"/>
      <c r="F267" s="29"/>
    </row>
    <row r="268" customFormat="false" ht="15" hidden="false" customHeight="false" outlineLevel="0" collapsed="false">
      <c r="A268" s="28"/>
      <c r="B268" s="29"/>
      <c r="C268" s="29"/>
      <c r="D268" s="29"/>
      <c r="E268" s="29"/>
      <c r="F268" s="29"/>
    </row>
    <row r="269" customFormat="false" ht="15" hidden="false" customHeight="false" outlineLevel="0" collapsed="false">
      <c r="A269" s="28"/>
      <c r="B269" s="29"/>
      <c r="C269" s="29"/>
      <c r="D269" s="29"/>
      <c r="E269" s="29"/>
      <c r="F269" s="29"/>
    </row>
    <row r="270" customFormat="false" ht="15" hidden="false" customHeight="false" outlineLevel="0" collapsed="false">
      <c r="A270" s="28"/>
      <c r="B270" s="29"/>
      <c r="C270" s="29"/>
      <c r="D270" s="29"/>
      <c r="E270" s="29"/>
      <c r="F270" s="29"/>
    </row>
    <row r="271" customFormat="false" ht="15" hidden="false" customHeight="false" outlineLevel="0" collapsed="false">
      <c r="A271" s="28"/>
      <c r="B271" s="29"/>
      <c r="C271" s="29"/>
      <c r="D271" s="29"/>
      <c r="E271" s="29"/>
      <c r="F271" s="29"/>
    </row>
    <row r="272" customFormat="false" ht="15" hidden="false" customHeight="false" outlineLevel="0" collapsed="false">
      <c r="A272" s="28"/>
      <c r="B272" s="29"/>
      <c r="C272" s="29"/>
      <c r="D272" s="29"/>
      <c r="E272" s="29"/>
      <c r="F272" s="29"/>
    </row>
    <row r="273" customFormat="false" ht="15" hidden="false" customHeight="false" outlineLevel="0" collapsed="false">
      <c r="A273" s="28"/>
      <c r="B273" s="29"/>
      <c r="C273" s="29"/>
      <c r="D273" s="29"/>
      <c r="E273" s="29"/>
      <c r="F273" s="29"/>
    </row>
    <row r="274" customFormat="false" ht="15" hidden="false" customHeight="false" outlineLevel="0" collapsed="false">
      <c r="A274" s="28"/>
      <c r="B274" s="29"/>
      <c r="C274" s="29"/>
      <c r="D274" s="29"/>
      <c r="E274" s="29"/>
      <c r="F274" s="29"/>
    </row>
    <row r="275" customFormat="false" ht="15" hidden="false" customHeight="false" outlineLevel="0" collapsed="false">
      <c r="A275" s="28"/>
      <c r="B275" s="29"/>
      <c r="C275" s="29"/>
      <c r="D275" s="29"/>
      <c r="E275" s="29"/>
      <c r="F275" s="29"/>
    </row>
    <row r="276" customFormat="false" ht="15" hidden="false" customHeight="false" outlineLevel="0" collapsed="false">
      <c r="A276" s="28"/>
      <c r="B276" s="29"/>
      <c r="C276" s="29"/>
      <c r="D276" s="29"/>
      <c r="E276" s="29"/>
      <c r="F276" s="29"/>
    </row>
    <row r="277" customFormat="false" ht="15" hidden="false" customHeight="false" outlineLevel="0" collapsed="false">
      <c r="A277" s="28"/>
      <c r="B277" s="29"/>
      <c r="C277" s="29"/>
      <c r="D277" s="29"/>
      <c r="E277" s="29"/>
      <c r="F277" s="29"/>
    </row>
    <row r="278" customFormat="false" ht="15" hidden="false" customHeight="false" outlineLevel="0" collapsed="false">
      <c r="A278" s="28"/>
      <c r="B278" s="29"/>
      <c r="C278" s="29"/>
      <c r="D278" s="29"/>
      <c r="E278" s="29"/>
      <c r="F278" s="29"/>
    </row>
    <row r="279" customFormat="false" ht="15" hidden="false" customHeight="false" outlineLevel="0" collapsed="false">
      <c r="A279" s="28"/>
      <c r="B279" s="29"/>
      <c r="C279" s="29"/>
      <c r="D279" s="29"/>
      <c r="E279" s="29"/>
      <c r="F279" s="29"/>
    </row>
    <row r="280" customFormat="false" ht="15" hidden="false" customHeight="false" outlineLevel="0" collapsed="false">
      <c r="A280" s="28"/>
      <c r="B280" s="29"/>
      <c r="C280" s="29"/>
      <c r="D280" s="29"/>
      <c r="E280" s="29"/>
      <c r="F280" s="29"/>
    </row>
    <row r="281" customFormat="false" ht="15" hidden="false" customHeight="false" outlineLevel="0" collapsed="false">
      <c r="A281" s="28"/>
      <c r="B281" s="29"/>
      <c r="C281" s="29"/>
      <c r="D281" s="29"/>
      <c r="E281" s="29"/>
      <c r="F281" s="29"/>
    </row>
    <row r="282" customFormat="false" ht="15" hidden="false" customHeight="false" outlineLevel="0" collapsed="false">
      <c r="A282" s="28"/>
      <c r="B282" s="29"/>
      <c r="C282" s="29"/>
      <c r="D282" s="29"/>
      <c r="E282" s="29"/>
      <c r="F282" s="29"/>
    </row>
    <row r="283" customFormat="false" ht="15" hidden="false" customHeight="false" outlineLevel="0" collapsed="false">
      <c r="A283" s="28"/>
      <c r="B283" s="29"/>
      <c r="C283" s="29"/>
      <c r="D283" s="29"/>
      <c r="E283" s="29"/>
      <c r="F283" s="29"/>
    </row>
    <row r="284" customFormat="false" ht="15" hidden="false" customHeight="false" outlineLevel="0" collapsed="false">
      <c r="A284" s="28"/>
      <c r="B284" s="29"/>
      <c r="C284" s="29"/>
      <c r="D284" s="29"/>
      <c r="E284" s="29"/>
      <c r="F284" s="29"/>
    </row>
    <row r="285" customFormat="false" ht="15" hidden="false" customHeight="false" outlineLevel="0" collapsed="false">
      <c r="A285" s="28"/>
      <c r="B285" s="29"/>
      <c r="C285" s="29"/>
      <c r="D285" s="29"/>
      <c r="E285" s="29"/>
      <c r="F285" s="29"/>
    </row>
    <row r="286" customFormat="false" ht="15" hidden="false" customHeight="false" outlineLevel="0" collapsed="false">
      <c r="A286" s="28"/>
      <c r="B286" s="29"/>
      <c r="C286" s="29"/>
      <c r="D286" s="29"/>
      <c r="E286" s="29"/>
      <c r="F286" s="29"/>
    </row>
    <row r="287" customFormat="false" ht="15" hidden="false" customHeight="false" outlineLevel="0" collapsed="false">
      <c r="A287" s="28"/>
      <c r="B287" s="29"/>
      <c r="C287" s="29"/>
      <c r="D287" s="29"/>
      <c r="E287" s="29"/>
      <c r="F287" s="29"/>
    </row>
    <row r="288" customFormat="false" ht="15" hidden="false" customHeight="false" outlineLevel="0" collapsed="false">
      <c r="A288" s="28"/>
      <c r="B288" s="29"/>
      <c r="C288" s="29"/>
      <c r="D288" s="29"/>
      <c r="E288" s="29"/>
      <c r="F288" s="29"/>
    </row>
    <row r="289" customFormat="false" ht="15" hidden="false" customHeight="false" outlineLevel="0" collapsed="false">
      <c r="A289" s="28"/>
      <c r="B289" s="29"/>
      <c r="C289" s="29"/>
      <c r="D289" s="29"/>
      <c r="E289" s="29"/>
      <c r="F289" s="29"/>
    </row>
    <row r="290" customFormat="false" ht="15" hidden="false" customHeight="false" outlineLevel="0" collapsed="false">
      <c r="A290" s="28"/>
      <c r="B290" s="29"/>
      <c r="C290" s="29"/>
      <c r="D290" s="29"/>
      <c r="E290" s="29"/>
      <c r="F290" s="29"/>
    </row>
    <row r="291" customFormat="false" ht="15" hidden="false" customHeight="false" outlineLevel="0" collapsed="false">
      <c r="A291" s="28"/>
      <c r="B291" s="29"/>
      <c r="C291" s="29"/>
      <c r="D291" s="29"/>
      <c r="E291" s="29"/>
      <c r="F291" s="29"/>
    </row>
    <row r="292" customFormat="false" ht="15" hidden="false" customHeight="false" outlineLevel="0" collapsed="false">
      <c r="A292" s="28"/>
      <c r="B292" s="29"/>
      <c r="C292" s="29"/>
      <c r="D292" s="29"/>
      <c r="E292" s="29"/>
      <c r="F292" s="29"/>
    </row>
    <row r="293" customFormat="false" ht="15" hidden="false" customHeight="false" outlineLevel="0" collapsed="false">
      <c r="A293" s="28"/>
      <c r="B293" s="29"/>
      <c r="C293" s="29"/>
      <c r="D293" s="29"/>
      <c r="E293" s="29"/>
      <c r="F293" s="29"/>
    </row>
    <row r="294" customFormat="false" ht="15" hidden="false" customHeight="false" outlineLevel="0" collapsed="false">
      <c r="A294" s="28"/>
      <c r="B294" s="29"/>
      <c r="C294" s="29"/>
      <c r="D294" s="29"/>
      <c r="E294" s="29"/>
      <c r="F294" s="29"/>
    </row>
    <row r="295" customFormat="false" ht="15" hidden="false" customHeight="false" outlineLevel="0" collapsed="false">
      <c r="A295" s="28"/>
      <c r="B295" s="29"/>
      <c r="C295" s="29"/>
      <c r="D295" s="29"/>
      <c r="E295" s="29"/>
      <c r="F295" s="29"/>
    </row>
    <row r="296" customFormat="false" ht="15" hidden="false" customHeight="false" outlineLevel="0" collapsed="false">
      <c r="A296" s="28"/>
      <c r="B296" s="29"/>
      <c r="C296" s="29"/>
      <c r="D296" s="29"/>
      <c r="E296" s="29"/>
      <c r="F296" s="29"/>
    </row>
    <row r="297" customFormat="false" ht="15" hidden="false" customHeight="false" outlineLevel="0" collapsed="false">
      <c r="A297" s="28"/>
      <c r="B297" s="29"/>
      <c r="C297" s="29"/>
      <c r="D297" s="29"/>
      <c r="E297" s="29"/>
      <c r="F297" s="29"/>
    </row>
    <row r="298" customFormat="false" ht="15" hidden="false" customHeight="false" outlineLevel="0" collapsed="false">
      <c r="A298" s="28"/>
      <c r="B298" s="29"/>
      <c r="C298" s="29"/>
      <c r="D298" s="29"/>
      <c r="E298" s="29"/>
      <c r="F298" s="29"/>
    </row>
    <row r="299" customFormat="false" ht="15" hidden="false" customHeight="false" outlineLevel="0" collapsed="false">
      <c r="A299" s="28"/>
      <c r="B299" s="29"/>
      <c r="C299" s="29"/>
      <c r="D299" s="29"/>
      <c r="E299" s="29"/>
      <c r="F299" s="29"/>
    </row>
    <row r="300" customFormat="false" ht="15" hidden="false" customHeight="false" outlineLevel="0" collapsed="false">
      <c r="A300" s="28"/>
      <c r="B300" s="29"/>
      <c r="C300" s="29"/>
      <c r="D300" s="29"/>
      <c r="E300" s="29"/>
      <c r="F300" s="29"/>
    </row>
    <row r="301" customFormat="false" ht="15" hidden="false" customHeight="false" outlineLevel="0" collapsed="false">
      <c r="A301" s="28"/>
      <c r="B301" s="29"/>
      <c r="C301" s="29"/>
      <c r="D301" s="29"/>
      <c r="E301" s="29"/>
      <c r="F301" s="29"/>
    </row>
    <row r="302" customFormat="false" ht="15" hidden="false" customHeight="false" outlineLevel="0" collapsed="false">
      <c r="A302" s="28"/>
      <c r="B302" s="29"/>
      <c r="C302" s="29"/>
      <c r="D302" s="29"/>
      <c r="E302" s="29"/>
      <c r="F302" s="29"/>
    </row>
    <row r="303" customFormat="false" ht="15" hidden="false" customHeight="false" outlineLevel="0" collapsed="false">
      <c r="A303" s="28"/>
      <c r="B303" s="29"/>
      <c r="C303" s="29"/>
      <c r="D303" s="29"/>
      <c r="E303" s="29"/>
      <c r="F303" s="29"/>
    </row>
    <row r="304" customFormat="false" ht="15" hidden="false" customHeight="false" outlineLevel="0" collapsed="false">
      <c r="A304" s="28"/>
      <c r="B304" s="29"/>
      <c r="C304" s="29"/>
      <c r="D304" s="29"/>
      <c r="E304" s="29"/>
      <c r="F304" s="29"/>
    </row>
    <row r="305" customFormat="false" ht="15" hidden="false" customHeight="false" outlineLevel="0" collapsed="false">
      <c r="A305" s="28"/>
      <c r="B305" s="29"/>
      <c r="C305" s="29"/>
      <c r="D305" s="29"/>
      <c r="E305" s="29"/>
      <c r="F305" s="29"/>
    </row>
    <row r="306" customFormat="false" ht="15" hidden="false" customHeight="false" outlineLevel="0" collapsed="false">
      <c r="A306" s="28"/>
      <c r="B306" s="29"/>
      <c r="C306" s="29"/>
      <c r="D306" s="29"/>
      <c r="E306" s="29"/>
      <c r="F306" s="29"/>
    </row>
    <row r="307" customFormat="false" ht="15" hidden="false" customHeight="false" outlineLevel="0" collapsed="false">
      <c r="A307" s="28"/>
      <c r="B307" s="29"/>
      <c r="C307" s="29"/>
      <c r="D307" s="29"/>
      <c r="E307" s="29"/>
      <c r="F307" s="29"/>
    </row>
    <row r="308" customFormat="false" ht="15" hidden="false" customHeight="false" outlineLevel="0" collapsed="false">
      <c r="A308" s="28"/>
      <c r="B308" s="29"/>
      <c r="C308" s="29"/>
      <c r="D308" s="29"/>
      <c r="E308" s="29"/>
      <c r="F308" s="29"/>
    </row>
    <row r="309" customFormat="false" ht="15" hidden="false" customHeight="false" outlineLevel="0" collapsed="false">
      <c r="A309" s="28"/>
      <c r="B309" s="29"/>
      <c r="C309" s="29"/>
      <c r="D309" s="29"/>
      <c r="E309" s="29"/>
      <c r="F309" s="29"/>
    </row>
    <row r="310" customFormat="false" ht="15" hidden="false" customHeight="false" outlineLevel="0" collapsed="false">
      <c r="A310" s="28"/>
      <c r="B310" s="29"/>
      <c r="C310" s="29"/>
      <c r="D310" s="29"/>
      <c r="E310" s="29"/>
      <c r="F310" s="29"/>
    </row>
    <row r="311" customFormat="false" ht="15" hidden="false" customHeight="false" outlineLevel="0" collapsed="false">
      <c r="A311" s="28"/>
      <c r="B311" s="29"/>
      <c r="C311" s="29"/>
      <c r="D311" s="29"/>
      <c r="E311" s="29"/>
      <c r="F311" s="29"/>
    </row>
    <row r="312" customFormat="false" ht="15" hidden="false" customHeight="false" outlineLevel="0" collapsed="false">
      <c r="A312" s="28"/>
      <c r="B312" s="29"/>
      <c r="C312" s="29"/>
      <c r="D312" s="29"/>
      <c r="E312" s="29"/>
      <c r="F312" s="29"/>
    </row>
    <row r="313" customFormat="false" ht="15" hidden="false" customHeight="false" outlineLevel="0" collapsed="false">
      <c r="A313" s="28"/>
      <c r="B313" s="29"/>
      <c r="C313" s="29"/>
      <c r="D313" s="29"/>
      <c r="E313" s="29"/>
      <c r="F313" s="29"/>
    </row>
    <row r="314" customFormat="false" ht="15" hidden="false" customHeight="false" outlineLevel="0" collapsed="false">
      <c r="A314" s="28"/>
      <c r="B314" s="29"/>
      <c r="C314" s="29"/>
      <c r="D314" s="29"/>
      <c r="E314" s="29"/>
      <c r="F314" s="29"/>
    </row>
    <row r="315" customFormat="false" ht="15" hidden="false" customHeight="false" outlineLevel="0" collapsed="false">
      <c r="A315" s="28"/>
      <c r="B315" s="29"/>
      <c r="C315" s="29"/>
      <c r="D315" s="29"/>
      <c r="E315" s="29"/>
      <c r="F315" s="29"/>
    </row>
    <row r="316" customFormat="false" ht="15" hidden="false" customHeight="false" outlineLevel="0" collapsed="false">
      <c r="A316" s="28"/>
      <c r="B316" s="29"/>
      <c r="C316" s="29"/>
      <c r="D316" s="29"/>
      <c r="E316" s="29"/>
      <c r="F316" s="29"/>
    </row>
    <row r="317" customFormat="false" ht="15" hidden="false" customHeight="false" outlineLevel="0" collapsed="false">
      <c r="A317" s="28"/>
      <c r="B317" s="29"/>
      <c r="C317" s="29"/>
      <c r="D317" s="29"/>
      <c r="E317" s="29"/>
      <c r="F317" s="29"/>
    </row>
    <row r="318" customFormat="false" ht="15" hidden="false" customHeight="false" outlineLevel="0" collapsed="false">
      <c r="A318" s="28"/>
      <c r="B318" s="29"/>
      <c r="C318" s="29"/>
      <c r="D318" s="29"/>
      <c r="E318" s="29"/>
      <c r="F318" s="29"/>
    </row>
    <row r="319" customFormat="false" ht="15" hidden="false" customHeight="false" outlineLevel="0" collapsed="false">
      <c r="A319" s="28"/>
      <c r="B319" s="29"/>
      <c r="C319" s="29"/>
      <c r="D319" s="29"/>
      <c r="E319" s="29"/>
      <c r="F319" s="29"/>
    </row>
    <row r="320" customFormat="false" ht="15" hidden="false" customHeight="false" outlineLevel="0" collapsed="false">
      <c r="A320" s="28"/>
      <c r="B320" s="29"/>
      <c r="C320" s="29"/>
      <c r="D320" s="29"/>
      <c r="E320" s="29"/>
      <c r="F320" s="29"/>
    </row>
    <row r="321" customFormat="false" ht="15" hidden="false" customHeight="false" outlineLevel="0" collapsed="false">
      <c r="A321" s="28"/>
      <c r="B321" s="29"/>
      <c r="C321" s="29"/>
      <c r="D321" s="29"/>
      <c r="E321" s="29"/>
      <c r="F321" s="29"/>
    </row>
    <row r="322" customFormat="false" ht="15" hidden="false" customHeight="false" outlineLevel="0" collapsed="false">
      <c r="A322" s="28"/>
      <c r="B322" s="29"/>
      <c r="C322" s="29"/>
      <c r="D322" s="29"/>
      <c r="E322" s="29"/>
      <c r="F322" s="29"/>
    </row>
    <row r="323" customFormat="false" ht="15" hidden="false" customHeight="false" outlineLevel="0" collapsed="false">
      <c r="A323" s="28"/>
      <c r="B323" s="29"/>
      <c r="C323" s="29"/>
      <c r="D323" s="29"/>
      <c r="E323" s="29"/>
      <c r="F323" s="29"/>
    </row>
    <row r="324" customFormat="false" ht="15" hidden="false" customHeight="false" outlineLevel="0" collapsed="false">
      <c r="A324" s="28"/>
      <c r="B324" s="29"/>
      <c r="C324" s="29"/>
      <c r="D324" s="29"/>
      <c r="E324" s="29"/>
      <c r="F324" s="29"/>
    </row>
    <row r="325" customFormat="false" ht="15" hidden="false" customHeight="false" outlineLevel="0" collapsed="false">
      <c r="A325" s="28"/>
      <c r="B325" s="29"/>
      <c r="C325" s="29"/>
      <c r="D325" s="29"/>
      <c r="E325" s="29"/>
      <c r="F325" s="29"/>
    </row>
    <row r="326" customFormat="false" ht="15" hidden="false" customHeight="false" outlineLevel="0" collapsed="false">
      <c r="A326" s="28"/>
      <c r="B326" s="29"/>
      <c r="C326" s="29"/>
      <c r="D326" s="29"/>
      <c r="E326" s="29"/>
      <c r="F326" s="29"/>
    </row>
    <row r="327" customFormat="false" ht="15" hidden="false" customHeight="false" outlineLevel="0" collapsed="false">
      <c r="A327" s="28"/>
      <c r="B327" s="29"/>
      <c r="C327" s="29"/>
      <c r="D327" s="29"/>
      <c r="E327" s="29"/>
      <c r="F327" s="29"/>
    </row>
    <row r="328" customFormat="false" ht="15" hidden="false" customHeight="false" outlineLevel="0" collapsed="false">
      <c r="A328" s="28"/>
      <c r="B328" s="29"/>
      <c r="C328" s="29"/>
      <c r="D328" s="29"/>
      <c r="E328" s="29"/>
      <c r="F328" s="29"/>
    </row>
    <row r="329" customFormat="false" ht="15" hidden="false" customHeight="false" outlineLevel="0" collapsed="false">
      <c r="A329" s="28"/>
      <c r="B329" s="29"/>
      <c r="C329" s="29"/>
      <c r="D329" s="29"/>
      <c r="E329" s="29"/>
      <c r="F329" s="29"/>
    </row>
    <row r="330" customFormat="false" ht="15" hidden="false" customHeight="false" outlineLevel="0" collapsed="false">
      <c r="A330" s="28"/>
      <c r="B330" s="29"/>
      <c r="C330" s="29"/>
      <c r="D330" s="29"/>
      <c r="E330" s="29"/>
      <c r="F330" s="29"/>
    </row>
    <row r="331" customFormat="false" ht="15" hidden="false" customHeight="false" outlineLevel="0" collapsed="false">
      <c r="A331" s="28"/>
      <c r="B331" s="29"/>
      <c r="C331" s="29"/>
      <c r="D331" s="29"/>
      <c r="E331" s="29"/>
      <c r="F331" s="29"/>
    </row>
    <row r="332" customFormat="false" ht="15" hidden="false" customHeight="false" outlineLevel="0" collapsed="false">
      <c r="A332" s="28"/>
      <c r="B332" s="29"/>
      <c r="C332" s="29"/>
      <c r="D332" s="29"/>
      <c r="E332" s="29"/>
      <c r="F332" s="29"/>
    </row>
    <row r="333" customFormat="false" ht="15" hidden="false" customHeight="false" outlineLevel="0" collapsed="false">
      <c r="A333" s="28"/>
      <c r="B333" s="29"/>
      <c r="C333" s="29"/>
      <c r="D333" s="29"/>
      <c r="E333" s="29"/>
      <c r="F333" s="29"/>
    </row>
    <row r="334" customFormat="false" ht="15" hidden="false" customHeight="false" outlineLevel="0" collapsed="false">
      <c r="A334" s="28"/>
      <c r="B334" s="29"/>
      <c r="C334" s="29"/>
      <c r="D334" s="29"/>
      <c r="E334" s="29"/>
      <c r="F334" s="29"/>
    </row>
    <row r="335" customFormat="false" ht="15" hidden="false" customHeight="false" outlineLevel="0" collapsed="false">
      <c r="A335" s="28"/>
      <c r="B335" s="29"/>
      <c r="C335" s="29"/>
      <c r="D335" s="29"/>
      <c r="E335" s="29"/>
      <c r="F335" s="29"/>
    </row>
    <row r="336" customFormat="false" ht="15" hidden="false" customHeight="false" outlineLevel="0" collapsed="false">
      <c r="A336" s="28"/>
      <c r="B336" s="29"/>
      <c r="C336" s="29"/>
      <c r="D336" s="29"/>
      <c r="E336" s="29"/>
      <c r="F336" s="29"/>
    </row>
    <row r="337" customFormat="false" ht="15" hidden="false" customHeight="false" outlineLevel="0" collapsed="false">
      <c r="A337" s="28"/>
      <c r="B337" s="29"/>
      <c r="C337" s="29"/>
      <c r="D337" s="29"/>
      <c r="E337" s="29"/>
      <c r="F337" s="29"/>
    </row>
    <row r="338" customFormat="false" ht="15" hidden="false" customHeight="false" outlineLevel="0" collapsed="false">
      <c r="A338" s="28"/>
      <c r="B338" s="29"/>
      <c r="C338" s="29"/>
      <c r="D338" s="29"/>
      <c r="E338" s="29"/>
      <c r="F338" s="29"/>
    </row>
    <row r="339" customFormat="false" ht="15" hidden="false" customHeight="false" outlineLevel="0" collapsed="false">
      <c r="A339" s="28"/>
      <c r="B339" s="29"/>
      <c r="C339" s="29"/>
      <c r="D339" s="29"/>
      <c r="E339" s="29"/>
      <c r="F339" s="29"/>
    </row>
    <row r="340" customFormat="false" ht="15" hidden="false" customHeight="false" outlineLevel="0" collapsed="false">
      <c r="A340" s="28"/>
      <c r="B340" s="29"/>
      <c r="C340" s="29"/>
      <c r="D340" s="29"/>
      <c r="E340" s="29"/>
      <c r="F340" s="29"/>
    </row>
    <row r="341" customFormat="false" ht="15" hidden="false" customHeight="false" outlineLevel="0" collapsed="false">
      <c r="A341" s="28"/>
      <c r="B341" s="29"/>
      <c r="C341" s="29"/>
      <c r="D341" s="29"/>
      <c r="E341" s="29"/>
      <c r="F341" s="29"/>
    </row>
    <row r="342" customFormat="false" ht="15" hidden="false" customHeight="false" outlineLevel="0" collapsed="false">
      <c r="A342" s="28"/>
      <c r="B342" s="29"/>
      <c r="C342" s="29"/>
      <c r="D342" s="29"/>
      <c r="E342" s="29"/>
      <c r="F342" s="29"/>
    </row>
    <row r="343" customFormat="false" ht="15" hidden="false" customHeight="false" outlineLevel="0" collapsed="false">
      <c r="A343" s="28"/>
      <c r="B343" s="29"/>
      <c r="C343" s="29"/>
      <c r="D343" s="29"/>
      <c r="E343" s="29"/>
      <c r="F343" s="29"/>
    </row>
    <row r="344" customFormat="false" ht="15" hidden="false" customHeight="false" outlineLevel="0" collapsed="false">
      <c r="A344" s="28"/>
      <c r="B344" s="29"/>
      <c r="C344" s="29"/>
      <c r="D344" s="29"/>
      <c r="E344" s="29"/>
      <c r="F344" s="29"/>
    </row>
    <row r="345" customFormat="false" ht="15" hidden="false" customHeight="false" outlineLevel="0" collapsed="false">
      <c r="A345" s="28"/>
      <c r="B345" s="29"/>
      <c r="C345" s="29"/>
      <c r="D345" s="29"/>
      <c r="E345" s="29"/>
      <c r="F345" s="29"/>
    </row>
    <row r="346" customFormat="false" ht="15" hidden="false" customHeight="false" outlineLevel="0" collapsed="false">
      <c r="A346" s="28"/>
      <c r="B346" s="29"/>
      <c r="C346" s="29"/>
      <c r="D346" s="29"/>
      <c r="E346" s="29"/>
      <c r="F346" s="29"/>
    </row>
    <row r="347" customFormat="false" ht="15" hidden="false" customHeight="false" outlineLevel="0" collapsed="false">
      <c r="A347" s="28"/>
      <c r="B347" s="29"/>
      <c r="C347" s="29"/>
      <c r="D347" s="29"/>
      <c r="E347" s="29"/>
      <c r="F347" s="29"/>
    </row>
    <row r="348" customFormat="false" ht="15" hidden="false" customHeight="false" outlineLevel="0" collapsed="false">
      <c r="A348" s="28"/>
      <c r="B348" s="29"/>
      <c r="C348" s="29"/>
      <c r="D348" s="29"/>
      <c r="E348" s="29"/>
      <c r="F348" s="29"/>
    </row>
    <row r="349" customFormat="false" ht="15" hidden="false" customHeight="false" outlineLevel="0" collapsed="false">
      <c r="A349" s="28"/>
      <c r="B349" s="29"/>
      <c r="C349" s="29"/>
      <c r="D349" s="29"/>
      <c r="E349" s="29"/>
      <c r="F349" s="29"/>
    </row>
    <row r="350" customFormat="false" ht="15" hidden="false" customHeight="false" outlineLevel="0" collapsed="false">
      <c r="A350" s="28"/>
      <c r="B350" s="29"/>
      <c r="C350" s="29"/>
      <c r="D350" s="29"/>
      <c r="E350" s="29"/>
      <c r="F350" s="29"/>
    </row>
    <row r="351" customFormat="false" ht="15" hidden="false" customHeight="false" outlineLevel="0" collapsed="false">
      <c r="A351" s="28"/>
      <c r="B351" s="29"/>
      <c r="C351" s="29"/>
      <c r="D351" s="29"/>
      <c r="E351" s="29"/>
      <c r="F351" s="29"/>
    </row>
    <row r="352" customFormat="false" ht="15" hidden="false" customHeight="false" outlineLevel="0" collapsed="false">
      <c r="A352" s="28"/>
      <c r="B352" s="29"/>
      <c r="C352" s="29"/>
      <c r="D352" s="29"/>
      <c r="E352" s="29"/>
      <c r="F352" s="29"/>
    </row>
    <row r="353" customFormat="false" ht="15" hidden="false" customHeight="false" outlineLevel="0" collapsed="false">
      <c r="A353" s="28"/>
      <c r="B353" s="29"/>
      <c r="C353" s="29"/>
      <c r="D353" s="29"/>
      <c r="E353" s="29"/>
      <c r="F353" s="29"/>
    </row>
    <row r="354" customFormat="false" ht="15" hidden="false" customHeight="false" outlineLevel="0" collapsed="false">
      <c r="A354" s="28"/>
      <c r="B354" s="29"/>
      <c r="C354" s="29"/>
      <c r="D354" s="29"/>
      <c r="E354" s="29"/>
      <c r="F354" s="29"/>
    </row>
    <row r="355" customFormat="false" ht="15" hidden="false" customHeight="false" outlineLevel="0" collapsed="false">
      <c r="A355" s="28"/>
      <c r="B355" s="29"/>
      <c r="C355" s="29"/>
      <c r="D355" s="29"/>
      <c r="E355" s="29"/>
      <c r="F355" s="29"/>
    </row>
    <row r="356" customFormat="false" ht="15" hidden="false" customHeight="false" outlineLevel="0" collapsed="false">
      <c r="A356" s="28"/>
      <c r="B356" s="29"/>
      <c r="C356" s="29"/>
      <c r="D356" s="29"/>
      <c r="E356" s="29"/>
      <c r="F356" s="29"/>
    </row>
    <row r="357" customFormat="false" ht="15" hidden="false" customHeight="false" outlineLevel="0" collapsed="false">
      <c r="A357" s="28"/>
      <c r="B357" s="29"/>
      <c r="C357" s="29"/>
      <c r="D357" s="29"/>
      <c r="E357" s="29"/>
      <c r="F357" s="29"/>
    </row>
    <row r="358" customFormat="false" ht="15" hidden="false" customHeight="false" outlineLevel="0" collapsed="false">
      <c r="A358" s="28"/>
      <c r="B358" s="29"/>
      <c r="C358" s="29"/>
      <c r="D358" s="29"/>
      <c r="E358" s="29"/>
      <c r="F358" s="29"/>
    </row>
    <row r="359" customFormat="false" ht="15" hidden="false" customHeight="false" outlineLevel="0" collapsed="false">
      <c r="A359" s="28"/>
      <c r="B359" s="29"/>
      <c r="C359" s="29"/>
      <c r="D359" s="29"/>
      <c r="E359" s="29"/>
      <c r="F359" s="29"/>
    </row>
    <row r="360" customFormat="false" ht="15" hidden="false" customHeight="false" outlineLevel="0" collapsed="false">
      <c r="A360" s="28"/>
      <c r="B360" s="29"/>
      <c r="C360" s="29"/>
      <c r="D360" s="29"/>
      <c r="E360" s="29"/>
      <c r="F360" s="29"/>
    </row>
    <row r="361" customFormat="false" ht="15" hidden="false" customHeight="false" outlineLevel="0" collapsed="false">
      <c r="A361" s="28"/>
      <c r="B361" s="29"/>
      <c r="C361" s="29"/>
      <c r="D361" s="29"/>
      <c r="E361" s="29"/>
      <c r="F361" s="29"/>
    </row>
    <row r="362" customFormat="false" ht="15" hidden="false" customHeight="false" outlineLevel="0" collapsed="false">
      <c r="A362" s="28"/>
      <c r="B362" s="29"/>
      <c r="C362" s="29"/>
      <c r="D362" s="29"/>
      <c r="E362" s="29"/>
      <c r="F362" s="29"/>
    </row>
    <row r="363" customFormat="false" ht="15" hidden="false" customHeight="false" outlineLevel="0" collapsed="false">
      <c r="A363" s="28"/>
      <c r="B363" s="29"/>
      <c r="C363" s="29"/>
      <c r="D363" s="29"/>
      <c r="E363" s="29"/>
      <c r="F363" s="29"/>
    </row>
    <row r="364" customFormat="false" ht="15" hidden="false" customHeight="false" outlineLevel="0" collapsed="false">
      <c r="A364" s="28"/>
      <c r="B364" s="29"/>
      <c r="C364" s="29"/>
      <c r="D364" s="29"/>
      <c r="E364" s="29"/>
      <c r="F364" s="29"/>
    </row>
    <row r="365" customFormat="false" ht="15" hidden="false" customHeight="false" outlineLevel="0" collapsed="false">
      <c r="A365" s="28"/>
      <c r="B365" s="29"/>
      <c r="C365" s="29"/>
      <c r="D365" s="29"/>
      <c r="E365" s="29"/>
      <c r="F365" s="29"/>
    </row>
    <row r="366" customFormat="false" ht="15" hidden="false" customHeight="false" outlineLevel="0" collapsed="false">
      <c r="A366" s="28"/>
      <c r="B366" s="29"/>
      <c r="C366" s="29"/>
      <c r="D366" s="29"/>
      <c r="E366" s="29"/>
      <c r="F366" s="29"/>
    </row>
    <row r="367" customFormat="false" ht="15" hidden="false" customHeight="false" outlineLevel="0" collapsed="false">
      <c r="A367" s="28"/>
      <c r="B367" s="29"/>
      <c r="C367" s="29"/>
      <c r="D367" s="29"/>
      <c r="E367" s="29"/>
      <c r="F367" s="29"/>
    </row>
    <row r="368" customFormat="false" ht="15" hidden="false" customHeight="false" outlineLevel="0" collapsed="false">
      <c r="A368" s="28"/>
      <c r="B368" s="29"/>
      <c r="C368" s="29"/>
      <c r="D368" s="29"/>
      <c r="E368" s="29"/>
      <c r="F368" s="29"/>
    </row>
    <row r="369" customFormat="false" ht="15" hidden="false" customHeight="false" outlineLevel="0" collapsed="false">
      <c r="A369" s="28"/>
      <c r="B369" s="29"/>
      <c r="C369" s="29"/>
      <c r="D369" s="29"/>
      <c r="E369" s="29"/>
      <c r="F369" s="29"/>
    </row>
    <row r="370" customFormat="false" ht="15" hidden="false" customHeight="false" outlineLevel="0" collapsed="false">
      <c r="A370" s="28"/>
      <c r="B370" s="29"/>
      <c r="C370" s="29"/>
      <c r="D370" s="29"/>
      <c r="E370" s="29"/>
      <c r="F370" s="29"/>
    </row>
    <row r="371" customFormat="false" ht="15" hidden="false" customHeight="false" outlineLevel="0" collapsed="false">
      <c r="A371" s="28"/>
      <c r="B371" s="29"/>
      <c r="C371" s="29"/>
      <c r="D371" s="29"/>
      <c r="E371" s="29"/>
      <c r="F371" s="29"/>
    </row>
    <row r="372" customFormat="false" ht="15" hidden="false" customHeight="false" outlineLevel="0" collapsed="false">
      <c r="A372" s="28"/>
      <c r="B372" s="29"/>
      <c r="C372" s="29"/>
      <c r="D372" s="29"/>
      <c r="E372" s="29"/>
      <c r="F372" s="29"/>
    </row>
    <row r="373" customFormat="false" ht="15" hidden="false" customHeight="false" outlineLevel="0" collapsed="false">
      <c r="A373" s="28"/>
      <c r="B373" s="29"/>
      <c r="C373" s="29"/>
      <c r="D373" s="29"/>
      <c r="E373" s="29"/>
      <c r="F373" s="29"/>
    </row>
    <row r="374" customFormat="false" ht="15" hidden="false" customHeight="false" outlineLevel="0" collapsed="false">
      <c r="A374" s="28"/>
      <c r="B374" s="29"/>
      <c r="C374" s="29"/>
      <c r="D374" s="29"/>
      <c r="E374" s="29"/>
      <c r="F374" s="29"/>
    </row>
    <row r="375" customFormat="false" ht="15" hidden="false" customHeight="false" outlineLevel="0" collapsed="false">
      <c r="A375" s="28"/>
      <c r="B375" s="29"/>
      <c r="C375" s="29"/>
      <c r="D375" s="29"/>
      <c r="E375" s="29"/>
      <c r="F375" s="29"/>
    </row>
    <row r="376" customFormat="false" ht="15" hidden="false" customHeight="false" outlineLevel="0" collapsed="false">
      <c r="A376" s="28"/>
      <c r="B376" s="29"/>
      <c r="C376" s="29"/>
      <c r="D376" s="29"/>
      <c r="E376" s="29"/>
      <c r="F376" s="29"/>
    </row>
    <row r="377" customFormat="false" ht="15" hidden="false" customHeight="false" outlineLevel="0" collapsed="false">
      <c r="A377" s="28"/>
      <c r="B377" s="29"/>
      <c r="C377" s="29"/>
      <c r="D377" s="29"/>
      <c r="E377" s="29"/>
      <c r="F377" s="29"/>
    </row>
    <row r="378" customFormat="false" ht="15" hidden="false" customHeight="false" outlineLevel="0" collapsed="false">
      <c r="A378" s="28"/>
      <c r="B378" s="29"/>
      <c r="C378" s="29"/>
      <c r="D378" s="29"/>
      <c r="E378" s="29"/>
      <c r="F378" s="29"/>
    </row>
    <row r="379" customFormat="false" ht="15" hidden="false" customHeight="false" outlineLevel="0" collapsed="false">
      <c r="A379" s="28"/>
      <c r="B379" s="29"/>
      <c r="C379" s="29"/>
      <c r="D379" s="29"/>
      <c r="E379" s="29"/>
      <c r="F379" s="29"/>
    </row>
    <row r="380" customFormat="false" ht="15" hidden="false" customHeight="false" outlineLevel="0" collapsed="false">
      <c r="A380" s="28"/>
      <c r="B380" s="29"/>
      <c r="C380" s="29"/>
      <c r="D380" s="29"/>
      <c r="E380" s="29"/>
      <c r="F380" s="29"/>
    </row>
    <row r="381" customFormat="false" ht="15" hidden="false" customHeight="false" outlineLevel="0" collapsed="false">
      <c r="A381" s="28"/>
      <c r="B381" s="29"/>
      <c r="C381" s="29"/>
      <c r="D381" s="29"/>
      <c r="E381" s="29"/>
      <c r="F381" s="29"/>
    </row>
    <row r="382" customFormat="false" ht="15" hidden="false" customHeight="false" outlineLevel="0" collapsed="false">
      <c r="A382" s="28"/>
      <c r="B382" s="29"/>
      <c r="C382" s="29"/>
      <c r="D382" s="29"/>
      <c r="E382" s="29"/>
      <c r="F382" s="29"/>
    </row>
    <row r="383" customFormat="false" ht="15" hidden="false" customHeight="false" outlineLevel="0" collapsed="false">
      <c r="A383" s="28"/>
      <c r="B383" s="29"/>
      <c r="C383" s="29"/>
      <c r="D383" s="29"/>
      <c r="E383" s="29"/>
      <c r="F383" s="29"/>
    </row>
    <row r="384" customFormat="false" ht="15" hidden="false" customHeight="false" outlineLevel="0" collapsed="false">
      <c r="A384" s="28"/>
      <c r="B384" s="29"/>
      <c r="C384" s="29"/>
      <c r="D384" s="29"/>
      <c r="E384" s="29"/>
      <c r="F384" s="29"/>
    </row>
    <row r="385" customFormat="false" ht="15" hidden="false" customHeight="false" outlineLevel="0" collapsed="false">
      <c r="A385" s="28"/>
      <c r="B385" s="29"/>
      <c r="C385" s="29"/>
      <c r="D385" s="29"/>
      <c r="E385" s="29"/>
      <c r="F385" s="29"/>
    </row>
    <row r="386" customFormat="false" ht="15" hidden="false" customHeight="false" outlineLevel="0" collapsed="false">
      <c r="A386" s="28"/>
      <c r="B386" s="29"/>
      <c r="C386" s="29"/>
      <c r="D386" s="29"/>
      <c r="E386" s="29"/>
      <c r="F386" s="29"/>
    </row>
    <row r="387" customFormat="false" ht="15" hidden="false" customHeight="false" outlineLevel="0" collapsed="false">
      <c r="A387" s="28"/>
      <c r="B387" s="29"/>
      <c r="C387" s="29"/>
      <c r="D387" s="29"/>
      <c r="E387" s="29"/>
      <c r="F387" s="29"/>
    </row>
    <row r="388" customFormat="false" ht="15" hidden="false" customHeight="false" outlineLevel="0" collapsed="false">
      <c r="A388" s="28"/>
      <c r="B388" s="29"/>
      <c r="C388" s="29"/>
      <c r="D388" s="29"/>
      <c r="E388" s="29"/>
      <c r="F388" s="29"/>
    </row>
    <row r="389" customFormat="false" ht="15" hidden="false" customHeight="false" outlineLevel="0" collapsed="false">
      <c r="A389" s="28"/>
      <c r="B389" s="29"/>
      <c r="C389" s="29"/>
      <c r="D389" s="29"/>
      <c r="E389" s="29"/>
      <c r="F389" s="29"/>
    </row>
    <row r="390" customFormat="false" ht="15" hidden="false" customHeight="false" outlineLevel="0" collapsed="false">
      <c r="A390" s="28"/>
      <c r="B390" s="29"/>
      <c r="C390" s="29"/>
      <c r="D390" s="29"/>
      <c r="E390" s="29"/>
      <c r="F390" s="29"/>
    </row>
    <row r="391" customFormat="false" ht="15" hidden="false" customHeight="false" outlineLevel="0" collapsed="false">
      <c r="A391" s="28"/>
      <c r="B391" s="29"/>
      <c r="C391" s="29"/>
      <c r="D391" s="29"/>
      <c r="E391" s="29"/>
      <c r="F391" s="29"/>
    </row>
    <row r="392" customFormat="false" ht="15" hidden="false" customHeight="false" outlineLevel="0" collapsed="false">
      <c r="A392" s="28"/>
      <c r="B392" s="29"/>
      <c r="C392" s="29"/>
      <c r="D392" s="29"/>
      <c r="E392" s="29"/>
      <c r="F392" s="29"/>
    </row>
    <row r="393" customFormat="false" ht="15" hidden="false" customHeight="false" outlineLevel="0" collapsed="false">
      <c r="A393" s="28"/>
      <c r="B393" s="29"/>
      <c r="C393" s="29"/>
      <c r="D393" s="29"/>
      <c r="E393" s="29"/>
      <c r="F393" s="29"/>
    </row>
    <row r="394" customFormat="false" ht="15" hidden="false" customHeight="false" outlineLevel="0" collapsed="false">
      <c r="A394" s="28"/>
      <c r="B394" s="29"/>
      <c r="C394" s="29"/>
      <c r="D394" s="29"/>
      <c r="E394" s="29"/>
      <c r="F394" s="29"/>
    </row>
    <row r="395" customFormat="false" ht="15" hidden="false" customHeight="false" outlineLevel="0" collapsed="false">
      <c r="A395" s="28"/>
      <c r="B395" s="29"/>
      <c r="C395" s="29"/>
      <c r="D395" s="29"/>
      <c r="E395" s="29"/>
      <c r="F395" s="29"/>
    </row>
    <row r="396" customFormat="false" ht="15" hidden="false" customHeight="false" outlineLevel="0" collapsed="false">
      <c r="A396" s="28"/>
      <c r="B396" s="29"/>
      <c r="C396" s="29"/>
      <c r="D396" s="29"/>
      <c r="E396" s="29"/>
      <c r="F396" s="29"/>
    </row>
    <row r="397" customFormat="false" ht="15" hidden="false" customHeight="false" outlineLevel="0" collapsed="false">
      <c r="A397" s="28"/>
      <c r="B397" s="29"/>
      <c r="C397" s="29"/>
      <c r="D397" s="29"/>
      <c r="E397" s="29"/>
      <c r="F397" s="29"/>
    </row>
    <row r="398" customFormat="false" ht="15" hidden="false" customHeight="false" outlineLevel="0" collapsed="false">
      <c r="A398" s="28"/>
      <c r="B398" s="29"/>
      <c r="C398" s="29"/>
      <c r="D398" s="29"/>
      <c r="E398" s="29"/>
      <c r="F398" s="29"/>
    </row>
    <row r="399" customFormat="false" ht="15" hidden="false" customHeight="false" outlineLevel="0" collapsed="false">
      <c r="A399" s="28"/>
      <c r="B399" s="29"/>
      <c r="C399" s="29"/>
      <c r="D399" s="29"/>
      <c r="E399" s="29"/>
      <c r="F399" s="29"/>
    </row>
    <row r="400" customFormat="false" ht="15" hidden="false" customHeight="false" outlineLevel="0" collapsed="false">
      <c r="A400" s="28"/>
      <c r="B400" s="29"/>
      <c r="C400" s="29"/>
      <c r="D400" s="29"/>
      <c r="E400" s="29"/>
      <c r="F400" s="29"/>
    </row>
    <row r="401" customFormat="false" ht="15" hidden="false" customHeight="false" outlineLevel="0" collapsed="false">
      <c r="A401" s="28"/>
      <c r="B401" s="29"/>
      <c r="C401" s="29"/>
      <c r="D401" s="29"/>
      <c r="E401" s="29"/>
      <c r="F401" s="29"/>
    </row>
    <row r="402" customFormat="false" ht="15" hidden="false" customHeight="false" outlineLevel="0" collapsed="false">
      <c r="A402" s="28"/>
      <c r="B402" s="29"/>
      <c r="C402" s="29"/>
      <c r="D402" s="29"/>
      <c r="E402" s="29"/>
      <c r="F402" s="29"/>
    </row>
    <row r="403" customFormat="false" ht="15" hidden="false" customHeight="false" outlineLevel="0" collapsed="false">
      <c r="A403" s="28"/>
      <c r="B403" s="29"/>
      <c r="C403" s="29"/>
      <c r="D403" s="29"/>
      <c r="E403" s="29"/>
      <c r="F403" s="29"/>
    </row>
    <row r="404" customFormat="false" ht="15" hidden="false" customHeight="false" outlineLevel="0" collapsed="false">
      <c r="A404" s="28"/>
      <c r="B404" s="29"/>
      <c r="C404" s="29"/>
      <c r="D404" s="29"/>
      <c r="E404" s="29"/>
      <c r="F404" s="29"/>
    </row>
    <row r="405" customFormat="false" ht="15" hidden="false" customHeight="false" outlineLevel="0" collapsed="false">
      <c r="A405" s="28"/>
      <c r="B405" s="29"/>
      <c r="C405" s="29"/>
      <c r="D405" s="29"/>
      <c r="E405" s="29"/>
      <c r="F405" s="29"/>
    </row>
    <row r="406" customFormat="false" ht="15" hidden="false" customHeight="false" outlineLevel="0" collapsed="false">
      <c r="A406" s="28"/>
      <c r="B406" s="29"/>
      <c r="C406" s="29"/>
      <c r="D406" s="29"/>
      <c r="E406" s="29"/>
      <c r="F406" s="29"/>
    </row>
    <row r="407" customFormat="false" ht="15" hidden="false" customHeight="false" outlineLevel="0" collapsed="false">
      <c r="A407" s="28"/>
      <c r="B407" s="29"/>
      <c r="C407" s="29"/>
      <c r="D407" s="29"/>
      <c r="E407" s="29"/>
      <c r="F407" s="29"/>
    </row>
    <row r="408" customFormat="false" ht="15" hidden="false" customHeight="false" outlineLevel="0" collapsed="false">
      <c r="A408" s="28"/>
      <c r="B408" s="29"/>
      <c r="C408" s="29"/>
      <c r="D408" s="29"/>
      <c r="E408" s="29"/>
      <c r="F408" s="29"/>
    </row>
    <row r="409" customFormat="false" ht="15" hidden="false" customHeight="false" outlineLevel="0" collapsed="false">
      <c r="A409" s="28"/>
      <c r="B409" s="29"/>
      <c r="C409" s="29"/>
      <c r="D409" s="29"/>
      <c r="E409" s="29"/>
      <c r="F409" s="29"/>
    </row>
    <row r="410" customFormat="false" ht="15" hidden="false" customHeight="false" outlineLevel="0" collapsed="false">
      <c r="A410" s="28"/>
      <c r="B410" s="29"/>
      <c r="C410" s="29"/>
      <c r="D410" s="29"/>
      <c r="E410" s="29"/>
      <c r="F410" s="29"/>
    </row>
    <row r="411" customFormat="false" ht="15" hidden="false" customHeight="false" outlineLevel="0" collapsed="false">
      <c r="A411" s="28"/>
      <c r="B411" s="29"/>
      <c r="C411" s="29"/>
      <c r="D411" s="29"/>
      <c r="E411" s="29"/>
      <c r="F411" s="29"/>
    </row>
    <row r="412" customFormat="false" ht="15" hidden="false" customHeight="false" outlineLevel="0" collapsed="false">
      <c r="A412" s="28"/>
      <c r="B412" s="29"/>
      <c r="C412" s="29"/>
      <c r="D412" s="29"/>
      <c r="E412" s="29"/>
      <c r="F412" s="29"/>
    </row>
    <row r="413" customFormat="false" ht="15" hidden="false" customHeight="false" outlineLevel="0" collapsed="false">
      <c r="A413" s="28"/>
      <c r="B413" s="29"/>
      <c r="C413" s="29"/>
      <c r="D413" s="29"/>
      <c r="E413" s="29"/>
      <c r="F413" s="29"/>
    </row>
    <row r="414" customFormat="false" ht="15" hidden="false" customHeight="false" outlineLevel="0" collapsed="false">
      <c r="A414" s="28"/>
      <c r="B414" s="29"/>
      <c r="C414" s="29"/>
      <c r="D414" s="29"/>
      <c r="E414" s="29"/>
      <c r="F414" s="29"/>
    </row>
    <row r="415" customFormat="false" ht="15" hidden="false" customHeight="false" outlineLevel="0" collapsed="false">
      <c r="A415" s="28"/>
      <c r="B415" s="29"/>
      <c r="C415" s="29"/>
      <c r="D415" s="29"/>
      <c r="E415" s="29"/>
      <c r="F415" s="29"/>
    </row>
    <row r="416" customFormat="false" ht="15" hidden="false" customHeight="false" outlineLevel="0" collapsed="false">
      <c r="A416" s="28"/>
      <c r="B416" s="29"/>
      <c r="C416" s="29"/>
      <c r="D416" s="29"/>
      <c r="E416" s="29"/>
      <c r="F416" s="29"/>
    </row>
    <row r="417" customFormat="false" ht="15" hidden="false" customHeight="false" outlineLevel="0" collapsed="false">
      <c r="A417" s="28"/>
      <c r="B417" s="29"/>
      <c r="C417" s="29"/>
      <c r="D417" s="29"/>
      <c r="E417" s="29"/>
      <c r="F417" s="29"/>
    </row>
    <row r="418" customFormat="false" ht="15" hidden="false" customHeight="false" outlineLevel="0" collapsed="false">
      <c r="A418" s="28"/>
      <c r="B418" s="29"/>
      <c r="C418" s="29"/>
      <c r="D418" s="29"/>
      <c r="E418" s="29"/>
      <c r="F418" s="29"/>
    </row>
    <row r="419" customFormat="false" ht="15" hidden="false" customHeight="false" outlineLevel="0" collapsed="false">
      <c r="A419" s="28"/>
      <c r="B419" s="29"/>
      <c r="C419" s="29"/>
      <c r="D419" s="29"/>
      <c r="E419" s="29"/>
      <c r="F419" s="29"/>
    </row>
    <row r="420" customFormat="false" ht="15" hidden="false" customHeight="false" outlineLevel="0" collapsed="false">
      <c r="A420" s="28"/>
      <c r="B420" s="29"/>
      <c r="C420" s="29"/>
      <c r="D420" s="29"/>
      <c r="E420" s="29"/>
      <c r="F420" s="29"/>
    </row>
    <row r="421" customFormat="false" ht="15" hidden="false" customHeight="false" outlineLevel="0" collapsed="false">
      <c r="A421" s="28"/>
      <c r="B421" s="29"/>
      <c r="C421" s="29"/>
      <c r="D421" s="29"/>
      <c r="E421" s="29"/>
      <c r="F421" s="29"/>
    </row>
    <row r="422" customFormat="false" ht="15" hidden="false" customHeight="false" outlineLevel="0" collapsed="false">
      <c r="A422" s="28"/>
      <c r="B422" s="29"/>
      <c r="C422" s="29"/>
      <c r="D422" s="29"/>
      <c r="E422" s="29"/>
      <c r="F422" s="29"/>
    </row>
    <row r="423" customFormat="false" ht="15" hidden="false" customHeight="false" outlineLevel="0" collapsed="false">
      <c r="A423" s="28"/>
      <c r="B423" s="29"/>
      <c r="C423" s="29"/>
      <c r="D423" s="29"/>
      <c r="E423" s="29"/>
      <c r="F423" s="29"/>
    </row>
    <row r="424" customFormat="false" ht="15" hidden="false" customHeight="false" outlineLevel="0" collapsed="false">
      <c r="A424" s="28"/>
      <c r="B424" s="29"/>
      <c r="C424" s="29"/>
      <c r="D424" s="29"/>
      <c r="E424" s="29"/>
      <c r="F424" s="29"/>
    </row>
    <row r="425" customFormat="false" ht="15" hidden="false" customHeight="false" outlineLevel="0" collapsed="false">
      <c r="A425" s="28"/>
      <c r="B425" s="29"/>
      <c r="C425" s="29"/>
      <c r="D425" s="29"/>
      <c r="E425" s="29"/>
      <c r="F425" s="29"/>
    </row>
    <row r="426" customFormat="false" ht="15" hidden="false" customHeight="false" outlineLevel="0" collapsed="false">
      <c r="A426" s="28"/>
      <c r="B426" s="29"/>
      <c r="C426" s="29"/>
      <c r="D426" s="29"/>
      <c r="E426" s="29"/>
      <c r="F426" s="29"/>
    </row>
    <row r="427" customFormat="false" ht="15" hidden="false" customHeight="false" outlineLevel="0" collapsed="false">
      <c r="A427" s="28"/>
      <c r="B427" s="29"/>
      <c r="C427" s="29"/>
      <c r="D427" s="29"/>
      <c r="E427" s="29"/>
      <c r="F427" s="29"/>
    </row>
    <row r="428" customFormat="false" ht="15" hidden="false" customHeight="false" outlineLevel="0" collapsed="false">
      <c r="A428" s="28"/>
      <c r="B428" s="29"/>
      <c r="C428" s="29"/>
      <c r="D428" s="29"/>
      <c r="E428" s="29"/>
      <c r="F428" s="29"/>
    </row>
    <row r="429" customFormat="false" ht="15" hidden="false" customHeight="false" outlineLevel="0" collapsed="false">
      <c r="A429" s="28"/>
      <c r="B429" s="29"/>
      <c r="C429" s="29"/>
      <c r="D429" s="29"/>
      <c r="E429" s="29"/>
      <c r="F429" s="29"/>
    </row>
    <row r="430" customFormat="false" ht="15" hidden="false" customHeight="false" outlineLevel="0" collapsed="false">
      <c r="A430" s="28"/>
      <c r="B430" s="29"/>
      <c r="C430" s="29"/>
      <c r="D430" s="29"/>
      <c r="E430" s="29"/>
      <c r="F430" s="29"/>
    </row>
    <row r="431" customFormat="false" ht="15" hidden="false" customHeight="false" outlineLevel="0" collapsed="false">
      <c r="A431" s="28"/>
      <c r="B431" s="29"/>
      <c r="C431" s="29"/>
      <c r="D431" s="29"/>
      <c r="E431" s="29"/>
      <c r="F431" s="29"/>
    </row>
    <row r="432" customFormat="false" ht="15" hidden="false" customHeight="false" outlineLevel="0" collapsed="false">
      <c r="A432" s="28"/>
      <c r="B432" s="29"/>
      <c r="C432" s="29"/>
      <c r="D432" s="29"/>
      <c r="E432" s="29"/>
      <c r="F432" s="29"/>
    </row>
    <row r="433" customFormat="false" ht="15" hidden="false" customHeight="false" outlineLevel="0" collapsed="false">
      <c r="A433" s="28"/>
      <c r="B433" s="29"/>
      <c r="C433" s="29"/>
      <c r="D433" s="29"/>
      <c r="E433" s="29"/>
      <c r="F433" s="29"/>
    </row>
    <row r="434" customFormat="false" ht="15" hidden="false" customHeight="false" outlineLevel="0" collapsed="false">
      <c r="A434" s="28"/>
      <c r="B434" s="29"/>
      <c r="C434" s="29"/>
      <c r="D434" s="29"/>
      <c r="E434" s="29"/>
      <c r="F434" s="29"/>
    </row>
    <row r="435" customFormat="false" ht="15" hidden="false" customHeight="false" outlineLevel="0" collapsed="false">
      <c r="A435" s="28"/>
      <c r="B435" s="29"/>
      <c r="C435" s="29"/>
      <c r="D435" s="29"/>
      <c r="E435" s="29"/>
      <c r="F435" s="29"/>
    </row>
    <row r="436" customFormat="false" ht="15" hidden="false" customHeight="false" outlineLevel="0" collapsed="false">
      <c r="A436" s="28"/>
      <c r="B436" s="29"/>
      <c r="C436" s="29"/>
      <c r="D436" s="29"/>
      <c r="E436" s="29"/>
      <c r="F436" s="29"/>
    </row>
    <row r="437" customFormat="false" ht="15" hidden="false" customHeight="false" outlineLevel="0" collapsed="false">
      <c r="A437" s="28"/>
      <c r="B437" s="29"/>
      <c r="C437" s="29"/>
      <c r="D437" s="29"/>
      <c r="E437" s="29"/>
      <c r="F437" s="29"/>
    </row>
    <row r="438" customFormat="false" ht="15" hidden="false" customHeight="false" outlineLevel="0" collapsed="false">
      <c r="A438" s="28"/>
      <c r="B438" s="29"/>
      <c r="C438" s="29"/>
      <c r="D438" s="29"/>
      <c r="E438" s="29"/>
      <c r="F438" s="29"/>
    </row>
    <row r="439" customFormat="false" ht="15" hidden="false" customHeight="false" outlineLevel="0" collapsed="false">
      <c r="A439" s="28"/>
      <c r="B439" s="29"/>
      <c r="C439" s="29"/>
      <c r="D439" s="29"/>
      <c r="E439" s="29"/>
      <c r="F439" s="29"/>
    </row>
    <row r="440" customFormat="false" ht="15" hidden="false" customHeight="false" outlineLevel="0" collapsed="false">
      <c r="A440" s="28"/>
      <c r="B440" s="29"/>
      <c r="C440" s="29"/>
      <c r="D440" s="29"/>
      <c r="E440" s="29"/>
      <c r="F440" s="29"/>
    </row>
    <row r="441" customFormat="false" ht="15" hidden="false" customHeight="false" outlineLevel="0" collapsed="false">
      <c r="A441" s="28"/>
      <c r="B441" s="29"/>
      <c r="C441" s="29"/>
      <c r="D441" s="29"/>
      <c r="E441" s="29"/>
      <c r="F441" s="29"/>
    </row>
    <row r="442" customFormat="false" ht="15" hidden="false" customHeight="false" outlineLevel="0" collapsed="false">
      <c r="A442" s="28"/>
      <c r="B442" s="29"/>
      <c r="C442" s="29"/>
      <c r="D442" s="29"/>
      <c r="E442" s="29"/>
      <c r="F442" s="29"/>
    </row>
    <row r="443" customFormat="false" ht="15" hidden="false" customHeight="false" outlineLevel="0" collapsed="false">
      <c r="A443" s="28"/>
      <c r="B443" s="29"/>
      <c r="C443" s="29"/>
      <c r="D443" s="29"/>
      <c r="E443" s="29"/>
      <c r="F443" s="29"/>
    </row>
    <row r="444" customFormat="false" ht="15" hidden="false" customHeight="false" outlineLevel="0" collapsed="false">
      <c r="A444" s="28"/>
      <c r="B444" s="29"/>
      <c r="C444" s="29"/>
      <c r="D444" s="29"/>
      <c r="E444" s="29"/>
      <c r="F444" s="29"/>
    </row>
    <row r="445" customFormat="false" ht="15" hidden="false" customHeight="false" outlineLevel="0" collapsed="false">
      <c r="A445" s="28"/>
      <c r="B445" s="29"/>
      <c r="C445" s="29"/>
      <c r="D445" s="29"/>
      <c r="E445" s="29"/>
      <c r="F445" s="29"/>
    </row>
    <row r="446" customFormat="false" ht="15" hidden="false" customHeight="false" outlineLevel="0" collapsed="false">
      <c r="A446" s="28"/>
      <c r="B446" s="29"/>
      <c r="C446" s="29"/>
      <c r="D446" s="29"/>
      <c r="E446" s="29"/>
      <c r="F446" s="29"/>
    </row>
    <row r="447" customFormat="false" ht="15" hidden="false" customHeight="false" outlineLevel="0" collapsed="false">
      <c r="A447" s="28"/>
      <c r="B447" s="29"/>
      <c r="C447" s="29"/>
      <c r="D447" s="29"/>
      <c r="E447" s="29"/>
      <c r="F447" s="29"/>
    </row>
    <row r="448" customFormat="false" ht="15" hidden="false" customHeight="false" outlineLevel="0" collapsed="false">
      <c r="A448" s="28"/>
      <c r="B448" s="29"/>
      <c r="C448" s="29"/>
      <c r="D448" s="29"/>
      <c r="E448" s="29"/>
      <c r="F448" s="29"/>
    </row>
    <row r="449" customFormat="false" ht="15" hidden="false" customHeight="false" outlineLevel="0" collapsed="false">
      <c r="A449" s="28"/>
      <c r="B449" s="29"/>
      <c r="C449" s="29"/>
      <c r="D449" s="29"/>
      <c r="E449" s="29"/>
      <c r="F449" s="29"/>
    </row>
    <row r="450" customFormat="false" ht="15" hidden="false" customHeight="false" outlineLevel="0" collapsed="false">
      <c r="A450" s="28"/>
      <c r="B450" s="29"/>
      <c r="C450" s="29"/>
      <c r="D450" s="29"/>
      <c r="E450" s="29"/>
      <c r="F450" s="29"/>
    </row>
    <row r="451" customFormat="false" ht="15" hidden="false" customHeight="false" outlineLevel="0" collapsed="false">
      <c r="A451" s="28"/>
      <c r="B451" s="29"/>
      <c r="C451" s="29"/>
      <c r="D451" s="29"/>
      <c r="E451" s="29"/>
      <c r="F451" s="29"/>
    </row>
    <row r="452" customFormat="false" ht="15" hidden="false" customHeight="false" outlineLevel="0" collapsed="false">
      <c r="A452" s="28"/>
      <c r="B452" s="29"/>
      <c r="C452" s="29"/>
      <c r="D452" s="29"/>
      <c r="E452" s="29"/>
      <c r="F452" s="29"/>
    </row>
    <row r="453" customFormat="false" ht="15" hidden="false" customHeight="false" outlineLevel="0" collapsed="false">
      <c r="A453" s="28"/>
      <c r="B453" s="29"/>
      <c r="C453" s="29"/>
      <c r="D453" s="29"/>
      <c r="E453" s="29"/>
      <c r="F453" s="29"/>
    </row>
    <row r="454" customFormat="false" ht="15" hidden="false" customHeight="false" outlineLevel="0" collapsed="false">
      <c r="A454" s="28"/>
      <c r="B454" s="29"/>
      <c r="C454" s="29"/>
      <c r="D454" s="29"/>
      <c r="E454" s="29"/>
      <c r="F454" s="29"/>
    </row>
    <row r="455" customFormat="false" ht="15" hidden="false" customHeight="false" outlineLevel="0" collapsed="false">
      <c r="A455" s="28"/>
      <c r="B455" s="29"/>
      <c r="C455" s="29"/>
      <c r="D455" s="29"/>
      <c r="E455" s="29"/>
      <c r="F455" s="29"/>
    </row>
    <row r="456" customFormat="false" ht="15" hidden="false" customHeight="false" outlineLevel="0" collapsed="false">
      <c r="A456" s="28"/>
      <c r="B456" s="29"/>
      <c r="C456" s="29"/>
      <c r="D456" s="29"/>
      <c r="E456" s="29"/>
      <c r="F456" s="29"/>
    </row>
    <row r="457" customFormat="false" ht="15" hidden="false" customHeight="false" outlineLevel="0" collapsed="false">
      <c r="A457" s="28"/>
      <c r="B457" s="29"/>
      <c r="C457" s="29"/>
      <c r="D457" s="29"/>
      <c r="E457" s="29"/>
      <c r="F457" s="29"/>
    </row>
    <row r="458" customFormat="false" ht="15" hidden="false" customHeight="false" outlineLevel="0" collapsed="false">
      <c r="A458" s="28"/>
      <c r="B458" s="29"/>
      <c r="C458" s="29"/>
      <c r="D458" s="29"/>
      <c r="E458" s="29"/>
      <c r="F458" s="29"/>
    </row>
    <row r="459" customFormat="false" ht="15" hidden="false" customHeight="false" outlineLevel="0" collapsed="false">
      <c r="A459" s="28"/>
      <c r="B459" s="29"/>
      <c r="C459" s="29"/>
      <c r="D459" s="29"/>
      <c r="E459" s="29"/>
      <c r="F459" s="29"/>
    </row>
    <row r="460" customFormat="false" ht="15" hidden="false" customHeight="false" outlineLevel="0" collapsed="false">
      <c r="A460" s="28"/>
      <c r="B460" s="29"/>
      <c r="C460" s="29"/>
      <c r="D460" s="29"/>
      <c r="E460" s="29"/>
      <c r="F460" s="29"/>
    </row>
    <row r="461" customFormat="false" ht="15" hidden="false" customHeight="false" outlineLevel="0" collapsed="false">
      <c r="A461" s="28"/>
      <c r="B461" s="29"/>
      <c r="C461" s="29"/>
      <c r="D461" s="29"/>
      <c r="E461" s="29"/>
      <c r="F461" s="29"/>
    </row>
    <row r="462" customFormat="false" ht="15" hidden="false" customHeight="false" outlineLevel="0" collapsed="false">
      <c r="A462" s="28"/>
      <c r="B462" s="29"/>
      <c r="C462" s="29"/>
      <c r="D462" s="29"/>
      <c r="E462" s="29"/>
      <c r="F462" s="29"/>
    </row>
    <row r="463" customFormat="false" ht="15" hidden="false" customHeight="false" outlineLevel="0" collapsed="false">
      <c r="A463" s="28"/>
      <c r="B463" s="29"/>
      <c r="C463" s="29"/>
      <c r="D463" s="29"/>
      <c r="E463" s="29"/>
      <c r="F463" s="29"/>
    </row>
    <row r="464" customFormat="false" ht="15" hidden="false" customHeight="false" outlineLevel="0" collapsed="false">
      <c r="A464" s="28"/>
      <c r="B464" s="29"/>
      <c r="C464" s="29"/>
      <c r="D464" s="29"/>
      <c r="E464" s="29"/>
      <c r="F464" s="29"/>
    </row>
    <row r="465" customFormat="false" ht="15" hidden="false" customHeight="false" outlineLevel="0" collapsed="false">
      <c r="A465" s="28"/>
      <c r="B465" s="29"/>
      <c r="C465" s="29"/>
      <c r="D465" s="29"/>
      <c r="E465" s="29"/>
      <c r="F465" s="29"/>
    </row>
    <row r="466" customFormat="false" ht="15" hidden="false" customHeight="false" outlineLevel="0" collapsed="false">
      <c r="A466" s="28"/>
      <c r="B466" s="29"/>
      <c r="C466" s="29"/>
      <c r="D466" s="29"/>
      <c r="E466" s="29"/>
      <c r="F466" s="29"/>
    </row>
    <row r="467" customFormat="false" ht="15" hidden="false" customHeight="false" outlineLevel="0" collapsed="false">
      <c r="A467" s="28"/>
      <c r="B467" s="29"/>
      <c r="C467" s="29"/>
      <c r="D467" s="29"/>
      <c r="E467" s="29"/>
      <c r="F467" s="29"/>
    </row>
    <row r="468" customFormat="false" ht="15" hidden="false" customHeight="false" outlineLevel="0" collapsed="false">
      <c r="A468" s="28"/>
      <c r="B468" s="29"/>
      <c r="C468" s="29"/>
      <c r="D468" s="29"/>
      <c r="E468" s="29"/>
      <c r="F468" s="29"/>
    </row>
    <row r="469" customFormat="false" ht="15" hidden="false" customHeight="false" outlineLevel="0" collapsed="false">
      <c r="A469" s="28"/>
      <c r="B469" s="29"/>
      <c r="C469" s="29"/>
      <c r="D469" s="29"/>
      <c r="E469" s="29"/>
      <c r="F469" s="29"/>
    </row>
    <row r="470" customFormat="false" ht="15" hidden="false" customHeight="false" outlineLevel="0" collapsed="false">
      <c r="A470" s="28"/>
      <c r="B470" s="29"/>
      <c r="C470" s="29"/>
      <c r="D470" s="29"/>
      <c r="E470" s="29"/>
      <c r="F470" s="29"/>
    </row>
    <row r="471" customFormat="false" ht="15" hidden="false" customHeight="false" outlineLevel="0" collapsed="false">
      <c r="A471" s="28"/>
      <c r="B471" s="29"/>
      <c r="C471" s="29"/>
      <c r="D471" s="29"/>
      <c r="E471" s="29"/>
      <c r="F471" s="29"/>
    </row>
    <row r="472" customFormat="false" ht="15" hidden="false" customHeight="false" outlineLevel="0" collapsed="false">
      <c r="A472" s="28"/>
      <c r="B472" s="29"/>
      <c r="C472" s="29"/>
      <c r="D472" s="29"/>
      <c r="E472" s="29"/>
      <c r="F472" s="29"/>
    </row>
    <row r="473" customFormat="false" ht="15" hidden="false" customHeight="false" outlineLevel="0" collapsed="false">
      <c r="A473" s="28"/>
      <c r="B473" s="29"/>
      <c r="C473" s="29"/>
      <c r="D473" s="29"/>
      <c r="E473" s="29"/>
      <c r="F473" s="29"/>
    </row>
    <row r="474" customFormat="false" ht="15" hidden="false" customHeight="false" outlineLevel="0" collapsed="false">
      <c r="A474" s="28"/>
      <c r="B474" s="29"/>
      <c r="C474" s="29"/>
      <c r="D474" s="29"/>
      <c r="E474" s="29"/>
      <c r="F474" s="29"/>
    </row>
    <row r="475" customFormat="false" ht="15" hidden="false" customHeight="false" outlineLevel="0" collapsed="false">
      <c r="A475" s="28"/>
      <c r="B475" s="29"/>
      <c r="C475" s="29"/>
      <c r="D475" s="29"/>
      <c r="E475" s="29"/>
      <c r="F475" s="29"/>
    </row>
    <row r="476" customFormat="false" ht="15" hidden="false" customHeight="false" outlineLevel="0" collapsed="false">
      <c r="A476" s="28"/>
      <c r="B476" s="29"/>
      <c r="C476" s="29"/>
      <c r="D476" s="29"/>
      <c r="E476" s="29"/>
      <c r="F476" s="29"/>
    </row>
    <row r="477" customFormat="false" ht="15" hidden="false" customHeight="false" outlineLevel="0" collapsed="false">
      <c r="A477" s="28"/>
      <c r="B477" s="29"/>
      <c r="C477" s="29"/>
      <c r="D477" s="29"/>
      <c r="E477" s="29"/>
      <c r="F477" s="29"/>
    </row>
    <row r="478" customFormat="false" ht="15" hidden="false" customHeight="false" outlineLevel="0" collapsed="false">
      <c r="A478" s="28"/>
      <c r="B478" s="29"/>
      <c r="C478" s="29"/>
      <c r="D478" s="29"/>
      <c r="E478" s="29"/>
      <c r="F478" s="29"/>
    </row>
    <row r="479" customFormat="false" ht="15" hidden="false" customHeight="false" outlineLevel="0" collapsed="false">
      <c r="A479" s="28"/>
      <c r="B479" s="29"/>
      <c r="C479" s="29"/>
      <c r="D479" s="29"/>
      <c r="E479" s="29"/>
      <c r="F479" s="29"/>
    </row>
    <row r="480" customFormat="false" ht="15" hidden="false" customHeight="false" outlineLevel="0" collapsed="false">
      <c r="A480" s="28"/>
      <c r="B480" s="29"/>
      <c r="C480" s="29"/>
      <c r="D480" s="29"/>
      <c r="E480" s="29"/>
      <c r="F480" s="29"/>
    </row>
    <row r="481" customFormat="false" ht="15" hidden="false" customHeight="false" outlineLevel="0" collapsed="false">
      <c r="A481" s="28"/>
      <c r="B481" s="29"/>
      <c r="C481" s="29"/>
      <c r="D481" s="29"/>
      <c r="E481" s="29"/>
      <c r="F481" s="29"/>
    </row>
    <row r="482" customFormat="false" ht="15" hidden="false" customHeight="false" outlineLevel="0" collapsed="false">
      <c r="A482" s="28"/>
      <c r="B482" s="29"/>
      <c r="C482" s="29"/>
      <c r="D482" s="29"/>
      <c r="E482" s="29"/>
      <c r="F482" s="29"/>
    </row>
    <row r="483" customFormat="false" ht="15" hidden="false" customHeight="false" outlineLevel="0" collapsed="false">
      <c r="A483" s="28"/>
      <c r="B483" s="29"/>
      <c r="C483" s="29"/>
      <c r="D483" s="29"/>
      <c r="E483" s="29"/>
      <c r="F483" s="29"/>
    </row>
    <row r="484" customFormat="false" ht="15" hidden="false" customHeight="false" outlineLevel="0" collapsed="false">
      <c r="A484" s="28"/>
      <c r="B484" s="29"/>
      <c r="C484" s="29"/>
      <c r="D484" s="29"/>
      <c r="E484" s="29"/>
      <c r="F484" s="29"/>
    </row>
    <row r="485" customFormat="false" ht="15" hidden="false" customHeight="false" outlineLevel="0" collapsed="false">
      <c r="A485" s="28"/>
      <c r="B485" s="29"/>
      <c r="C485" s="29"/>
      <c r="D485" s="29"/>
      <c r="E485" s="29"/>
      <c r="F485" s="29"/>
    </row>
    <row r="486" customFormat="false" ht="15" hidden="false" customHeight="false" outlineLevel="0" collapsed="false">
      <c r="A486" s="28"/>
      <c r="B486" s="29"/>
      <c r="C486" s="29"/>
      <c r="D486" s="29"/>
      <c r="E486" s="29"/>
      <c r="F486" s="29"/>
    </row>
    <row r="487" customFormat="false" ht="15" hidden="false" customHeight="false" outlineLevel="0" collapsed="false">
      <c r="A487" s="28"/>
      <c r="B487" s="29"/>
      <c r="C487" s="29"/>
      <c r="D487" s="29"/>
      <c r="E487" s="29"/>
      <c r="F487" s="29"/>
    </row>
    <row r="488" customFormat="false" ht="15" hidden="false" customHeight="false" outlineLevel="0" collapsed="false">
      <c r="A488" s="28"/>
      <c r="B488" s="29"/>
      <c r="C488" s="29"/>
      <c r="D488" s="29"/>
      <c r="E488" s="29"/>
      <c r="F488" s="29"/>
    </row>
    <row r="489" customFormat="false" ht="15" hidden="false" customHeight="false" outlineLevel="0" collapsed="false">
      <c r="A489" s="28"/>
      <c r="B489" s="29"/>
      <c r="C489" s="29"/>
      <c r="D489" s="29"/>
      <c r="E489" s="29"/>
      <c r="F489" s="29"/>
    </row>
    <row r="490" customFormat="false" ht="15" hidden="false" customHeight="false" outlineLevel="0" collapsed="false">
      <c r="A490" s="28"/>
      <c r="B490" s="29"/>
      <c r="C490" s="29"/>
      <c r="D490" s="29"/>
      <c r="E490" s="29"/>
      <c r="F490" s="29"/>
    </row>
    <row r="491" customFormat="false" ht="15" hidden="false" customHeight="false" outlineLevel="0" collapsed="false">
      <c r="A491" s="28"/>
      <c r="B491" s="29"/>
      <c r="C491" s="29"/>
      <c r="D491" s="29"/>
      <c r="E491" s="29"/>
      <c r="F491" s="29"/>
    </row>
    <row r="492" customFormat="false" ht="15" hidden="false" customHeight="false" outlineLevel="0" collapsed="false">
      <c r="A492" s="28"/>
      <c r="B492" s="29"/>
      <c r="C492" s="29"/>
      <c r="D492" s="29"/>
      <c r="E492" s="29"/>
      <c r="F492" s="29"/>
    </row>
    <row r="493" customFormat="false" ht="15" hidden="false" customHeight="false" outlineLevel="0" collapsed="false">
      <c r="A493" s="28"/>
      <c r="B493" s="29"/>
      <c r="C493" s="29"/>
      <c r="D493" s="29"/>
      <c r="E493" s="29"/>
      <c r="F493" s="29"/>
    </row>
    <row r="494" customFormat="false" ht="15" hidden="false" customHeight="false" outlineLevel="0" collapsed="false">
      <c r="A494" s="28"/>
      <c r="B494" s="29"/>
      <c r="C494" s="29"/>
      <c r="D494" s="29"/>
      <c r="E494" s="29"/>
      <c r="F494" s="29"/>
    </row>
    <row r="495" customFormat="false" ht="15" hidden="false" customHeight="false" outlineLevel="0" collapsed="false">
      <c r="A495" s="28"/>
      <c r="B495" s="29"/>
      <c r="C495" s="29"/>
      <c r="D495" s="29"/>
      <c r="E495" s="29"/>
      <c r="F495" s="29"/>
    </row>
    <row r="496" customFormat="false" ht="15" hidden="false" customHeight="false" outlineLevel="0" collapsed="false">
      <c r="A496" s="28"/>
      <c r="B496" s="29"/>
      <c r="C496" s="29"/>
      <c r="D496" s="29"/>
      <c r="E496" s="29"/>
      <c r="F496" s="29"/>
    </row>
    <row r="497" customFormat="false" ht="15" hidden="false" customHeight="false" outlineLevel="0" collapsed="false">
      <c r="A497" s="28"/>
      <c r="B497" s="29"/>
      <c r="C497" s="29"/>
      <c r="D497" s="29"/>
      <c r="E497" s="29"/>
      <c r="F497" s="29"/>
    </row>
    <row r="498" customFormat="false" ht="15" hidden="false" customHeight="false" outlineLevel="0" collapsed="false">
      <c r="A498" s="28"/>
      <c r="B498" s="29"/>
      <c r="C498" s="29"/>
      <c r="D498" s="29"/>
      <c r="E498" s="29"/>
      <c r="F498" s="29"/>
    </row>
    <row r="499" customFormat="false" ht="15" hidden="false" customHeight="false" outlineLevel="0" collapsed="false">
      <c r="A499" s="28"/>
      <c r="B499" s="29"/>
      <c r="C499" s="29"/>
      <c r="D499" s="29"/>
      <c r="E499" s="29"/>
      <c r="F499" s="29"/>
    </row>
    <row r="500" customFormat="false" ht="15" hidden="false" customHeight="false" outlineLevel="0" collapsed="false">
      <c r="A500" s="28"/>
      <c r="B500" s="29"/>
      <c r="C500" s="29"/>
      <c r="D500" s="29"/>
      <c r="E500" s="29"/>
      <c r="F500" s="29"/>
    </row>
    <row r="501" customFormat="false" ht="15" hidden="false" customHeight="false" outlineLevel="0" collapsed="false">
      <c r="A501" s="28"/>
      <c r="B501" s="29"/>
      <c r="C501" s="29"/>
      <c r="D501" s="29"/>
      <c r="E501" s="29"/>
      <c r="F501" s="29"/>
    </row>
  </sheetData>
  <autoFilter ref="A1:G501"/>
  <dataValidations count="5">
    <dataValidation allowBlank="true" errorStyle="stop" operator="between" showDropDown="false" showErrorMessage="false" showInputMessage="false" sqref="B2:B501" type="list">
      <formula1>People!$A$2:$A$151</formula1>
      <formula2>0</formula2>
    </dataValidation>
    <dataValidation allowBlank="true" errorStyle="stop" operator="between" showDropDown="false" showErrorMessage="false" showInputMessage="false" sqref="C2:C501" type="list">
      <formula1>Lists!$K$5:$K$12</formula1>
      <formula2>0</formula2>
    </dataValidation>
    <dataValidation allowBlank="true" errorStyle="stop" operator="between" showDropDown="false" showErrorMessage="false" showInputMessage="false" sqref="D2:D501" type="list">
      <formula1>Lists!$J$5:$J$12</formula1>
      <formula2>0</formula2>
    </dataValidation>
    <dataValidation allowBlank="true" errorStyle="stop" operator="between" showDropDown="false" showErrorMessage="false" showInputMessage="false" sqref="E2:E501" type="list">
      <formula1>Lists!$M$5:$M$6</formula1>
      <formula2>0</formula2>
    </dataValidation>
    <dataValidation allowBlank="true" errorStyle="stop" operator="between" showDropDown="false" showErrorMessage="false" showInputMessage="false" sqref="F2:F501" type="list">
      <formula1>Lists!$L$5:$L$9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8"/>
    <col collapsed="false" customWidth="true" hidden="false" outlineLevel="0" max="3" min="3" style="0" width="10"/>
    <col collapsed="false" customWidth="true" hidden="false" outlineLevel="0" max="5" min="4" style="0" width="12"/>
    <col collapsed="false" customWidth="true" hidden="false" outlineLevel="0" max="6" min="6" style="0" width="11"/>
    <col collapsed="false" customWidth="true" hidden="false" outlineLevel="0" max="7" min="7" style="0" width="13"/>
    <col collapsed="false" customWidth="true" hidden="false" outlineLevel="0" max="8" min="8" style="0" width="8"/>
    <col collapsed="false" customWidth="true" hidden="false" outlineLevel="0" max="9" min="9" style="0" width="12"/>
    <col collapsed="false" customWidth="true" hidden="false" outlineLevel="0" max="10" min="10" style="0" width="10"/>
    <col collapsed="false" customWidth="true" hidden="false" outlineLevel="0" max="11" min="11" style="0" width="8"/>
  </cols>
  <sheetData>
    <row r="1" customFormat="false" ht="19.7" hidden="false" customHeight="false" outlineLevel="0" collapsed="false">
      <c r="A1" s="4" t="s">
        <v>272</v>
      </c>
    </row>
    <row r="2" customFormat="false" ht="15" hidden="false" customHeight="false" outlineLevel="0" collapsed="false">
      <c r="A2" s="6" t="s">
        <v>273</v>
      </c>
    </row>
    <row r="4" customFormat="false" ht="30" hidden="false" customHeight="true" outlineLevel="0" collapsed="false">
      <c r="A4" s="26" t="s">
        <v>28</v>
      </c>
      <c r="B4" s="26" t="s">
        <v>35</v>
      </c>
      <c r="C4" s="26" t="s">
        <v>49</v>
      </c>
      <c r="D4" s="26" t="s">
        <v>53</v>
      </c>
      <c r="E4" s="26" t="s">
        <v>57</v>
      </c>
      <c r="F4" s="26" t="s">
        <v>63</v>
      </c>
      <c r="G4" s="26" t="s">
        <v>65</v>
      </c>
      <c r="H4" s="26" t="s">
        <v>69</v>
      </c>
      <c r="I4" s="26" t="s">
        <v>71</v>
      </c>
      <c r="J4" s="26" t="s">
        <v>274</v>
      </c>
      <c r="K4" s="26" t="s">
        <v>275</v>
      </c>
    </row>
    <row r="5" customFormat="false" ht="15" hidden="false" customHeight="false" outlineLevel="0" collapsed="false">
      <c r="A5" s="10" t="n">
        <f aca="true">TODAY()-WEEKDAY(TODAY(),2)+1-7*11</f>
        <v>46209</v>
      </c>
      <c r="B5" s="18" t="n">
        <f aca="false">COUNTIFS(Posts!$A$2:$A$251,"&gt;="&amp;$A5,Posts!$A$2:$A$251,"&lt;="&amp;$A5+6)</f>
        <v>0</v>
      </c>
      <c r="C5" s="22" t="str">
        <f aca="false">IF(COUNTIFS(Posts!$I$2:$I$251,"&lt;&gt;",Posts!$A$2:$A$251,"&gt;="&amp;$A5,Posts!$A$2:$A$251,"&lt;="&amp;$A5+6)=0,"",SUMIFS(Posts!$I$2:$I$251,Posts!$A$2:$A$251,"&gt;="&amp;$A5,Posts!$A$2:$A$251,"&lt;="&amp;$A5+6))</f>
        <v/>
      </c>
      <c r="D5" s="23" t="str">
        <f aca="false">IF(OR(C5="",C5=0,COUNTIFS(Posts!$T$2:$T$251,"&lt;&gt;",Posts!$A$2:$A$251,"&gt;="&amp;$A5,Posts!$A$2:$A$251,"&lt;="&amp;$A5+6)=0),"",SUMIFS(Posts!$T$2:$T$251,Posts!$A$2:$A$251,"&gt;="&amp;$A5,Posts!$A$2:$A$251,"&lt;="&amp;$A5+6)/C5)</f>
        <v/>
      </c>
      <c r="E5" s="22" t="str">
        <f aca="false">IF(COUNTIFS(Posts!$P$2:$P$251,"&lt;&gt;",Posts!$A$2:$A$251,"&gt;="&amp;$A5,Posts!$A$2:$A$251,"&lt;="&amp;$A5+6)=0,"",SUMIFS(Posts!$P$2:$P$251,Posts!$A$2:$A$251,"&gt;="&amp;$A5,Posts!$A$2:$A$251,"&lt;="&amp;$A5+6))</f>
        <v/>
      </c>
      <c r="F5" s="18" t="n">
        <f aca="false">COUNTIFS(Touches!$A$2:$A$501,"&gt;="&amp;$A5,Touches!$A$2:$A$501,"&lt;="&amp;$A5+6,Touches!$E$2:$E$501,"Me")</f>
        <v>0</v>
      </c>
      <c r="G5" s="18" t="n">
        <f aca="false">COUNTIFS(Touches!$A$2:$A$501,"&gt;="&amp;$A5,Touches!$A$2:$A$501,"&lt;="&amp;$A5+6,Touches!$E$2:$E$501,"Them")+COUNTIFS(Touches!$A$2:$A$501,"&gt;="&amp;$A5,Touches!$A$2:$A$501,"&lt;="&amp;$A5+6,Touches!$E$2:$E$501,"Me",Touches!$F$2:$F$501,"They replied")</f>
        <v>0</v>
      </c>
      <c r="H5" s="18" t="n">
        <f aca="false">COUNTIFS(People!$J$2:$J$151,"&gt;="&amp;$A5,People!$J$2:$J$151,"&lt;="&amp;$A5+6)</f>
        <v>0</v>
      </c>
      <c r="I5" s="18" t="n">
        <f aca="false">COUNTIFS(People!$K$2:$K$151,"&gt;="&amp;$A5,People!$K$2:$K$151,"&lt;="&amp;$A5+6)</f>
        <v>0</v>
      </c>
      <c r="J5" s="15" t="str">
        <f aca="false">IF(B5&gt;=Lists!$E$5,"yes","no")</f>
        <v>no</v>
      </c>
      <c r="K5" s="18" t="n">
        <f aca="false">IF(J5="yes",0+1,0)</f>
        <v>0</v>
      </c>
    </row>
    <row r="6" customFormat="false" ht="15" hidden="false" customHeight="false" outlineLevel="0" collapsed="false">
      <c r="A6" s="10" t="n">
        <f aca="true">TODAY()-WEEKDAY(TODAY(),2)+1-7*10</f>
        <v>46216</v>
      </c>
      <c r="B6" s="18" t="n">
        <f aca="false">COUNTIFS(Posts!$A$2:$A$251,"&gt;="&amp;$A6,Posts!$A$2:$A$251,"&lt;="&amp;$A6+6)</f>
        <v>0</v>
      </c>
      <c r="C6" s="22" t="str">
        <f aca="false">IF(COUNTIFS(Posts!$I$2:$I$251,"&lt;&gt;",Posts!$A$2:$A$251,"&gt;="&amp;$A6,Posts!$A$2:$A$251,"&lt;="&amp;$A6+6)=0,"",SUMIFS(Posts!$I$2:$I$251,Posts!$A$2:$A$251,"&gt;="&amp;$A6,Posts!$A$2:$A$251,"&lt;="&amp;$A6+6))</f>
        <v/>
      </c>
      <c r="D6" s="23" t="str">
        <f aca="false">IF(OR(C6="",C6=0,COUNTIFS(Posts!$T$2:$T$251,"&lt;&gt;",Posts!$A$2:$A$251,"&gt;="&amp;$A6,Posts!$A$2:$A$251,"&lt;="&amp;$A6+6)=0),"",SUMIFS(Posts!$T$2:$T$251,Posts!$A$2:$A$251,"&gt;="&amp;$A6,Posts!$A$2:$A$251,"&lt;="&amp;$A6+6)/C6)</f>
        <v/>
      </c>
      <c r="E6" s="22" t="str">
        <f aca="false">IF(COUNTIFS(Posts!$P$2:$P$251,"&lt;&gt;",Posts!$A$2:$A$251,"&gt;="&amp;$A6,Posts!$A$2:$A$251,"&lt;="&amp;$A6+6)=0,"",SUMIFS(Posts!$P$2:$P$251,Posts!$A$2:$A$251,"&gt;="&amp;$A6,Posts!$A$2:$A$251,"&lt;="&amp;$A6+6))</f>
        <v/>
      </c>
      <c r="F6" s="18" t="n">
        <f aca="false">COUNTIFS(Touches!$A$2:$A$501,"&gt;="&amp;$A6,Touches!$A$2:$A$501,"&lt;="&amp;$A6+6,Touches!$E$2:$E$501,"Me")</f>
        <v>0</v>
      </c>
      <c r="G6" s="18" t="n">
        <f aca="false">COUNTIFS(Touches!$A$2:$A$501,"&gt;="&amp;$A6,Touches!$A$2:$A$501,"&lt;="&amp;$A6+6,Touches!$E$2:$E$501,"Them")+COUNTIFS(Touches!$A$2:$A$501,"&gt;="&amp;$A6,Touches!$A$2:$A$501,"&lt;="&amp;$A6+6,Touches!$E$2:$E$501,"Me",Touches!$F$2:$F$501,"They replied")</f>
        <v>0</v>
      </c>
      <c r="H6" s="18" t="n">
        <f aca="false">COUNTIFS(People!$J$2:$J$151,"&gt;="&amp;$A6,People!$J$2:$J$151,"&lt;="&amp;$A6+6)</f>
        <v>0</v>
      </c>
      <c r="I6" s="18" t="n">
        <f aca="false">COUNTIFS(People!$K$2:$K$151,"&gt;="&amp;$A6,People!$K$2:$K$151,"&lt;="&amp;$A6+6)</f>
        <v>0</v>
      </c>
      <c r="J6" s="15" t="str">
        <f aca="false">IF(B6&gt;=Lists!$E$5,"yes","no")</f>
        <v>no</v>
      </c>
      <c r="K6" s="18" t="n">
        <f aca="false">IF(J6="yes",K5+1,0)</f>
        <v>0</v>
      </c>
    </row>
    <row r="7" customFormat="false" ht="15" hidden="false" customHeight="false" outlineLevel="0" collapsed="false">
      <c r="A7" s="10" t="n">
        <f aca="true">TODAY()-WEEKDAY(TODAY(),2)+1-7*9</f>
        <v>46223</v>
      </c>
      <c r="B7" s="18" t="n">
        <f aca="false">COUNTIFS(Posts!$A$2:$A$251,"&gt;="&amp;$A7,Posts!$A$2:$A$251,"&lt;="&amp;$A7+6)</f>
        <v>0</v>
      </c>
      <c r="C7" s="22" t="str">
        <f aca="false">IF(COUNTIFS(Posts!$I$2:$I$251,"&lt;&gt;",Posts!$A$2:$A$251,"&gt;="&amp;$A7,Posts!$A$2:$A$251,"&lt;="&amp;$A7+6)=0,"",SUMIFS(Posts!$I$2:$I$251,Posts!$A$2:$A$251,"&gt;="&amp;$A7,Posts!$A$2:$A$251,"&lt;="&amp;$A7+6))</f>
        <v/>
      </c>
      <c r="D7" s="23" t="str">
        <f aca="false">IF(OR(C7="",C7=0,COUNTIFS(Posts!$T$2:$T$251,"&lt;&gt;",Posts!$A$2:$A$251,"&gt;="&amp;$A7,Posts!$A$2:$A$251,"&lt;="&amp;$A7+6)=0),"",SUMIFS(Posts!$T$2:$T$251,Posts!$A$2:$A$251,"&gt;="&amp;$A7,Posts!$A$2:$A$251,"&lt;="&amp;$A7+6)/C7)</f>
        <v/>
      </c>
      <c r="E7" s="22" t="str">
        <f aca="false">IF(COUNTIFS(Posts!$P$2:$P$251,"&lt;&gt;",Posts!$A$2:$A$251,"&gt;="&amp;$A7,Posts!$A$2:$A$251,"&lt;="&amp;$A7+6)=0,"",SUMIFS(Posts!$P$2:$P$251,Posts!$A$2:$A$251,"&gt;="&amp;$A7,Posts!$A$2:$A$251,"&lt;="&amp;$A7+6))</f>
        <v/>
      </c>
      <c r="F7" s="18" t="n">
        <f aca="false">COUNTIFS(Touches!$A$2:$A$501,"&gt;="&amp;$A7,Touches!$A$2:$A$501,"&lt;="&amp;$A7+6,Touches!$E$2:$E$501,"Me")</f>
        <v>0</v>
      </c>
      <c r="G7" s="18" t="n">
        <f aca="false">COUNTIFS(Touches!$A$2:$A$501,"&gt;="&amp;$A7,Touches!$A$2:$A$501,"&lt;="&amp;$A7+6,Touches!$E$2:$E$501,"Them")+COUNTIFS(Touches!$A$2:$A$501,"&gt;="&amp;$A7,Touches!$A$2:$A$501,"&lt;="&amp;$A7+6,Touches!$E$2:$E$501,"Me",Touches!$F$2:$F$501,"They replied")</f>
        <v>0</v>
      </c>
      <c r="H7" s="18" t="n">
        <f aca="false">COUNTIFS(People!$J$2:$J$151,"&gt;="&amp;$A7,People!$J$2:$J$151,"&lt;="&amp;$A7+6)</f>
        <v>0</v>
      </c>
      <c r="I7" s="18" t="n">
        <f aca="false">COUNTIFS(People!$K$2:$K$151,"&gt;="&amp;$A7,People!$K$2:$K$151,"&lt;="&amp;$A7+6)</f>
        <v>0</v>
      </c>
      <c r="J7" s="15" t="str">
        <f aca="false">IF(B7&gt;=Lists!$E$5,"yes","no")</f>
        <v>no</v>
      </c>
      <c r="K7" s="18" t="n">
        <f aca="false">IF(J7="yes",K6+1,0)</f>
        <v>0</v>
      </c>
    </row>
    <row r="8" customFormat="false" ht="15" hidden="false" customHeight="false" outlineLevel="0" collapsed="false">
      <c r="A8" s="10" t="n">
        <f aca="true">TODAY()-WEEKDAY(TODAY(),2)+1-7*8</f>
        <v>46230</v>
      </c>
      <c r="B8" s="18" t="n">
        <f aca="false">COUNTIFS(Posts!$A$2:$A$251,"&gt;="&amp;$A8,Posts!$A$2:$A$251,"&lt;="&amp;$A8+6)</f>
        <v>0</v>
      </c>
      <c r="C8" s="22" t="str">
        <f aca="false">IF(COUNTIFS(Posts!$I$2:$I$251,"&lt;&gt;",Posts!$A$2:$A$251,"&gt;="&amp;$A8,Posts!$A$2:$A$251,"&lt;="&amp;$A8+6)=0,"",SUMIFS(Posts!$I$2:$I$251,Posts!$A$2:$A$251,"&gt;="&amp;$A8,Posts!$A$2:$A$251,"&lt;="&amp;$A8+6))</f>
        <v/>
      </c>
      <c r="D8" s="23" t="str">
        <f aca="false">IF(OR(C8="",C8=0,COUNTIFS(Posts!$T$2:$T$251,"&lt;&gt;",Posts!$A$2:$A$251,"&gt;="&amp;$A8,Posts!$A$2:$A$251,"&lt;="&amp;$A8+6)=0),"",SUMIFS(Posts!$T$2:$T$251,Posts!$A$2:$A$251,"&gt;="&amp;$A8,Posts!$A$2:$A$251,"&lt;="&amp;$A8+6)/C8)</f>
        <v/>
      </c>
      <c r="E8" s="22" t="str">
        <f aca="false">IF(COUNTIFS(Posts!$P$2:$P$251,"&lt;&gt;",Posts!$A$2:$A$251,"&gt;="&amp;$A8,Posts!$A$2:$A$251,"&lt;="&amp;$A8+6)=0,"",SUMIFS(Posts!$P$2:$P$251,Posts!$A$2:$A$251,"&gt;="&amp;$A8,Posts!$A$2:$A$251,"&lt;="&amp;$A8+6))</f>
        <v/>
      </c>
      <c r="F8" s="18" t="n">
        <f aca="false">COUNTIFS(Touches!$A$2:$A$501,"&gt;="&amp;$A8,Touches!$A$2:$A$501,"&lt;="&amp;$A8+6,Touches!$E$2:$E$501,"Me")</f>
        <v>0</v>
      </c>
      <c r="G8" s="18" t="n">
        <f aca="false">COUNTIFS(Touches!$A$2:$A$501,"&gt;="&amp;$A8,Touches!$A$2:$A$501,"&lt;="&amp;$A8+6,Touches!$E$2:$E$501,"Them")+COUNTIFS(Touches!$A$2:$A$501,"&gt;="&amp;$A8,Touches!$A$2:$A$501,"&lt;="&amp;$A8+6,Touches!$E$2:$E$501,"Me",Touches!$F$2:$F$501,"They replied")</f>
        <v>0</v>
      </c>
      <c r="H8" s="18" t="n">
        <f aca="false">COUNTIFS(People!$J$2:$J$151,"&gt;="&amp;$A8,People!$J$2:$J$151,"&lt;="&amp;$A8+6)</f>
        <v>0</v>
      </c>
      <c r="I8" s="18" t="n">
        <f aca="false">COUNTIFS(People!$K$2:$K$151,"&gt;="&amp;$A8,People!$K$2:$K$151,"&lt;="&amp;$A8+6)</f>
        <v>0</v>
      </c>
      <c r="J8" s="15" t="str">
        <f aca="false">IF(B8&gt;=Lists!$E$5,"yes","no")</f>
        <v>no</v>
      </c>
      <c r="K8" s="18" t="n">
        <f aca="false">IF(J8="yes",K7+1,0)</f>
        <v>0</v>
      </c>
    </row>
    <row r="9" customFormat="false" ht="15" hidden="false" customHeight="false" outlineLevel="0" collapsed="false">
      <c r="A9" s="10" t="n">
        <f aca="true">TODAY()-WEEKDAY(TODAY(),2)+1-7*7</f>
        <v>46237</v>
      </c>
      <c r="B9" s="18" t="n">
        <f aca="false">COUNTIFS(Posts!$A$2:$A$251,"&gt;="&amp;$A9,Posts!$A$2:$A$251,"&lt;="&amp;$A9+6)</f>
        <v>0</v>
      </c>
      <c r="C9" s="22" t="str">
        <f aca="false">IF(COUNTIFS(Posts!$I$2:$I$251,"&lt;&gt;",Posts!$A$2:$A$251,"&gt;="&amp;$A9,Posts!$A$2:$A$251,"&lt;="&amp;$A9+6)=0,"",SUMIFS(Posts!$I$2:$I$251,Posts!$A$2:$A$251,"&gt;="&amp;$A9,Posts!$A$2:$A$251,"&lt;="&amp;$A9+6))</f>
        <v/>
      </c>
      <c r="D9" s="23" t="str">
        <f aca="false">IF(OR(C9="",C9=0,COUNTIFS(Posts!$T$2:$T$251,"&lt;&gt;",Posts!$A$2:$A$251,"&gt;="&amp;$A9,Posts!$A$2:$A$251,"&lt;="&amp;$A9+6)=0),"",SUMIFS(Posts!$T$2:$T$251,Posts!$A$2:$A$251,"&gt;="&amp;$A9,Posts!$A$2:$A$251,"&lt;="&amp;$A9+6)/C9)</f>
        <v/>
      </c>
      <c r="E9" s="22" t="str">
        <f aca="false">IF(COUNTIFS(Posts!$P$2:$P$251,"&lt;&gt;",Posts!$A$2:$A$251,"&gt;="&amp;$A9,Posts!$A$2:$A$251,"&lt;="&amp;$A9+6)=0,"",SUMIFS(Posts!$P$2:$P$251,Posts!$A$2:$A$251,"&gt;="&amp;$A9,Posts!$A$2:$A$251,"&lt;="&amp;$A9+6))</f>
        <v/>
      </c>
      <c r="F9" s="18" t="n">
        <f aca="false">COUNTIFS(Touches!$A$2:$A$501,"&gt;="&amp;$A9,Touches!$A$2:$A$501,"&lt;="&amp;$A9+6,Touches!$E$2:$E$501,"Me")</f>
        <v>0</v>
      </c>
      <c r="G9" s="18" t="n">
        <f aca="false">COUNTIFS(Touches!$A$2:$A$501,"&gt;="&amp;$A9,Touches!$A$2:$A$501,"&lt;="&amp;$A9+6,Touches!$E$2:$E$501,"Them")+COUNTIFS(Touches!$A$2:$A$501,"&gt;="&amp;$A9,Touches!$A$2:$A$501,"&lt;="&amp;$A9+6,Touches!$E$2:$E$501,"Me",Touches!$F$2:$F$501,"They replied")</f>
        <v>0</v>
      </c>
      <c r="H9" s="18" t="n">
        <f aca="false">COUNTIFS(People!$J$2:$J$151,"&gt;="&amp;$A9,People!$J$2:$J$151,"&lt;="&amp;$A9+6)</f>
        <v>0</v>
      </c>
      <c r="I9" s="18" t="n">
        <f aca="false">COUNTIFS(People!$K$2:$K$151,"&gt;="&amp;$A9,People!$K$2:$K$151,"&lt;="&amp;$A9+6)</f>
        <v>0</v>
      </c>
      <c r="J9" s="15" t="str">
        <f aca="false">IF(B9&gt;=Lists!$E$5,"yes","no")</f>
        <v>no</v>
      </c>
      <c r="K9" s="18" t="n">
        <f aca="false">IF(J9="yes",K8+1,0)</f>
        <v>0</v>
      </c>
    </row>
    <row r="10" customFormat="false" ht="15" hidden="false" customHeight="false" outlineLevel="0" collapsed="false">
      <c r="A10" s="10" t="n">
        <f aca="true">TODAY()-WEEKDAY(TODAY(),2)+1-7*6</f>
        <v>46244</v>
      </c>
      <c r="B10" s="18" t="n">
        <f aca="false">COUNTIFS(Posts!$A$2:$A$251,"&gt;="&amp;$A10,Posts!$A$2:$A$251,"&lt;="&amp;$A10+6)</f>
        <v>0</v>
      </c>
      <c r="C10" s="22" t="str">
        <f aca="false">IF(COUNTIFS(Posts!$I$2:$I$251,"&lt;&gt;",Posts!$A$2:$A$251,"&gt;="&amp;$A10,Posts!$A$2:$A$251,"&lt;="&amp;$A10+6)=0,"",SUMIFS(Posts!$I$2:$I$251,Posts!$A$2:$A$251,"&gt;="&amp;$A10,Posts!$A$2:$A$251,"&lt;="&amp;$A10+6))</f>
        <v/>
      </c>
      <c r="D10" s="23" t="str">
        <f aca="false">IF(OR(C10="",C10=0,COUNTIFS(Posts!$T$2:$T$251,"&lt;&gt;",Posts!$A$2:$A$251,"&gt;="&amp;$A10,Posts!$A$2:$A$251,"&lt;="&amp;$A10+6)=0),"",SUMIFS(Posts!$T$2:$T$251,Posts!$A$2:$A$251,"&gt;="&amp;$A10,Posts!$A$2:$A$251,"&lt;="&amp;$A10+6)/C10)</f>
        <v/>
      </c>
      <c r="E10" s="22" t="str">
        <f aca="false">IF(COUNTIFS(Posts!$P$2:$P$251,"&lt;&gt;",Posts!$A$2:$A$251,"&gt;="&amp;$A10,Posts!$A$2:$A$251,"&lt;="&amp;$A10+6)=0,"",SUMIFS(Posts!$P$2:$P$251,Posts!$A$2:$A$251,"&gt;="&amp;$A10,Posts!$A$2:$A$251,"&lt;="&amp;$A10+6))</f>
        <v/>
      </c>
      <c r="F10" s="18" t="n">
        <f aca="false">COUNTIFS(Touches!$A$2:$A$501,"&gt;="&amp;$A10,Touches!$A$2:$A$501,"&lt;="&amp;$A10+6,Touches!$E$2:$E$501,"Me")</f>
        <v>0</v>
      </c>
      <c r="G10" s="18" t="n">
        <f aca="false">COUNTIFS(Touches!$A$2:$A$501,"&gt;="&amp;$A10,Touches!$A$2:$A$501,"&lt;="&amp;$A10+6,Touches!$E$2:$E$501,"Them")+COUNTIFS(Touches!$A$2:$A$501,"&gt;="&amp;$A10,Touches!$A$2:$A$501,"&lt;="&amp;$A10+6,Touches!$E$2:$E$501,"Me",Touches!$F$2:$F$501,"They replied")</f>
        <v>0</v>
      </c>
      <c r="H10" s="18" t="n">
        <f aca="false">COUNTIFS(People!$J$2:$J$151,"&gt;="&amp;$A10,People!$J$2:$J$151,"&lt;="&amp;$A10+6)</f>
        <v>0</v>
      </c>
      <c r="I10" s="18" t="n">
        <f aca="false">COUNTIFS(People!$K$2:$K$151,"&gt;="&amp;$A10,People!$K$2:$K$151,"&lt;="&amp;$A10+6)</f>
        <v>0</v>
      </c>
      <c r="J10" s="15" t="str">
        <f aca="false">IF(B10&gt;=Lists!$E$5,"yes","no")</f>
        <v>no</v>
      </c>
      <c r="K10" s="18" t="n">
        <f aca="false">IF(J10="yes",K9+1,0)</f>
        <v>0</v>
      </c>
    </row>
    <row r="11" customFormat="false" ht="15" hidden="false" customHeight="false" outlineLevel="0" collapsed="false">
      <c r="A11" s="10" t="n">
        <f aca="true">TODAY()-WEEKDAY(TODAY(),2)+1-7*5</f>
        <v>46251</v>
      </c>
      <c r="B11" s="18" t="n">
        <f aca="false">COUNTIFS(Posts!$A$2:$A$251,"&gt;="&amp;$A11,Posts!$A$2:$A$251,"&lt;="&amp;$A11+6)</f>
        <v>0</v>
      </c>
      <c r="C11" s="22" t="str">
        <f aca="false">IF(COUNTIFS(Posts!$I$2:$I$251,"&lt;&gt;",Posts!$A$2:$A$251,"&gt;="&amp;$A11,Posts!$A$2:$A$251,"&lt;="&amp;$A11+6)=0,"",SUMIFS(Posts!$I$2:$I$251,Posts!$A$2:$A$251,"&gt;="&amp;$A11,Posts!$A$2:$A$251,"&lt;="&amp;$A11+6))</f>
        <v/>
      </c>
      <c r="D11" s="23" t="str">
        <f aca="false">IF(OR(C11="",C11=0,COUNTIFS(Posts!$T$2:$T$251,"&lt;&gt;",Posts!$A$2:$A$251,"&gt;="&amp;$A11,Posts!$A$2:$A$251,"&lt;="&amp;$A11+6)=0),"",SUMIFS(Posts!$T$2:$T$251,Posts!$A$2:$A$251,"&gt;="&amp;$A11,Posts!$A$2:$A$251,"&lt;="&amp;$A11+6)/C11)</f>
        <v/>
      </c>
      <c r="E11" s="22" t="str">
        <f aca="false">IF(COUNTIFS(Posts!$P$2:$P$251,"&lt;&gt;",Posts!$A$2:$A$251,"&gt;="&amp;$A11,Posts!$A$2:$A$251,"&lt;="&amp;$A11+6)=0,"",SUMIFS(Posts!$P$2:$P$251,Posts!$A$2:$A$251,"&gt;="&amp;$A11,Posts!$A$2:$A$251,"&lt;="&amp;$A11+6))</f>
        <v/>
      </c>
      <c r="F11" s="18" t="n">
        <f aca="false">COUNTIFS(Touches!$A$2:$A$501,"&gt;="&amp;$A11,Touches!$A$2:$A$501,"&lt;="&amp;$A11+6,Touches!$E$2:$E$501,"Me")</f>
        <v>0</v>
      </c>
      <c r="G11" s="18" t="n">
        <f aca="false">COUNTIFS(Touches!$A$2:$A$501,"&gt;="&amp;$A11,Touches!$A$2:$A$501,"&lt;="&amp;$A11+6,Touches!$E$2:$E$501,"Them")+COUNTIFS(Touches!$A$2:$A$501,"&gt;="&amp;$A11,Touches!$A$2:$A$501,"&lt;="&amp;$A11+6,Touches!$E$2:$E$501,"Me",Touches!$F$2:$F$501,"They replied")</f>
        <v>0</v>
      </c>
      <c r="H11" s="18" t="n">
        <f aca="false">COUNTIFS(People!$J$2:$J$151,"&gt;="&amp;$A11,People!$J$2:$J$151,"&lt;="&amp;$A11+6)</f>
        <v>1</v>
      </c>
      <c r="I11" s="18" t="n">
        <f aca="false">COUNTIFS(People!$K$2:$K$151,"&gt;="&amp;$A11,People!$K$2:$K$151,"&lt;="&amp;$A11+6)</f>
        <v>0</v>
      </c>
      <c r="J11" s="15" t="str">
        <f aca="false">IF(B11&gt;=Lists!$E$5,"yes","no")</f>
        <v>no</v>
      </c>
      <c r="K11" s="18" t="n">
        <f aca="false">IF(J11="yes",K10+1,0)</f>
        <v>0</v>
      </c>
    </row>
    <row r="12" customFormat="false" ht="15" hidden="false" customHeight="false" outlineLevel="0" collapsed="false">
      <c r="A12" s="10" t="n">
        <f aca="true">TODAY()-WEEKDAY(TODAY(),2)+1-7*4</f>
        <v>46258</v>
      </c>
      <c r="B12" s="18" t="n">
        <f aca="false">COUNTIFS(Posts!$A$2:$A$251,"&gt;="&amp;$A12,Posts!$A$2:$A$251,"&lt;="&amp;$A12+6)</f>
        <v>0</v>
      </c>
      <c r="C12" s="22" t="str">
        <f aca="false">IF(COUNTIFS(Posts!$I$2:$I$251,"&lt;&gt;",Posts!$A$2:$A$251,"&gt;="&amp;$A12,Posts!$A$2:$A$251,"&lt;="&amp;$A12+6)=0,"",SUMIFS(Posts!$I$2:$I$251,Posts!$A$2:$A$251,"&gt;="&amp;$A12,Posts!$A$2:$A$251,"&lt;="&amp;$A12+6))</f>
        <v/>
      </c>
      <c r="D12" s="23" t="str">
        <f aca="false">IF(OR(C12="",C12=0,COUNTIFS(Posts!$T$2:$T$251,"&lt;&gt;",Posts!$A$2:$A$251,"&gt;="&amp;$A12,Posts!$A$2:$A$251,"&lt;="&amp;$A12+6)=0),"",SUMIFS(Posts!$T$2:$T$251,Posts!$A$2:$A$251,"&gt;="&amp;$A12,Posts!$A$2:$A$251,"&lt;="&amp;$A12+6)/C12)</f>
        <v/>
      </c>
      <c r="E12" s="22" t="str">
        <f aca="false">IF(COUNTIFS(Posts!$P$2:$P$251,"&lt;&gt;",Posts!$A$2:$A$251,"&gt;="&amp;$A12,Posts!$A$2:$A$251,"&lt;="&amp;$A12+6)=0,"",SUMIFS(Posts!$P$2:$P$251,Posts!$A$2:$A$251,"&gt;="&amp;$A12,Posts!$A$2:$A$251,"&lt;="&amp;$A12+6))</f>
        <v/>
      </c>
      <c r="F12" s="18" t="n">
        <f aca="false">COUNTIFS(Touches!$A$2:$A$501,"&gt;="&amp;$A12,Touches!$A$2:$A$501,"&lt;="&amp;$A12+6,Touches!$E$2:$E$501,"Me")</f>
        <v>0</v>
      </c>
      <c r="G12" s="18" t="n">
        <f aca="false">COUNTIFS(Touches!$A$2:$A$501,"&gt;="&amp;$A12,Touches!$A$2:$A$501,"&lt;="&amp;$A12+6,Touches!$E$2:$E$501,"Them")+COUNTIFS(Touches!$A$2:$A$501,"&gt;="&amp;$A12,Touches!$A$2:$A$501,"&lt;="&amp;$A12+6,Touches!$E$2:$E$501,"Me",Touches!$F$2:$F$501,"They replied")</f>
        <v>0</v>
      </c>
      <c r="H12" s="18" t="n">
        <f aca="false">COUNTIFS(People!$J$2:$J$151,"&gt;="&amp;$A12,People!$J$2:$J$151,"&lt;="&amp;$A12+6)</f>
        <v>0</v>
      </c>
      <c r="I12" s="18" t="n">
        <f aca="false">COUNTIFS(People!$K$2:$K$151,"&gt;="&amp;$A12,People!$K$2:$K$151,"&lt;="&amp;$A12+6)</f>
        <v>1</v>
      </c>
      <c r="J12" s="15" t="str">
        <f aca="false">IF(B12&gt;=Lists!$E$5,"yes","no")</f>
        <v>no</v>
      </c>
      <c r="K12" s="18" t="n">
        <f aca="false">IF(J12="yes",K11+1,0)</f>
        <v>0</v>
      </c>
    </row>
    <row r="13" customFormat="false" ht="15" hidden="false" customHeight="false" outlineLevel="0" collapsed="false">
      <c r="A13" s="10" t="n">
        <f aca="true">TODAY()-WEEKDAY(TODAY(),2)+1-7*3</f>
        <v>46265</v>
      </c>
      <c r="B13" s="18" t="n">
        <f aca="false">COUNTIFS(Posts!$A$2:$A$251,"&gt;="&amp;$A13,Posts!$A$2:$A$251,"&lt;="&amp;$A13+6)</f>
        <v>1</v>
      </c>
      <c r="C13" s="22" t="n">
        <f aca="false">IF(COUNTIFS(Posts!$I$2:$I$251,"&lt;&gt;",Posts!$A$2:$A$251,"&gt;="&amp;$A13,Posts!$A$2:$A$251,"&lt;="&amp;$A13+6)=0,"",SUMIFS(Posts!$I$2:$I$251,Posts!$A$2:$A$251,"&gt;="&amp;$A13,Posts!$A$2:$A$251,"&lt;="&amp;$A13+6))</f>
        <v>1840</v>
      </c>
      <c r="D13" s="23" t="n">
        <f aca="false">IF(OR(C13="",C13=0,COUNTIFS(Posts!$T$2:$T$251,"&lt;&gt;",Posts!$A$2:$A$251,"&gt;="&amp;$A13,Posts!$A$2:$A$251,"&lt;="&amp;$A13+6)=0),"",SUMIFS(Posts!$T$2:$T$251,Posts!$A$2:$A$251,"&gt;="&amp;$A13,Posts!$A$2:$A$251,"&lt;="&amp;$A13+6)/C13)</f>
        <v>0.0815217391304348</v>
      </c>
      <c r="E13" s="22" t="n">
        <f aca="false">IF(COUNTIFS(Posts!$P$2:$P$251,"&lt;&gt;",Posts!$A$2:$A$251,"&gt;="&amp;$A13,Posts!$A$2:$A$251,"&lt;="&amp;$A13+6)=0,"",SUMIFS(Posts!$P$2:$P$251,Posts!$A$2:$A$251,"&gt;="&amp;$A13,Posts!$A$2:$A$251,"&lt;="&amp;$A13+6))</f>
        <v>12</v>
      </c>
      <c r="F13" s="18" t="n">
        <f aca="false">COUNTIFS(Touches!$A$2:$A$501,"&gt;="&amp;$A13,Touches!$A$2:$A$501,"&lt;="&amp;$A13+6,Touches!$E$2:$E$501,"Me")</f>
        <v>1</v>
      </c>
      <c r="G13" s="18" t="n">
        <f aca="false">COUNTIFS(Touches!$A$2:$A$501,"&gt;="&amp;$A13,Touches!$A$2:$A$501,"&lt;="&amp;$A13+6,Touches!$E$2:$E$501,"Them")+COUNTIFS(Touches!$A$2:$A$501,"&gt;="&amp;$A13,Touches!$A$2:$A$501,"&lt;="&amp;$A13+6,Touches!$E$2:$E$501,"Me",Touches!$F$2:$F$501,"They replied")</f>
        <v>0</v>
      </c>
      <c r="H13" s="18" t="n">
        <f aca="false">COUNTIFS(People!$J$2:$J$151,"&gt;="&amp;$A13,People!$J$2:$J$151,"&lt;="&amp;$A13+6)</f>
        <v>0</v>
      </c>
      <c r="I13" s="18" t="n">
        <f aca="false">COUNTIFS(People!$K$2:$K$151,"&gt;="&amp;$A13,People!$K$2:$K$151,"&lt;="&amp;$A13+6)</f>
        <v>0</v>
      </c>
      <c r="J13" s="15" t="str">
        <f aca="false">IF(B13&gt;=Lists!$E$5,"yes","no")</f>
        <v>no</v>
      </c>
      <c r="K13" s="18" t="n">
        <f aca="false">IF(J13="yes",K12+1,0)</f>
        <v>0</v>
      </c>
    </row>
    <row r="14" customFormat="false" ht="15" hidden="false" customHeight="false" outlineLevel="0" collapsed="false">
      <c r="A14" s="10" t="n">
        <f aca="true">TODAY()-WEEKDAY(TODAY(),2)+1-7*2</f>
        <v>46272</v>
      </c>
      <c r="B14" s="18" t="n">
        <f aca="false">COUNTIFS(Posts!$A$2:$A$251,"&gt;="&amp;$A14,Posts!$A$2:$A$251,"&lt;="&amp;$A14+6)</f>
        <v>2</v>
      </c>
      <c r="C14" s="22" t="n">
        <f aca="false">IF(COUNTIFS(Posts!$I$2:$I$251,"&lt;&gt;",Posts!$A$2:$A$251,"&gt;="&amp;$A14,Posts!$A$2:$A$251,"&lt;="&amp;$A14+6)=0,"",SUMIFS(Posts!$I$2:$I$251,Posts!$A$2:$A$251,"&gt;="&amp;$A14,Posts!$A$2:$A$251,"&lt;="&amp;$A14+6))</f>
        <v>3170</v>
      </c>
      <c r="D14" s="23" t="n">
        <f aca="false">IF(OR(C14="",C14=0,COUNTIFS(Posts!$T$2:$T$251,"&lt;&gt;",Posts!$A$2:$A$251,"&gt;="&amp;$A14,Posts!$A$2:$A$251,"&lt;="&amp;$A14+6)=0),"",SUMIFS(Posts!$T$2:$T$251,Posts!$A$2:$A$251,"&gt;="&amp;$A14,Posts!$A$2:$A$251,"&lt;="&amp;$A14+6)/C14)</f>
        <v>0.0738170347003155</v>
      </c>
      <c r="E14" s="22" t="n">
        <f aca="false">IF(COUNTIFS(Posts!$P$2:$P$251,"&lt;&gt;",Posts!$A$2:$A$251,"&gt;="&amp;$A14,Posts!$A$2:$A$251,"&lt;="&amp;$A14+6)=0,"",SUMIFS(Posts!$P$2:$P$251,Posts!$A$2:$A$251,"&gt;="&amp;$A14,Posts!$A$2:$A$251,"&lt;="&amp;$A14+6))</f>
        <v>24</v>
      </c>
      <c r="F14" s="18" t="n">
        <f aca="false">COUNTIFS(Touches!$A$2:$A$501,"&gt;="&amp;$A14,Touches!$A$2:$A$501,"&lt;="&amp;$A14+6,Touches!$E$2:$E$501,"Me")</f>
        <v>1</v>
      </c>
      <c r="G14" s="18" t="n">
        <f aca="false">COUNTIFS(Touches!$A$2:$A$501,"&gt;="&amp;$A14,Touches!$A$2:$A$501,"&lt;="&amp;$A14+6,Touches!$E$2:$E$501,"Them")+COUNTIFS(Touches!$A$2:$A$501,"&gt;="&amp;$A14,Touches!$A$2:$A$501,"&lt;="&amp;$A14+6,Touches!$E$2:$E$501,"Me",Touches!$F$2:$F$501,"They replied")</f>
        <v>2</v>
      </c>
      <c r="H14" s="18" t="n">
        <f aca="false">COUNTIFS(People!$J$2:$J$151,"&gt;="&amp;$A14,People!$J$2:$J$151,"&lt;="&amp;$A14+6)</f>
        <v>0</v>
      </c>
      <c r="I14" s="18" t="n">
        <f aca="false">COUNTIFS(People!$K$2:$K$151,"&gt;="&amp;$A14,People!$K$2:$K$151,"&lt;="&amp;$A14+6)</f>
        <v>0</v>
      </c>
      <c r="J14" s="15" t="str">
        <f aca="false">IF(B14&gt;=Lists!$E$5,"yes","no")</f>
        <v>no</v>
      </c>
      <c r="K14" s="18" t="n">
        <f aca="false">IF(J14="yes",K13+1,0)</f>
        <v>0</v>
      </c>
    </row>
    <row r="15" customFormat="false" ht="15" hidden="false" customHeight="false" outlineLevel="0" collapsed="false">
      <c r="A15" s="10" t="n">
        <f aca="true">TODAY()-WEEKDAY(TODAY(),2)+1-7*1</f>
        <v>46279</v>
      </c>
      <c r="B15" s="18" t="n">
        <f aca="false">COUNTIFS(Posts!$A$2:$A$251,"&gt;="&amp;$A15,Posts!$A$2:$A$251,"&lt;="&amp;$A15+6)</f>
        <v>3</v>
      </c>
      <c r="C15" s="22" t="n">
        <f aca="false">IF(COUNTIFS(Posts!$I$2:$I$251,"&lt;&gt;",Posts!$A$2:$A$251,"&gt;="&amp;$A15,Posts!$A$2:$A$251,"&lt;="&amp;$A15+6)=0,"",SUMIFS(Posts!$I$2:$I$251,Posts!$A$2:$A$251,"&gt;="&amp;$A15,Posts!$A$2:$A$251,"&lt;="&amp;$A15+6))</f>
        <v>5060</v>
      </c>
      <c r="D15" s="23" t="n">
        <f aca="false">IF(OR(C15="",C15=0,COUNTIFS(Posts!$T$2:$T$251,"&lt;&gt;",Posts!$A$2:$A$251,"&gt;="&amp;$A15,Posts!$A$2:$A$251,"&lt;="&amp;$A15+6)=0),"",SUMIFS(Posts!$T$2:$T$251,Posts!$A$2:$A$251,"&gt;="&amp;$A15,Posts!$A$2:$A$251,"&lt;="&amp;$A15+6)/C15)</f>
        <v>0.0695652173913044</v>
      </c>
      <c r="E15" s="22" t="n">
        <f aca="false">IF(COUNTIFS(Posts!$P$2:$P$251,"&lt;&gt;",Posts!$A$2:$A$251,"&gt;="&amp;$A15,Posts!$A$2:$A$251,"&lt;="&amp;$A15+6)=0,"",SUMIFS(Posts!$P$2:$P$251,Posts!$A$2:$A$251,"&gt;="&amp;$A15,Posts!$A$2:$A$251,"&lt;="&amp;$A15+6))</f>
        <v>39</v>
      </c>
      <c r="F15" s="18" t="n">
        <f aca="false">COUNTIFS(Touches!$A$2:$A$501,"&gt;="&amp;$A15,Touches!$A$2:$A$501,"&lt;="&amp;$A15+6,Touches!$E$2:$E$501,"Me")</f>
        <v>3</v>
      </c>
      <c r="G15" s="18" t="n">
        <f aca="false">COUNTIFS(Touches!$A$2:$A$501,"&gt;="&amp;$A15,Touches!$A$2:$A$501,"&lt;="&amp;$A15+6,Touches!$E$2:$E$501,"Them")+COUNTIFS(Touches!$A$2:$A$501,"&gt;="&amp;$A15,Touches!$A$2:$A$501,"&lt;="&amp;$A15+6,Touches!$E$2:$E$501,"Me",Touches!$F$2:$F$501,"They replied")</f>
        <v>2</v>
      </c>
      <c r="H15" s="18" t="n">
        <f aca="false">COUNTIFS(People!$J$2:$J$151,"&gt;="&amp;$A15,People!$J$2:$J$151,"&lt;="&amp;$A15+6)</f>
        <v>2</v>
      </c>
      <c r="I15" s="18" t="n">
        <f aca="false">COUNTIFS(People!$K$2:$K$151,"&gt;="&amp;$A15,People!$K$2:$K$151,"&lt;="&amp;$A15+6)</f>
        <v>0</v>
      </c>
      <c r="J15" s="15" t="str">
        <f aca="false">IF(B15&gt;=Lists!$E$5,"yes","no")</f>
        <v>no</v>
      </c>
      <c r="K15" s="18" t="n">
        <f aca="false">IF(J15="yes",K14+1,0)</f>
        <v>0</v>
      </c>
    </row>
    <row r="16" customFormat="false" ht="15" hidden="false" customHeight="false" outlineLevel="0" collapsed="false">
      <c r="A16" s="10" t="n">
        <f aca="true">TODAY()-WEEKDAY(TODAY(),2)+1-7*0</f>
        <v>46286</v>
      </c>
      <c r="B16" s="18" t="n">
        <f aca="false">COUNTIFS(Posts!$A$2:$A$251,"&gt;="&amp;$A16,Posts!$A$2:$A$251,"&lt;="&amp;$A16+6)</f>
        <v>2</v>
      </c>
      <c r="C16" s="22" t="str">
        <f aca="false">IF(COUNTIFS(Posts!$I$2:$I$251,"&lt;&gt;",Posts!$A$2:$A$251,"&gt;="&amp;$A16,Posts!$A$2:$A$251,"&lt;="&amp;$A16+6)=0,"",SUMIFS(Posts!$I$2:$I$251,Posts!$A$2:$A$251,"&gt;="&amp;$A16,Posts!$A$2:$A$251,"&lt;="&amp;$A16+6))</f>
        <v/>
      </c>
      <c r="D16" s="23" t="str">
        <f aca="false">IF(OR(C16="",C16=0,COUNTIFS(Posts!$T$2:$T$251,"&lt;&gt;",Posts!$A$2:$A$251,"&gt;="&amp;$A16,Posts!$A$2:$A$251,"&lt;="&amp;$A16+6)=0),"",SUMIFS(Posts!$T$2:$T$251,Posts!$A$2:$A$251,"&gt;="&amp;$A16,Posts!$A$2:$A$251,"&lt;="&amp;$A16+6)/C16)</f>
        <v/>
      </c>
      <c r="E16" s="22" t="str">
        <f aca="false">IF(COUNTIFS(Posts!$P$2:$P$251,"&lt;&gt;",Posts!$A$2:$A$251,"&gt;="&amp;$A16,Posts!$A$2:$A$251,"&lt;="&amp;$A16+6)=0,"",SUMIFS(Posts!$P$2:$P$251,Posts!$A$2:$A$251,"&gt;="&amp;$A16,Posts!$A$2:$A$251,"&lt;="&amp;$A16+6))</f>
        <v/>
      </c>
      <c r="F16" s="18" t="n">
        <f aca="false">COUNTIFS(Touches!$A$2:$A$501,"&gt;="&amp;$A16,Touches!$A$2:$A$501,"&lt;="&amp;$A16+6,Touches!$E$2:$E$501,"Me")</f>
        <v>2</v>
      </c>
      <c r="G16" s="18" t="n">
        <f aca="false">COUNTIFS(Touches!$A$2:$A$501,"&gt;="&amp;$A16,Touches!$A$2:$A$501,"&lt;="&amp;$A16+6,Touches!$E$2:$E$501,"Them")+COUNTIFS(Touches!$A$2:$A$501,"&gt;="&amp;$A16,Touches!$A$2:$A$501,"&lt;="&amp;$A16+6,Touches!$E$2:$E$501,"Me",Touches!$F$2:$F$501,"They replied")</f>
        <v>0</v>
      </c>
      <c r="H16" s="18" t="n">
        <f aca="false">COUNTIFS(People!$J$2:$J$151,"&gt;="&amp;$A16,People!$J$2:$J$151,"&lt;="&amp;$A16+6)</f>
        <v>0</v>
      </c>
      <c r="I16" s="18" t="n">
        <f aca="false">COUNTIFS(People!$K$2:$K$151,"&gt;="&amp;$A16,People!$K$2:$K$151,"&lt;="&amp;$A16+6)</f>
        <v>1</v>
      </c>
      <c r="J16" s="15" t="str">
        <f aca="false">IF(B16&gt;=Lists!$E$5,"yes","no")</f>
        <v>no</v>
      </c>
      <c r="K16" s="18" t="n">
        <f aca="false">IF(J16="yes",K15+1,0)</f>
        <v>0</v>
      </c>
    </row>
    <row r="18" customFormat="false" ht="15" hidden="false" customHeight="false" outlineLevel="0" collapsed="false">
      <c r="A18" s="7" t="s">
        <v>276</v>
      </c>
      <c r="B18" s="18" t="n">
        <f aca="false">IF(J16="yes",K16,IF(J16="no",K15,0))</f>
        <v>0</v>
      </c>
      <c r="C18" s="9" t="s">
        <v>277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2026-09-26T18:04:40Z</dcterms:created>
  <dc:creator>openpyxl</dc:creator>
  <dc:description/>
  <dc:language>en-US</dc:language>
  <cp:lastModifiedBy/>
  <dcterms:modified xsi:type="dcterms:W3CDTF">2026-09-26T18:04:42Z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