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Lists" sheetId="3" state="hidden" r:id="rId5"/>
    <sheet name="Readings" sheetId="4" state="visible" r:id="rId6"/>
    <sheet name="Marketing Machine" sheetId="5" state="visible" r:id="rId7"/>
    <sheet name="Hooks" sheetId="6" state="visible" r:id="rId8"/>
    <sheet name="Lead Nurture" sheetId="7" state="visible" r:id="rId9"/>
    <sheet name="Closing Handbook" sheetId="8" state="visible" r:id="rId10"/>
    <sheet name="Proof Checklist" sheetId="9" state="visible" r:id="rId11"/>
    <sheet name="GOATed Ads" sheetId="10" state="visible" r:id="rId12"/>
    <sheet name="Retention" sheetId="11" state="visible" r:id="rId13"/>
    <sheet name="Lifetime Value" sheetId="12" state="visible" r:id="rId14"/>
    <sheet name="Branding" sheetId="13" state="visible" r:id="rId15"/>
    <sheet name="Price Raise" sheetId="14" state="visible" r:id="rId16"/>
    <sheet name="Promo Cash" sheetId="15" state="visible" r:id="rId17"/>
    <sheet name="Implementation SOP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<sst xmlns="http://schemas.openxmlformats.org/spreadsheetml/2006/main" count="2478" uniqueCount="1061">
  <si>
    <t xml:space="preserve">The Binders</t>
  </si>
  <si>
    <t xml:space="preserve">A workbook that walks you through twelve business playbooks in four systems, one band at a time.</t>
  </si>
  <si>
    <t xml:space="preserve">What it is</t>
  </si>
  <si>
    <t xml:space="preserve">The playbook binder that shipped with the $100M Money Models launch holds twelve playbooks in four systems: Leads (Marketing Machine, Hooks, Lead Nurture), Sales (Closing Handbook, Proof Checklist, GOATed Ads), Delivery (Retention, Lifetime Value, Branding) and Profit (Price Raise, Promo Cash, Implementation SOPs). This workbook is a companion in its own words, built from the published $100M books and public material. No book or playbook text is reproduced, and it is not affiliated with Acquisition.com.</t>
  </si>
  <si>
    <t xml:space="preserve">How to use it</t>
  </si>
  <si>
    <t xml:space="preserve">1. Open a playbook tab (they run left to right in the order of the four systems).
2. Work down band 1, then band 2, and so on. Type into the yellow cells only.
3. Tick a checklist item by choosing Y. When every yellow cell in a band is filled and every item is Y, the band reads done.
4. Come back to Dashboard to see all twelve at once, and to Readings for every figure the binder earns.
5. Do band 1 on every playbook before going deeper. A ring lights on the Dashboard when all twelve clear a band.</t>
  </si>
  <si>
    <t xml:space="preserve">The six bands</t>
  </si>
  <si>
    <t xml:space="preserve">Band 1, Read: The one idea, and where you stand on it today (payoff: reveal).
Band 2, Facts: The few numbers this playbook runs on (payoff: reveal).
Band 3, Exercises: The pen and paper work the playbook asks for (payoff: reveal).
Band 4, Build: Assemble the thing you will use, and tick it off (payoff: power).
Band 5, Run: Use it for a stretch and log what happened (payoff: certainty).
Band 6, Sharpen: The moves only visible once the numbers are real (payoff: power).</t>
  </si>
  <si>
    <t xml:space="preserve">The four systems</t>
  </si>
  <si>
    <t xml:space="preserve">Leads: How do strangers find out you exist?
Sales: How does a stranger become a customer?
Delivery: How does a customer stay and bring more?
Profit: How does each customer pay for the next?</t>
  </si>
  <si>
    <t xml:space="preserve">Colours</t>
  </si>
  <si>
    <t xml:space="preserve">Yellow cell with blue text: yours to type. Black text: a formula, leave it. Green text: a value read from another tab, typed once and only there (price, gross margin, cost to acquire, the booking rate). Grey italic: an example answer for a made-up money coach who sells an eight-week programme; every example number is invented.</t>
  </si>
  <si>
    <t xml:space="preserve">Money and percentages</t>
  </si>
  <si>
    <t xml:space="preserve">Type money in whole dollars. Type percentages as percentages (80%). A blank cell means not known yet; it is not zero. Type 0 only when the true answer is zero.</t>
  </si>
  <si>
    <t xml:space="preserve">Lists</t>
  </si>
  <si>
    <t xml:space="preserve">Where a cell asks for one item a line, press Alt+Enter (Option+Return on a Mac) to start a new line inside the cell. Where a step asks for a small table, fill the rows under its grey header; add more rows on the sheet if eight is not enough.</t>
  </si>
  <si>
    <t xml:space="preserve">Rules of thumb</t>
  </si>
  <si>
    <t xml:space="preserve">Three to one (lifetime gross profit to cost of a customer), five minutes (first reply to a lead), nine touches (the follow-up sequence), thirty days (cash back from a new customer) are rules of thumb, not findings. Your numbers decide.</t>
  </si>
  <si>
    <t xml:space="preserve">Privacy</t>
  </si>
  <si>
    <t xml:space="preserve">This file lives wherever you save it. Nothing in it goes anywhere unless you send it.</t>
  </si>
  <si>
    <t xml:space="preserve">Version</t>
  </si>
  <si>
    <t xml:space="preserve">Built from the Binders app in the Personalfinance repository, data version 1.0, 2026-09-26.</t>
  </si>
  <si>
    <t xml:space="preserve">Legend</t>
  </si>
  <si>
    <t xml:space="preserve">Yours to type</t>
  </si>
  <si>
    <t xml:space="preserve">A formula in black. Leave it.</t>
  </si>
  <si>
    <t xml:space="preserve">A value read from another tab, in green.</t>
  </si>
  <si>
    <t xml:space="preserve">an example</t>
  </si>
  <si>
    <t xml:space="preserve">An example answer, grey and italic. Every example number is made up.</t>
  </si>
  <si>
    <t xml:space="preserve">Twelve playbooks in four systems, six bands deep. A band means the same depth on every playbook: read the idea, type the facts, do the exercises, build the thing, run it, sharpen it.</t>
  </si>
  <si>
    <t xml:space="preserve">Where you stand</t>
  </si>
  <si>
    <t xml:space="preserve">System</t>
  </si>
  <si>
    <t xml:space="preserve">Playbook</t>
  </si>
  <si>
    <t xml:space="preserve">Levels done</t>
  </si>
  <si>
    <t xml:space="preserve">Working on</t>
  </si>
  <si>
    <t xml:space="preserve">Answered</t>
  </si>
  <si>
    <t xml:space="preserve">Of</t>
  </si>
  <si>
    <t xml:space="preserve">Ticked</t>
  </si>
  <si>
    <t xml:space="preserve">Share done</t>
  </si>
  <si>
    <t xml:space="preserve">Band 1</t>
  </si>
  <si>
    <t xml:space="preserve">Band 2</t>
  </si>
  <si>
    <t xml:space="preserve">Band 3</t>
  </si>
  <si>
    <t xml:space="preserve">Band 4</t>
  </si>
  <si>
    <t xml:space="preserve">Band 5</t>
  </si>
  <si>
    <t xml:space="preserve">Band 6</t>
  </si>
  <si>
    <t xml:space="preserve">Leads</t>
  </si>
  <si>
    <t xml:space="preserve">Marketing Machine</t>
  </si>
  <si>
    <t xml:space="preserve">Hooks</t>
  </si>
  <si>
    <t xml:space="preserve">Lead Nurture</t>
  </si>
  <si>
    <t xml:space="preserve">Sales</t>
  </si>
  <si>
    <t xml:space="preserve">Closing Handbook</t>
  </si>
  <si>
    <t xml:space="preserve">Proof Checklist</t>
  </si>
  <si>
    <t xml:space="preserve">GOATed Ads</t>
  </si>
  <si>
    <t xml:space="preserve">Delivery</t>
  </si>
  <si>
    <t xml:space="preserve">Retention</t>
  </si>
  <si>
    <t xml:space="preserve">Lifetime Value</t>
  </si>
  <si>
    <t xml:space="preserve">Branding</t>
  </si>
  <si>
    <t xml:space="preserve">Profit</t>
  </si>
  <si>
    <t xml:space="preserve">Price Raise</t>
  </si>
  <si>
    <t xml:space="preserve">Promo Cash</t>
  </si>
  <si>
    <t xml:space="preserve">Implementation SOPs</t>
  </si>
  <si>
    <t xml:space="preserve">All twelve</t>
  </si>
  <si>
    <t xml:space="preserve">A band is done when every yellow cell in it holds an answer and every checklist item is Y. A ring lights when all twelve playbooks have finished a band. Start with band 1 on every playbook before going deeper: the same rule as the SPARKS planets.</t>
  </si>
  <si>
    <t xml:space="preserve">Rings lit</t>
  </si>
  <si>
    <t xml:space="preserve">Answers</t>
  </si>
  <si>
    <t xml:space="preserve">Headline readings</t>
  </si>
  <si>
    <t xml:space="preserve">Reading</t>
  </si>
  <si>
    <t xml:space="preserve">Value</t>
  </si>
  <si>
    <t xml:space="preserve">Rule of thumb</t>
  </si>
  <si>
    <t xml:space="preserve">Leads needed per month</t>
  </si>
  <si>
    <t xml:space="preserve">Customers wanted over the close and booking rates</t>
  </si>
  <si>
    <t xml:space="preserve">Show rate (showed / booked)</t>
  </si>
  <si>
    <t xml:space="preserve">Seven of ten</t>
  </si>
  <si>
    <t xml:space="preserve">Close rate, before (bought / showed)</t>
  </si>
  <si>
    <t xml:space="preserve">Lifetime gross profit per customer</t>
  </si>
  <si>
    <t xml:space="preserve">Lifetime gross profit to cost of a customer</t>
  </si>
  <si>
    <t xml:space="preserve">Three to one</t>
  </si>
  <si>
    <t xml:space="preserve">Monthly churn, before</t>
  </si>
  <si>
    <t xml:space="preserve">Customers you can lose and break even</t>
  </si>
  <si>
    <t xml:space="preserve">Raise over margin plus raise</t>
  </si>
  <si>
    <t xml:space="preserve">Thirty-day ratio</t>
  </si>
  <si>
    <t xml:space="preserve">Above one, growth pays for itself</t>
  </si>
  <si>
    <t xml:space="preserve">Cost per customer, before</t>
  </si>
  <si>
    <t xml:space="preserve">Against the lifetime gross profit</t>
  </si>
  <si>
    <t xml:space="preserve">Procedures someone else runs</t>
  </si>
  <si>
    <t xml:space="preserve">machine_channel_now</t>
  </si>
  <si>
    <t xml:space="preserve">first_channel</t>
  </si>
  <si>
    <t xml:space="preserve">next_move</t>
  </si>
  <si>
    <t xml:space="preserve">hook_format</t>
  </si>
  <si>
    <t xml:space="preserve">hook_next</t>
  </si>
  <si>
    <t xml:space="preserve">magnet_type</t>
  </si>
  <si>
    <t xml:space="preserve">nurture_next</t>
  </si>
  <si>
    <t xml:space="preserve">closing_next</t>
  </si>
  <si>
    <t xml:space="preserve">proof_next</t>
  </si>
  <si>
    <t xml:space="preserve">ad_place</t>
  </si>
  <si>
    <t xml:space="preserve">ads_next</t>
  </si>
  <si>
    <t xml:space="preserve">ret_next</t>
  </si>
  <si>
    <t xml:space="preserve">ltv_lever_pick</t>
  </si>
  <si>
    <t xml:space="preserve">ltv_next</t>
  </si>
  <si>
    <t xml:space="preserve">brand_next</t>
  </si>
  <si>
    <t xml:space="preserve">grandfather</t>
  </si>
  <si>
    <t xml:space="preserve">price_next</t>
  </si>
  <si>
    <t xml:space="preserve">attraction_type</t>
  </si>
  <si>
    <t xml:space="preserve">promo_next</t>
  </si>
  <si>
    <t xml:space="preserve">sops_next</t>
  </si>
  <si>
    <t xml:space="preserve">yesno</t>
  </si>
  <si>
    <t xml:space="preserve">Warm outreach: people who know me</t>
  </si>
  <si>
    <t xml:space="preserve">Warm outreach</t>
  </si>
  <si>
    <t xml:space="preserve">More: double the volume on the same channel</t>
  </si>
  <si>
    <t xml:space="preserve">A post</t>
  </si>
  <si>
    <t xml:space="preserve">The frame</t>
  </si>
  <si>
    <t xml:space="preserve">Reveal a problem they did not know they had: an audit, a score, a checklist</t>
  </si>
  <si>
    <t xml:space="preserve">Faster: cut the reply time in half</t>
  </si>
  <si>
    <t xml:space="preserve">Show rate: fix the reminders before the call</t>
  </si>
  <si>
    <t xml:space="preserve">Numbers: turn stories into results with figures</t>
  </si>
  <si>
    <t xml:space="preserve">Short video</t>
  </si>
  <si>
    <t xml:space="preserve">Hook: the click rate is low</t>
  </si>
  <si>
    <t xml:space="preserve">Onboarding: the first week</t>
  </si>
  <si>
    <t xml:space="preserve">More customers</t>
  </si>
  <si>
    <t xml:space="preserve">Raise the price (see Price Raise)</t>
  </si>
  <si>
    <t xml:space="preserve">Narrower: cut who it is for</t>
  </si>
  <si>
    <t xml:space="preserve">The old price for a set term</t>
  </si>
  <si>
    <t xml:space="preserve">Raise again in a quarter</t>
  </si>
  <si>
    <t xml:space="preserve">Win your money back: a result earns a refund or a credit</t>
  </si>
  <si>
    <t xml:space="preserve">Raise the attraction offer's string</t>
  </si>
  <si>
    <t xml:space="preserve">Hand off one more procedure</t>
  </si>
  <si>
    <t xml:space="preserve">Y</t>
  </si>
  <si>
    <t xml:space="preserve">Content: posting for people who do not know me yet</t>
  </si>
  <si>
    <t xml:space="preserve">Content</t>
  </si>
  <si>
    <t xml:space="preserve">Better: fix the message, same volume</t>
  </si>
  <si>
    <t xml:space="preserve">An email subject line</t>
  </si>
  <si>
    <t xml:space="preserve">The who</t>
  </si>
  <si>
    <t xml:space="preserve">A sample or trial of the real thing</t>
  </si>
  <si>
    <t xml:space="preserve">More: add three touches</t>
  </si>
  <si>
    <t xml:space="preserve">Close rate: tighten the label and the overview</t>
  </si>
  <si>
    <t xml:space="preserve">Faces: get three on video</t>
  </si>
  <si>
    <t xml:space="preserve">Image and text</t>
  </si>
  <si>
    <t xml:space="preserve">Page: clicks do not become leads</t>
  </si>
  <si>
    <t xml:space="preserve">Cadence: the check-ins</t>
  </si>
  <si>
    <t xml:space="preserve">More per purchase</t>
  </si>
  <si>
    <t xml:space="preserve">Add the upsell (see Promo Cash)</t>
  </si>
  <si>
    <t xml:space="preserve">Louder: more touches</t>
  </si>
  <si>
    <t xml:space="preserve">The old price for as long as they stay</t>
  </si>
  <si>
    <t xml:space="preserve">Hold: the loss was near breakeven</t>
  </si>
  <si>
    <t xml:space="preserve">Free with a string: free now, paid after, or a deposit</t>
  </si>
  <si>
    <t xml:space="preserve">Raise the upsell take rate</t>
  </si>
  <si>
    <t xml:space="preserve">Cut a number nobody uses</t>
  </si>
  <si>
    <t xml:space="preserve">N</t>
  </si>
  <si>
    <t xml:space="preserve">Cold outreach: contacting strangers</t>
  </si>
  <si>
    <t xml:space="preserve">Cold outreach</t>
  </si>
  <si>
    <t xml:space="preserve">New: add the next channel, keep this one running</t>
  </si>
  <si>
    <t xml:space="preserve">An ad</t>
  </si>
  <si>
    <t xml:space="preserve">The claim</t>
  </si>
  <si>
    <t xml:space="preserve">One step of a multi-step result: the first week, the first tool</t>
  </si>
  <si>
    <t xml:space="preserve">Better: change the magnet</t>
  </si>
  <si>
    <t xml:space="preserve">Cash rate: change the payment ask</t>
  </si>
  <si>
    <t xml:space="preserve">Reach: get third-party marks</t>
  </si>
  <si>
    <t xml:space="preserve">Long video</t>
  </si>
  <si>
    <t xml:space="preserve">Sales: leads do not become buyers (see Closing Handbook)</t>
  </si>
  <si>
    <t xml:space="preserve">Fit: stop selling to the ones who leave</t>
  </si>
  <si>
    <t xml:space="preserve">More purchases</t>
  </si>
  <si>
    <t xml:space="preserve">Cut churn (see Retention)</t>
  </si>
  <si>
    <t xml:space="preserve">Tighter: fix the off-brand touches</t>
  </si>
  <si>
    <t xml:space="preserve">Nothing: everyone moves on the same day</t>
  </si>
  <si>
    <t xml:space="preserve">Add a higher tier above it</t>
  </si>
  <si>
    <t xml:space="preserve">Commit for a discount: a term for a lower price</t>
  </si>
  <si>
    <t xml:space="preserve">Add continuity</t>
  </si>
  <si>
    <t xml:space="preserve">Fix the one number that fell</t>
  </si>
  <si>
    <t xml:space="preserve">Paid ads</t>
  </si>
  <si>
    <t xml:space="preserve">A video opener</t>
  </si>
  <si>
    <t xml:space="preserve">The format it runs in</t>
  </si>
  <si>
    <t xml:space="preserve">Reactivate: send the short check-in to the whole old list</t>
  </si>
  <si>
    <t xml:space="preserve">Handoff: write the script so someone else can run it</t>
  </si>
  <si>
    <t xml:space="preserve">Guarantee: back the biggest doubt with a promise</t>
  </si>
  <si>
    <t xml:space="preserve">Search text</t>
  </si>
  <si>
    <t xml:space="preserve">Scale: the ratio holds, spend more</t>
  </si>
  <si>
    <t xml:space="preserve">Winback: reactivate the ones who left</t>
  </si>
  <si>
    <t xml:space="preserve">A longer stay</t>
  </si>
  <si>
    <t xml:space="preserve">Cut the cost to acquire (see GOATed Ads, Marketing Machine)</t>
  </si>
  <si>
    <t xml:space="preserve">Bigger: stand beside a name they already trust</t>
  </si>
  <si>
    <t xml:space="preserve">Add a lower entry below it (see Promo Cash)</t>
  </si>
  <si>
    <t xml:space="preserve">Giveaway: a prize that collects many leads</t>
  </si>
  <si>
    <t xml:space="preserve">Cut delivery cost in the first 30 days</t>
  </si>
  <si>
    <t xml:space="preserve">Hire for the biggest owner-only task</t>
  </si>
  <si>
    <t xml:space="preserve">None yet</t>
  </si>
  <si>
    <t xml:space="preserve">A direct message opener</t>
  </si>
  <si>
    <t xml:space="preserve">Decoy: a lesser option that makes the real one obvious</t>
  </si>
  <si>
    <t xml:space="preserve">Readings: every figure the binder earns, as live formulas</t>
  </si>
  <si>
    <t xml:space="preserve">Nothing here is typed. Each figure reads the facts on its playbook sheet and says "not yet" until they exist. Rules of thumb are rules of thumb, not findings.</t>
  </si>
  <si>
    <t xml:space="preserve">Sales: Closing Handbook</t>
  </si>
  <si>
    <t xml:space="preserve">Seven of ten is the rule of thumb to beat.</t>
  </si>
  <si>
    <t xml:space="preserve">Close rate, after the run</t>
  </si>
  <si>
    <t xml:space="preserve">Cash collected per sale</t>
  </si>
  <si>
    <t xml:space="preserve">Compare with the price in Lifetime Value.</t>
  </si>
  <si>
    <t xml:space="preserve">Share of the price collected at the close</t>
  </si>
  <si>
    <t xml:space="preserve">The funnel, last month</t>
  </si>
  <si>
    <t xml:space="preserve">Step</t>
  </si>
  <si>
    <t xml:space="preserve">Count</t>
  </si>
  <si>
    <t xml:space="preserve">Booked</t>
  </si>
  <si>
    <t xml:space="preserve">Showed</t>
  </si>
  <si>
    <t xml:space="preserve">Bought</t>
  </si>
  <si>
    <t xml:space="preserve">Objections heard</t>
  </si>
  <si>
    <t xml:space="preserve">Objection</t>
  </si>
  <si>
    <t xml:space="preserve">Times heard</t>
  </si>
  <si>
    <t xml:space="preserve">Answered well</t>
  </si>
  <si>
    <t xml:space="preserve">Sales: Proof Checklist</t>
  </si>
  <si>
    <t xml:space="preserve">Proof by kind</t>
  </si>
  <si>
    <t xml:space="preserve">Kind</t>
  </si>
  <si>
    <t xml:space="preserve">Results with a number</t>
  </si>
  <si>
    <t xml:space="preserve">Named testimonials</t>
  </si>
  <si>
    <t xml:space="preserve">Before and after</t>
  </si>
  <si>
    <t xml:space="preserve">Third-party marks</t>
  </si>
  <si>
    <t xml:space="preserve">Demonstrations</t>
  </si>
  <si>
    <t xml:space="preserve">Claims listed</t>
  </si>
  <si>
    <t xml:space="preserve">Claims with a proof beside them</t>
  </si>
  <si>
    <t xml:space="preserve">Rows of the proof map whose second column is filled and is not the word cut.</t>
  </si>
  <si>
    <t xml:space="preserve">Coverage (claims with proof / claims)</t>
  </si>
  <si>
    <t xml:space="preserve">Testimonials per 100 customers</t>
  </si>
  <si>
    <t xml:space="preserve">Asks that came back</t>
  </si>
  <si>
    <t xml:space="preserve">Sales: GOATed Ads</t>
  </si>
  <si>
    <t xml:space="preserve">The ad chain, last month</t>
  </si>
  <si>
    <t xml:space="preserve">Shown</t>
  </si>
  <si>
    <t xml:space="preserve">Clicked</t>
  </si>
  <si>
    <t xml:space="preserve">Cost per thousand shown</t>
  </si>
  <si>
    <t xml:space="preserve">Click rate</t>
  </si>
  <si>
    <t xml:space="preserve">Cost per lead, before</t>
  </si>
  <si>
    <t xml:space="preserve">Cost per lead, after the run</t>
  </si>
  <si>
    <t xml:space="preserve">Cost per customer, after the run</t>
  </si>
  <si>
    <t xml:space="preserve">Leads: Marketing Machine</t>
  </si>
  <si>
    <t xml:space="preserve">The four ways, per week</t>
  </si>
  <si>
    <t xml:space="preserve">Way</t>
  </si>
  <si>
    <t xml:space="preserve">Per week</t>
  </si>
  <si>
    <t xml:space="preserve">Paid ads ($)</t>
  </si>
  <si>
    <t xml:space="preserve">Customers wanted, divided by the close rate (Closing Handbook) and the booking rate (Lead Nurture).</t>
  </si>
  <si>
    <t xml:space="preserve">Leads you have per month</t>
  </si>
  <si>
    <t xml:space="preserve">Leads per hundred contacts, before</t>
  </si>
  <si>
    <t xml:space="preserve">Leads per hundred contacts, after the run</t>
  </si>
  <si>
    <t xml:space="preserve">Leads: Hooks</t>
  </si>
  <si>
    <t xml:space="preserve">Hook rate, before (engaged / views)</t>
  </si>
  <si>
    <t xml:space="preserve">Hook rate, after the run</t>
  </si>
  <si>
    <t xml:space="preserve">The three hooks, by count</t>
  </si>
  <si>
    <t xml:space="preserve">Hook</t>
  </si>
  <si>
    <t xml:space="preserve">Leads: Lead Nurture</t>
  </si>
  <si>
    <t xml:space="preserve">Minutes to first reply, before</t>
  </si>
  <si>
    <t xml:space="preserve">Five minutes is the rule of thumb.</t>
  </si>
  <si>
    <t xml:space="preserve">Minutes to first reply, after the run</t>
  </si>
  <si>
    <t xml:space="preserve">Leads who book, before</t>
  </si>
  <si>
    <t xml:space="preserve">Leads who book, after the run</t>
  </si>
  <si>
    <t xml:space="preserve">Replies by touch</t>
  </si>
  <si>
    <t xml:space="preserve">Touch</t>
  </si>
  <si>
    <t xml:space="preserve">Sent</t>
  </si>
  <si>
    <t xml:space="preserve">Replied</t>
  </si>
  <si>
    <t xml:space="preserve">Share</t>
  </si>
  <si>
    <t xml:space="preserve">Delivery: Lifetime Value</t>
  </si>
  <si>
    <t xml:space="preserve">Price, times gross margin, times purchases over the stay.</t>
  </si>
  <si>
    <t xml:space="preserve">Lifetime gross profit, after the quarter</t>
  </si>
  <si>
    <t xml:space="preserve">Three to one is the rule of thumb. Below one, every customer loses money.</t>
  </si>
  <si>
    <t xml:space="preserve">The same ratio, after the quarter</t>
  </si>
  <si>
    <t xml:space="preserve">A hundred customers, levers pulled at ten percent each</t>
  </si>
  <si>
    <t xml:space="preserve">Levers pulled</t>
  </si>
  <si>
    <t xml:space="preserve">Gross profit</t>
  </si>
  <si>
    <t xml:space="preserve">Today</t>
  </si>
  <si>
    <t xml:space="preserve">1 lever</t>
  </si>
  <si>
    <t xml:space="preserve">2 levers</t>
  </si>
  <si>
    <t xml:space="preserve">3 levers</t>
  </si>
  <si>
    <t xml:space="preserve">4 levers</t>
  </si>
  <si>
    <t xml:space="preserve">Delivery: Retention</t>
  </si>
  <si>
    <t xml:space="preserve">Monthly churn, after the run</t>
  </si>
  <si>
    <t xml:space="preserve">Expected stay, months (1 / churn)</t>
  </si>
  <si>
    <t xml:space="preserve">At zero churn the stay cannot be measured yet.</t>
  </si>
  <si>
    <t xml:space="preserve">Of a hundred who start, who is still here</t>
  </si>
  <si>
    <t xml:space="preserve">Month</t>
  </si>
  <si>
    <t xml:space="preserve">Still here</t>
  </si>
  <si>
    <t xml:space="preserve">Cohorts</t>
  </si>
  <si>
    <t xml:space="preserve">Started</t>
  </si>
  <si>
    <t xml:space="preserve">Delivery: Branding</t>
  </si>
  <si>
    <t xml:space="preserve">Touches that matched the brand, before</t>
  </si>
  <si>
    <t xml:space="preserve">Touches that matched the brand, after the run</t>
  </si>
  <si>
    <t xml:space="preserve">The brand lists against their targets</t>
  </si>
  <si>
    <t xml:space="preserve">List</t>
  </si>
  <si>
    <t xml:space="preserve">Have</t>
  </si>
  <si>
    <t xml:space="preserve">Target</t>
  </si>
  <si>
    <t xml:space="preserve">Stand beside</t>
  </si>
  <si>
    <t xml:space="preserve">Never</t>
  </si>
  <si>
    <t xml:space="preserve">Fixed elements</t>
  </si>
  <si>
    <t xml:space="preserve">Profit: Price Raise</t>
  </si>
  <si>
    <t xml:space="preserve">The raise divided by the margin plus the raise.</t>
  </si>
  <si>
    <t xml:space="preserve">Monthly gross profit today</t>
  </si>
  <si>
    <t xml:space="preserve">Monthly gross profit, first month at the new price</t>
  </si>
  <si>
    <t xml:space="preserve">Monthly gross profit against the share of customers kept (they cross at the breakeven loss)</t>
  </si>
  <si>
    <t xml:space="preserve">Kept</t>
  </si>
  <si>
    <t xml:space="preserve">New price</t>
  </si>
  <si>
    <t xml:space="preserve">Profit: Promo Cash</t>
  </si>
  <si>
    <t xml:space="preserve">Cash in the first thirty days</t>
  </si>
  <si>
    <t xml:space="preserve">First purchase plus the upsell at its take rate.</t>
  </si>
  <si>
    <t xml:space="preserve">Cost in the first thirty days</t>
  </si>
  <si>
    <t xml:space="preserve">To acquire (Lifetime Value) plus to deliver.</t>
  </si>
  <si>
    <t xml:space="preserve">Above one, growth pays for itself.</t>
  </si>
  <si>
    <t xml:space="preserve">Thirty-day ratio, after the run</t>
  </si>
  <si>
    <t xml:space="preserve">Thirty-day cash against cost</t>
  </si>
  <si>
    <t xml:space="preserve">Bar</t>
  </si>
  <si>
    <t xml:space="preserve">First purchase</t>
  </si>
  <si>
    <t xml:space="preserve">Upsell</t>
  </si>
  <si>
    <t xml:space="preserve">To acquire</t>
  </si>
  <si>
    <t xml:space="preserve">To deliver</t>
  </si>
  <si>
    <t xml:space="preserve">Cash in 30 days</t>
  </si>
  <si>
    <t xml:space="preserve">Cost in 30 days</t>
  </si>
  <si>
    <t xml:space="preserve">Profit: Implementation SOPs</t>
  </si>
  <si>
    <t xml:space="preserve">Hours a week on work someone else could do, before</t>
  </si>
  <si>
    <t xml:space="preserve">The same, after four weeks</t>
  </si>
  <si>
    <t xml:space="preserve">The scorecard, week by week</t>
  </si>
  <si>
    <t xml:space="preserve">Week</t>
  </si>
  <si>
    <t xml:space="preserve">Cash</t>
  </si>
  <si>
    <t xml:space="preserve">Leads system</t>
  </si>
  <si>
    <t xml:space="preserve">Four ways to let people know you exist, and how much of each you need.</t>
  </si>
  <si>
    <t xml:space="preserve">Advertising is letting people know about the thing you sell. There are only four ways to do it: reach out to people who already know you, post content for people who do not know you yet, reach out cold to strangers, and pay to put your message in front of them. Anyone else who gets you leads is doing one of those four on your behalf. The machine is the amount of each you do every day, on purpose, counted.</t>
  </si>
  <si>
    <t xml:space="preserve">Where you stand on this planet</t>
  </si>
  <si>
    <t xml:space="preserve">#</t>
  </si>
  <si>
    <t xml:space="preserve">Band</t>
  </si>
  <si>
    <t xml:space="preserve">Status</t>
  </si>
  <si>
    <t xml:space="preserve">Read: The one idea, and where you stand on it today</t>
  </si>
  <si>
    <t xml:space="preserve">Facts: The few numbers this playbook runs on</t>
  </si>
  <si>
    <t xml:space="preserve">Exercises: The pen and paper work the playbook asks for</t>
  </si>
  <si>
    <t xml:space="preserve">Build: Assemble the thing you will use, and tick it off</t>
  </si>
  <si>
    <t xml:space="preserve">Run: Use it for a stretch and log what happened</t>
  </si>
  <si>
    <t xml:space="preserve">Sharpen: The moves only visible once the numbers are real</t>
  </si>
  <si>
    <t xml:space="preserve">Yellow cells are yours to fill. A band is done when every yellow cell in it holds an answer and every checklist item is Y.</t>
  </si>
  <si>
    <t xml:space="preserve">Working on band</t>
  </si>
  <si>
    <t xml:space="preserve">Share of this planet answered</t>
  </si>
  <si>
    <t xml:space="preserve">Exercise or step</t>
  </si>
  <si>
    <t xml:space="preserve">Your answer</t>
  </si>
  <si>
    <t xml:space="preserve">✓</t>
  </si>
  <si>
    <t xml:space="preserve">Example</t>
  </si>
  <si>
    <t xml:space="preserve">What counts, where to look</t>
  </si>
  <si>
    <t xml:space="preserve">band</t>
  </si>
  <si>
    <t xml:space="preserve">Band 1 · Read · reveal · about 6 min:  The four ways, and what you do now</t>
  </si>
  <si>
    <t xml:space="preserve">why</t>
  </si>
  <si>
    <t xml:space="preserve">Most lead problems are volume problems wearing a strategy costume. Before choosing anything, write down what actually happened last week.</t>
  </si>
  <si>
    <t xml:space="preserve">exercise</t>
  </si>
  <si>
    <t xml:space="preserve">How steady is your lead flow, 1 to 5</t>
  </si>
  <si>
    <t xml:space="preserve">One is not at all, five is fully. Your honest read today.</t>
  </si>
  <si>
    <t xml:space="preserve">What you did last week to get leads, literally</t>
  </si>
  <si>
    <t xml:space="preserve">About thirty warm messages, five posts, twenty cold DMs. No ads worth counting.</t>
  </si>
  <si>
    <t xml:space="preserve">How many messages, how many posts, how many cold contacts, how many dollars. Count, do not describe.</t>
  </si>
  <si>
    <t xml:space="preserve">The channel that brings most of your leads today</t>
  </si>
  <si>
    <t xml:space="preserve">Pick one from the dropdown.</t>
  </si>
  <si>
    <t xml:space="preserve">head</t>
  </si>
  <si>
    <t xml:space="preserve">Checklist</t>
  </si>
  <si>
    <t xml:space="preserve">check</t>
  </si>
  <si>
    <t xml:space="preserve">☐ I can name the four ways to get leads without looking</t>
  </si>
  <si>
    <t xml:space="preserve">Y when it is true.</t>
  </si>
  <si>
    <t xml:space="preserve">☐ I wrote what I actually did last week, not what I meant to do</t>
  </si>
  <si>
    <t xml:space="preserve">checkpoint</t>
  </si>
  <si>
    <t xml:space="preserve">When this band is done: The planet shows where you start and the four ways are named.</t>
  </si>
  <si>
    <t xml:space="preserve">Band 2 · Facts · reveal · about 8 min:  The weekly counts</t>
  </si>
  <si>
    <t xml:space="preserve">A machine has dials. These are the dials: how much of each way you do in a normal week, and how many people raise a hand because of it.</t>
  </si>
  <si>
    <t xml:space="preserve">Warm reach-outs per week</t>
  </si>
  <si>
    <t xml:space="preserve">Messages to people who already know you: contacts, followers, past customers.</t>
  </si>
  <si>
    <t xml:space="preserve">Pieces of content per week</t>
  </si>
  <si>
    <t xml:space="preserve">Posts, emails, videos: anything for people who do not know you yet.</t>
  </si>
  <si>
    <t xml:space="preserve">Cold contacts per week</t>
  </si>
  <si>
    <t xml:space="preserve">Strangers you reached out to first: calls, DMs, emails, doors.</t>
  </si>
  <si>
    <t xml:space="preserve">Ad spend per week</t>
  </si>
  <si>
    <t xml:space="preserve">Dollars paid for attention. Zero is a number; leave it blank if you do not know. Whole dollars.</t>
  </si>
  <si>
    <t xml:space="preserve">Engaged leads per month</t>
  </si>
  <si>
    <t xml:space="preserve">People who replied, booked, or opted in. A view is not a lead.</t>
  </si>
  <si>
    <t xml:space="preserve">New customers you want per month</t>
  </si>
  <si>
    <t xml:space="preserve">The target the machine has to produce.</t>
  </si>
  <si>
    <t xml:space="preserve">☐ Every count comes from a log, a sent folder or a receipt, not from memory</t>
  </si>
  <si>
    <t xml:space="preserve">When this band is done: The machine mix draws, and the leads-needed figure computes once Closing and Lead Nurture have their rates.</t>
  </si>
  <si>
    <t xml:space="preserve">Band 3 · Exercises · reveal · about 25 min:  The warm list, the topics, the cold sources</t>
  </si>
  <si>
    <t xml:space="preserve">Warm outreach is the cheapest lead you will ever get, and almost nobody does it fully. Content starts with questions you already get asked. Cold outreach starts with a list that already exists somewhere.</t>
  </si>
  <si>
    <t xml:space="preserve">Your warm list, one name a line</t>
  </si>
  <si>
    <t xml:space="preserve">Jordan (old colleague)
Sam (gym)
Priya (newsletter reply)
Alex (cousin)
Dev (podcast guest)</t>
  </si>
  <si>
    <t xml:space="preserve">Everyone who has your number, follows you, or has emailed you. Aim for 100. Stop when you run out, not when you get bored. One a line: Alt+Enter starts a new line inside the cell.</t>
  </si>
  <si>
    <t xml:space="preserve">Ten things a customer asked you this month, one a line</t>
  </si>
  <si>
    <t xml:space="preserve">Should I pay off the loan or invest?
How much emergency fund is enough?
Is my 401k match worth it?</t>
  </si>
  <si>
    <t xml:space="preserve">Each is a piece of content. Their question is the hook. One a line: Alt+Enter starts a new line inside the cell.</t>
  </si>
  <si>
    <t xml:space="preserve">Three places a list of your strangers already exists</t>
  </si>
  <si>
    <t xml:space="preserve">A directory, a group, a conference list, a public register. One a line: Alt+Enter starts a new line inside the cell.</t>
  </si>
  <si>
    <t xml:space="preserve">The one channel you will max out first</t>
  </si>
  <si>
    <t xml:space="preserve">One. The rule is: max one channel before adding the next. Pick one from the dropdown.</t>
  </si>
  <si>
    <t xml:space="preserve">☐ The warm list is every name I have, not a sample</t>
  </si>
  <si>
    <t xml:space="preserve">☐ The ten topics are real questions, in the words they were asked</t>
  </si>
  <si>
    <t xml:space="preserve">When this band is done: Three lists exist and one channel is chosen.</t>
  </si>
  <si>
    <t xml:space="preserve">Band 4 · Build · power · about 10 min:  The daily minimum</t>
  </si>
  <si>
    <t xml:space="preserve">A number you hit every day beats a plan you admire. Write the minimum as counts per day, then put someone in charge of it, even if that someone is you on Friday.</t>
  </si>
  <si>
    <t xml:space="preserve">Your daily advertising minimum</t>
  </si>
  <si>
    <t xml:space="preserve">Per day: how many warm messages, how many pieces of content, how many cold contacts, how many ad dollars. Small and daily beats big and monthly.</t>
  </si>
  <si>
    <t xml:space="preserve">Where the daily count is logged</t>
  </si>
  <si>
    <t xml:space="preserve">A sheet, a note, a wall. It has to exist before day one.</t>
  </si>
  <si>
    <t xml:space="preserve">☐ A place to log every day's count exists</t>
  </si>
  <si>
    <t xml:space="preserve">☐ The warm list has 100 names or every name I have</t>
  </si>
  <si>
    <t xml:space="preserve">☐ The first channel has a daily number attached</t>
  </si>
  <si>
    <t xml:space="preserve">☐ Someone is accountable for the number by Friday, even if it is me</t>
  </si>
  <si>
    <t xml:space="preserve">☐ The minimum is small enough to hit on a bad day</t>
  </si>
  <si>
    <t xml:space="preserve">When this band is done: The plan is written and the log is ready.</t>
  </si>
  <si>
    <t xml:space="preserve">Band 5 · Run · certainty · about 15 min:  Run it for two weeks</t>
  </si>
  <si>
    <t xml:space="preserve">Now the machine gets numbers of its own. Count reach and count leads. The ratio between them is the first honest reading of your message.</t>
  </si>
  <si>
    <t xml:space="preserve">Days you ran the daily minimum</t>
  </si>
  <si>
    <t xml:space="preserve">Contacts made in the run</t>
  </si>
  <si>
    <t xml:space="preserve">Every warm message, post, cold contact and thousand ad views, all counted as one each.</t>
  </si>
  <si>
    <t xml:space="preserve">Engaged leads from the run</t>
  </si>
  <si>
    <t xml:space="preserve">Replied, booked or opted in.</t>
  </si>
  <si>
    <t xml:space="preserve">Days the minimum was actually hit</t>
  </si>
  <si>
    <t xml:space="preserve">☐ The daily minimum was hit at least four days in five</t>
  </si>
  <si>
    <t xml:space="preserve">When this band is done: Your lead rate shows beside the rate you had before.</t>
  </si>
  <si>
    <t xml:space="preserve">Band 6 · Sharpen · power · about 10 min:  More, better, new</t>
  </si>
  <si>
    <t xml:space="preserve">When the machine works a little, the temptation is to add a channel. The rule is: more of the same first, then better, then new. Lead getters (customers who refer, employees, agencies, affiliates) are the four ways done by other people.</t>
  </si>
  <si>
    <t xml:space="preserve">The next move</t>
  </si>
  <si>
    <t xml:space="preserve">Take More unless volume is truly maxed. Take New last. Pick one from the dropdown.</t>
  </si>
  <si>
    <t xml:space="preserve">One person for each lead getter that applies</t>
  </si>
  <si>
    <t xml:space="preserve">A past customer who would refer, an employee who could do outreach, an agency, an affiliate. Name a real person or write none. One a line: Alt+Enter starts a new line inside the cell.</t>
  </si>
  <si>
    <t xml:space="preserve">☐ I doubled the volume before I changed the channel</t>
  </si>
  <si>
    <t xml:space="preserve">☐ A referral ask is written into the delivery (see Retention)</t>
  </si>
  <si>
    <t xml:space="preserve">☐ The weekly counts are on the scorecard (see Implementation SOPs)</t>
  </si>
  <si>
    <t xml:space="preserve">When this band is done: The next move is decided and a lead getter is named.</t>
  </si>
  <si>
    <t xml:space="preserve">The first line earns the second. Nothing you make gets read without one.</t>
  </si>
  <si>
    <t xml:space="preserve">A hook is the part of a message people see before they decide whether to keep going: the headline, the first sentence, the first second of a video, the subject line. Most attention is lost right there. The work is not to write one good hook and hope. It is to write many, score them, run the best few, and keep the winners in a bank you draw on for years.</t>
  </si>
  <si>
    <t xml:space="preserve">Band 1 · Read · reveal · about 5 min:  Read your last three first lines as a stranger</t>
  </si>
  <si>
    <t xml:space="preserve">You cannot fix what you have not looked at. Pull up the last three things you sent or posted and read only the first line of each.</t>
  </si>
  <si>
    <t xml:space="preserve">How often does what you post or send get a reply or a click, 1 to 5</t>
  </si>
  <si>
    <t xml:space="preserve">Your last three hooks, pasted in</t>
  </si>
  <si>
    <t xml:space="preserve">The headline, the first line, the subject line. As they were, not as you would fix them.</t>
  </si>
  <si>
    <t xml:space="preserve">☐ I read my last three first lines as a stranger would</t>
  </si>
  <si>
    <t xml:space="preserve">☐ I can say who each one was for</t>
  </si>
  <si>
    <t xml:space="preserve">When this band is done: Your starting point on the planet is set.</t>
  </si>
  <si>
    <t xml:space="preserve">Band 2 · Facts · reveal · about 5 min:  Last week's attention</t>
  </si>
  <si>
    <t xml:space="preserve">Two counts turn a feeling into a rate: how many people saw the first line, and how many did anything after it.</t>
  </si>
  <si>
    <t xml:space="preserve">Views or opens last week, total</t>
  </si>
  <si>
    <t xml:space="preserve">Across every post, email and ad.</t>
  </si>
  <si>
    <t xml:space="preserve">Replies, clicks or saves last week, total</t>
  </si>
  <si>
    <t xml:space="preserve">Hooks you drafted last week</t>
  </si>
  <si>
    <t xml:space="preserve">Drafts, not posts. Zero is a number.</t>
  </si>
  <si>
    <t xml:space="preserve">☐ The counts come from the platform, not a guess</t>
  </si>
  <si>
    <t xml:space="preserve">When this band is done: Your hook rate shows.</t>
  </si>
  <si>
    <t xml:space="preserve">Band 3 · Exercises · reveal · about 25 min:  Twenty hooks for one idea</t>
  </si>
  <si>
    <t xml:space="preserve">Volume is the method. Twenty hooks for one idea, using different frames, gets you two good ones. One hook gets you one hope.</t>
  </si>
  <si>
    <t xml:space="preserve">Who it is for, in the words they use for themselves</t>
  </si>
  <si>
    <t xml:space="preserve">The one fact or result that backs the idea</t>
  </si>
  <si>
    <t xml:space="preserve">A number, a name, a before and after. If there is none, see Proof Checklist.</t>
  </si>
  <si>
    <t xml:space="preserve">Twenty hooks for the idea, one a line</t>
  </si>
  <si>
    <t xml:space="preserve">Frames to rotate: a question, a number, a claim with a condition, a common mistake, a before and after, a call-out of who it is for, a short story opener. One a line: Alt+Enter starts a new line inside the cell.</t>
  </si>
  <si>
    <t xml:space="preserve">☐ All twenty are for the same idea</t>
  </si>
  <si>
    <t xml:space="preserve">☐ At least five different frames were used</t>
  </si>
  <si>
    <t xml:space="preserve">☐ None promises more than the proof can back</t>
  </si>
  <si>
    <t xml:space="preserve">When this band is done: A hook bank exists.</t>
  </si>
  <si>
    <t xml:space="preserve">Band 4 · Build · power · about 10 min:  Pick three and place them</t>
  </si>
  <si>
    <t xml:space="preserve">Score each hook on four things: it is specific, it is for someone, it makes you curious, and it is true. Take the top three, and make sure they are three different frames, not one hook three ways.</t>
  </si>
  <si>
    <t xml:space="preserve">Your top three, one a line, highest score first</t>
  </si>
  <si>
    <t xml:space="preserve">One a line: Alt+Enter starts a new line inside the cell.</t>
  </si>
  <si>
    <t xml:space="preserve">Where the three will run</t>
  </si>
  <si>
    <t xml:space="preserve">☐ Each of the three names who it is for or what it is about in the first five words</t>
  </si>
  <si>
    <t xml:space="preserve">☐ None of the three promises something the proof cannot back</t>
  </si>
  <si>
    <t xml:space="preserve">☐ The three are different frames, not one hook three ways</t>
  </si>
  <si>
    <t xml:space="preserve">☐ Each one is scheduled to run at least three times</t>
  </si>
  <si>
    <t xml:space="preserve">When this band is done: Three hooks are placed and scheduled.</t>
  </si>
  <si>
    <t xml:space="preserve">Band 5 · Run · certainty · about 10 min:  Run the three</t>
  </si>
  <si>
    <t xml:space="preserve">Run each hook enough times to compare. Count the same thing for each: replies, clicks or saves. Then write the count beside each hook.</t>
  </si>
  <si>
    <t xml:space="preserve">Times the three ran in total</t>
  </si>
  <si>
    <t xml:space="preserve">Posts sent, emails sent, or ad views in hundreds.</t>
  </si>
  <si>
    <t xml:space="preserve">Replies, clicks or saves the three got, total</t>
  </si>
  <si>
    <t xml:space="preserve">Each hook with its count, hook | count</t>
  </si>
  <si>
    <t xml:space="preserve">e.g. The 401k mistake I see every week | 41</t>
  </si>
  <si>
    <t xml:space="preserve">One a line. The bar beside it draws from the number after the bar. Fill the small table below, one row a line.</t>
  </si>
  <si>
    <t xml:space="preserve">logrow</t>
  </si>
  <si>
    <t xml:space="preserve">☐ Each hook ran at least three times before I judged it</t>
  </si>
  <si>
    <t xml:space="preserve">When this band is done: Before and after hook rates sit side by side, and the three are ranked.</t>
  </si>
  <si>
    <t xml:space="preserve">Band 6 · Sharpen · power · about 8 min:  Keep the winners, mark the losers</t>
  </si>
  <si>
    <t xml:space="preserve">A hook that beat the average goes in the bank and gets reused. A hook that lost goes in the bank too, marked, so you never rewrite it by accident.</t>
  </si>
  <si>
    <t xml:space="preserve">Winners to keep in the bank, one a line</t>
  </si>
  <si>
    <t xml:space="preserve">Used more than once and beat the average. One a line: Alt+Enter starts a new line inside the cell.</t>
  </si>
  <si>
    <t xml:space="preserve">What to change next</t>
  </si>
  <si>
    <t xml:space="preserve">☐ Winning hooks are in a bank I can open in ten seconds</t>
  </si>
  <si>
    <t xml:space="preserve">☐ Losing hooks are in the bank too, marked as losers</t>
  </si>
  <si>
    <t xml:space="preserve">☐ Next week's twenty are on the calendar</t>
  </si>
  <si>
    <t xml:space="preserve">When this band is done: The bank has winners and the next twenty are scheduled.</t>
  </si>
  <si>
    <t xml:space="preserve">A lead is a person who raised a hand. The next hour and the next thirty days decide whether it counts.</t>
  </si>
  <si>
    <t xml:space="preserve">Most leads are lost between the hand-raise and the conversation. Speed is the first lever: a reply inside minutes is worth many replies tomorrow. Persistence is the second: most people need to hear from you more times than feels polite, and they are not annoyed, they are busy. A lead magnet, a small free thing that solves one narrow problem and shows the next one, gives every follow-up a reason to exist.</t>
  </si>
  <si>
    <t xml:space="preserve">Band 1 · Read · reveal · about 6 min:  What happens when a hand goes up</t>
  </si>
  <si>
    <t xml:space="preserve">Time it. Count it. Most people are shocked by both numbers the first time they look.</t>
  </si>
  <si>
    <t xml:space="preserve">How fast and how many times a new lead hears from you, 1 to 5</t>
  </si>
  <si>
    <t xml:space="preserve">What happens today when someone raises a hand</t>
  </si>
  <si>
    <t xml:space="preserve">Who replies, in how long, how many times, with what. Step by step.</t>
  </si>
  <si>
    <t xml:space="preserve">☐ I timed my last reply to a new lead</t>
  </si>
  <si>
    <t xml:space="preserve">☐ I counted how many touches a lead gets before I stop</t>
  </si>
  <si>
    <t xml:space="preserve">Band 2 · Facts · reveal · about 6 min:  Speed, touches, and the booking rate</t>
  </si>
  <si>
    <t xml:space="preserve">Three numbers describe the whole system: how fast, how many times, and what share of leads end up in a conversation.</t>
  </si>
  <si>
    <t xml:space="preserve">Minutes from hand-raise to first reply, typical</t>
  </si>
  <si>
    <t xml:space="preserve">In working hours. Look at the last five leads and take the middle one.</t>
  </si>
  <si>
    <t xml:space="preserve">Touches a lead gets before you stop</t>
  </si>
  <si>
    <t xml:space="preserve">Messages, calls, emails: every attempt counts as one.</t>
  </si>
  <si>
    <t xml:space="preserve">Of engaged leads, the share who book a conversation  [shared: other playbooks read this]</t>
  </si>
  <si>
    <t xml:space="preserve">Booked, not shown. Showing is measured in Closing Handbook. Type it as a percentage, for example 80%.</t>
  </si>
  <si>
    <t xml:space="preserve">☐ The reply time is measured from five real leads, not one</t>
  </si>
  <si>
    <t xml:space="preserve">When this band is done: Reply speed and the booking rate show.</t>
  </si>
  <si>
    <t xml:space="preserve">Band 3 · Exercises · reveal · about 30 min:  The magnet, the sequence, the short check-in</t>
  </si>
  <si>
    <t xml:space="preserve">A lead magnet is a free thing that solves a narrow problem completely and reveals the next problem, which your paid thing solves. The sequence is the nine or so touches after it. The short check-in is the one-line question you send to every lead that has gone quiet.</t>
  </si>
  <si>
    <t xml:space="preserve">Your lead magnet kind</t>
  </si>
  <si>
    <t xml:space="preserve">Name it as the result it gives</t>
  </si>
  <si>
    <t xml:space="preserve">Not what it is, what they get.</t>
  </si>
  <si>
    <t xml:space="preserve">The follow-up sequence, one touch a line: day, channel, what it says</t>
  </si>
  <si>
    <t xml:space="preserve">Aim for nine touches over thirty days, on at least two channels. Every touch has one ask. One a line: Alt+Enter starts a new line inside the cell.</t>
  </si>
  <si>
    <t xml:space="preserve">Your short check-in for a quiet lead</t>
  </si>
  <si>
    <t xml:space="preserve">One question, under fifteen words, easy to answer with one word.</t>
  </si>
  <si>
    <t xml:space="preserve">☐ The magnet solves its problem completely, not a teaser</t>
  </si>
  <si>
    <t xml:space="preserve">☐ The sequence uses at least two channels</t>
  </si>
  <si>
    <t xml:space="preserve">☐ Every touch has exactly one ask</t>
  </si>
  <si>
    <t xml:space="preserve">When this band is done: The magnet, the sequence and the check-in are written.</t>
  </si>
  <si>
    <t xml:space="preserve">Band 4 · Build · power · about 12 min:  Put a person on the five minutes</t>
  </si>
  <si>
    <t xml:space="preserve">Speed is a staffing decision. Someone gets told about every new lead, and answers inside five minutes in working hours. The sequence is scheduled, not remembered.</t>
  </si>
  <si>
    <t xml:space="preserve">Who replies to a new lead within five minutes, and how they find out</t>
  </si>
  <si>
    <t xml:space="preserve">A name and a notification. If it is you, say what buzzes.</t>
  </si>
  <si>
    <t xml:space="preserve">Where the sequence is scheduled</t>
  </si>
  <si>
    <t xml:space="preserve">A tool, a calendar, a checklist on the wall.</t>
  </si>
  <si>
    <t xml:space="preserve">☐ The lead magnet exists and can be sent as one link</t>
  </si>
  <si>
    <t xml:space="preserve">☐ Every new lead gets a reply within five minutes in working hours</t>
  </si>
  <si>
    <t xml:space="preserve">☐ The nine touches are scheduled, not remembered</t>
  </si>
  <si>
    <t xml:space="preserve">☐ Every quiet lead gets the short check-in after thirty days</t>
  </si>
  <si>
    <t xml:space="preserve">☐ Every touch has one ask</t>
  </si>
  <si>
    <t xml:space="preserve">When this band is done: The system runs without anyone remembering it.</t>
  </si>
  <si>
    <t xml:space="preserve">Band 5 · Run · certainty · about 12 min:  Thirty days of leads</t>
  </si>
  <si>
    <t xml:space="preserve">Now measure the same three numbers on leads that went through the new sequence. Log how many replied at each touch: that curve tells you where the sequence earns its keep.</t>
  </si>
  <si>
    <t xml:space="preserve">Leads that entered the sequence in the run</t>
  </si>
  <si>
    <t xml:space="preserve">Of those, how many booked a conversation</t>
  </si>
  <si>
    <t xml:space="preserve">Median minutes to first reply in the run</t>
  </si>
  <si>
    <t xml:space="preserve">e.g. 1 | 30 | 9</t>
  </si>
  <si>
    <t xml:space="preserve">One row a touch: how many were sent that touch, how many replied to it. Fill the small table below, one row a line.</t>
  </si>
  <si>
    <t xml:space="preserve">touch</t>
  </si>
  <si>
    <t xml:space="preserve">sent</t>
  </si>
  <si>
    <t xml:space="preserve">replied</t>
  </si>
  <si>
    <t xml:space="preserve">☐ The run covered at least thirty days so the late touches had time to land</t>
  </si>
  <si>
    <t xml:space="preserve">When this band is done: Before and after booking rates, reply speed, and the touch curve all show.</t>
  </si>
  <si>
    <t xml:space="preserve">Band 6 · Sharpen · power · about 10 min:  Faster, more, better, or reactivate</t>
  </si>
  <si>
    <t xml:space="preserve">With a curve in hand the next move is obvious. If late touches still get replies, add more. If nobody replies after touch two, fix the magnet. And the old list is the cheapest campaign you will ever run.</t>
  </si>
  <si>
    <t xml:space="preserve">Leads on the old list who never bought</t>
  </si>
  <si>
    <t xml:space="preserve">They get the short check-in this month.</t>
  </si>
  <si>
    <t xml:space="preserve">☐ The old list got the short check-in this month</t>
  </si>
  <si>
    <t xml:space="preserve">☐ The magnet's next-problem points at the paid thing</t>
  </si>
  <si>
    <t xml:space="preserve">☐ Reply time is on the weekly scorecard</t>
  </si>
  <si>
    <t xml:space="preserve">When this band is done: The next move is decided and the old list is in play.</t>
  </si>
  <si>
    <t xml:space="preserve">Sales system</t>
  </si>
  <si>
    <t xml:space="preserve">A sale is a conversation with a shape. Learn the shape and the pressure goes out of it.</t>
  </si>
  <si>
    <t xml:space="preserve">The conversation runs in six moves, and the letters spell CLOSER: clarify why they came, label the problem back to them in their words, overview what they have tried and why it did not hold, sell the outcome and not the method, explain away the concerns that remain, and reinforce the decision the moment they say yes. Concerns come in three kinds: about circumstances (time, money), about other people (a partner, a boss), and about themselves (fit, doubt). Each kind has an answer you write once and say many times.</t>
  </si>
  <si>
    <t xml:space="preserve">Band 1 · Read · reveal · about 8 min:  Your last conversation, in six lines</t>
  </si>
  <si>
    <t xml:space="preserve">Write up your last sales conversation from open to close. Where did it drift? Where did you talk most? Where did you lose them, if you did?</t>
  </si>
  <si>
    <t xml:space="preserve">How confident are you in a sales conversation, 1 to 5</t>
  </si>
  <si>
    <t xml:space="preserve">Your last sales conversation, open to close, in six lines</t>
  </si>
  <si>
    <t xml:space="preserve">Opened with my story, showed the programme, said the price, got a maybe.</t>
  </si>
  <si>
    <t xml:space="preserve">One line per move if you can. If you cannot find six moves, that is the finding.</t>
  </si>
  <si>
    <t xml:space="preserve">☐ I recorded or wrote up my last call</t>
  </si>
  <si>
    <t xml:space="preserve">☐ I know where in the call I lose people</t>
  </si>
  <si>
    <t xml:space="preserve">Band 2 · Facts · reveal · about 8 min:  The funnel of one month</t>
  </si>
  <si>
    <t xml:space="preserve">Booked, shown, bought, paid. Four counts make three rates, and each rate has its own playbook.</t>
  </si>
  <si>
    <t xml:space="preserve">Conversations booked last month</t>
  </si>
  <si>
    <t xml:space="preserve">Of those, how many showed up</t>
  </si>
  <si>
    <t xml:space="preserve">Of those, how many bought</t>
  </si>
  <si>
    <t xml:space="preserve">Cash collected at the close last month, total</t>
  </si>
  <si>
    <t xml:space="preserve">What actually arrived, not what was promised. Whole dollars.</t>
  </si>
  <si>
    <t xml:space="preserve">☐ The four counts come from a calendar and a bank statement, not memory</t>
  </si>
  <si>
    <t xml:space="preserve">When this band is done: Show rate, close rate and cash per sale show, and the Marketing Machine can compute leads needed.</t>
  </si>
  <si>
    <t xml:space="preserve">Band 3 · Exercises · reveal · about 35 min:  Write your six moves</t>
  </si>
  <si>
    <t xml:space="preserve">One paragraph per letter, in your own words, as you would say it to a friend across a table.</t>
  </si>
  <si>
    <t xml:space="preserve">Clarify: the two questions you open with</t>
  </si>
  <si>
    <t xml:space="preserve">Why now? What made you reach out? Their answer is the rest of the call.</t>
  </si>
  <si>
    <t xml:space="preserve">Label: the sentence that names their problem back to them</t>
  </si>
  <si>
    <t xml:space="preserve">In their words. Then ask: is that right?</t>
  </si>
  <si>
    <t xml:space="preserve">Overview: the question that draws out what they tried and why it did not hold</t>
  </si>
  <si>
    <t xml:space="preserve">The point is that they hear themselves say it.</t>
  </si>
  <si>
    <t xml:space="preserve">Sell the vacation: the outcome, in three sentences, with no method in it</t>
  </si>
  <si>
    <t xml:space="preserve">The beach, not the plane.</t>
  </si>
  <si>
    <t xml:space="preserve">Explain away: your answer to each of the three kinds of concern</t>
  </si>
  <si>
    <t xml:space="preserve">Circumstances (time, money). Other people (a partner, a boss). Themselves (fit, doubt). One answer each.</t>
  </si>
  <si>
    <t xml:space="preserve">Reinforce: what happens in the first 24 hours after yes</t>
  </si>
  <si>
    <t xml:space="preserve">A message, a call, a small gift. The decision needs a second yes from their future self.</t>
  </si>
  <si>
    <t xml:space="preserve">☐ Each move is written as I would say it, not as a script sounds</t>
  </si>
  <si>
    <t xml:space="preserve">☐ The label uses their words, not mine</t>
  </si>
  <si>
    <t xml:space="preserve">When this band is done: The six moves exist in your voice.</t>
  </si>
  <si>
    <t xml:space="preserve">Band 4 · Build · power · about 15 min:  One page, and the objection bank</t>
  </si>
  <si>
    <t xml:space="preserve">The script fits on one page or it will not be used. The objection bank grows after every call and never shrinks.</t>
  </si>
  <si>
    <t xml:space="preserve">The objection bank: concern | your answer, one a line</t>
  </si>
  <si>
    <t xml:space="preserve">Every concern you have ever heard, with the answer after the bar. Add to it after every call. Fill the small table below, one row a line.</t>
  </si>
  <si>
    <t xml:space="preserve">Concern heard</t>
  </si>
  <si>
    <t xml:space="preserve">☐ The script fits on one page</t>
  </si>
  <si>
    <t xml:space="preserve">☐ Every question in it is one I would ask a friend</t>
  </si>
  <si>
    <t xml:space="preserve">☐ The price is said once, plainly, with no apology</t>
  </si>
  <si>
    <t xml:space="preserve">☐ Silence after the price is written into the script</t>
  </si>
  <si>
    <t xml:space="preserve">☐ The three concern answers are memorised, not read</t>
  </si>
  <si>
    <t xml:space="preserve">☐ Reinforce happens the same day, every time</t>
  </si>
  <si>
    <t xml:space="preserve">When this band is done: The one-page script and the bank are ready.</t>
  </si>
  <si>
    <t xml:space="preserve">Band 5 · Run · certainty · about 12 min:  A month on the script</t>
  </si>
  <si>
    <t xml:space="preserve">Run the script on every conversation for a month. Count the same four things. Log which objections came up and how often you answered them well.</t>
  </si>
  <si>
    <t xml:space="preserve">Conversations in the run</t>
  </si>
  <si>
    <t xml:space="preserve">Shown, not booked.</t>
  </si>
  <si>
    <t xml:space="preserve">Sales in the run</t>
  </si>
  <si>
    <t xml:space="preserve">Cash collected at the close in the run, total</t>
  </si>
  <si>
    <t xml:space="preserve">Whole dollars.</t>
  </si>
  <si>
    <t xml:space="preserve">e.g. Need to think about it | 6 | 2</t>
  </si>
  <si>
    <t xml:space="preserve">One row an objection. Fill the small table below, one row a line.</t>
  </si>
  <si>
    <t xml:space="preserve">objection</t>
  </si>
  <si>
    <t xml:space="preserve">times heard</t>
  </si>
  <si>
    <t xml:space="preserve">answered well</t>
  </si>
  <si>
    <t xml:space="preserve">☐ Every conversation in the run used the script</t>
  </si>
  <si>
    <t xml:space="preserve">☐ One conversation a week was reviewed from a recording</t>
  </si>
  <si>
    <t xml:space="preserve">When this band is done: Before and after close rates, and the objection bars, show.</t>
  </si>
  <si>
    <t xml:space="preserve">Band 6 · Sharpen · power · about 8 min:  Which rate, and who else can run it</t>
  </si>
  <si>
    <t xml:space="preserve">Each rate points at a different fix. And the script only counts once someone other than you can close with it.</t>
  </si>
  <si>
    <t xml:space="preserve">The rate to work next</t>
  </si>
  <si>
    <t xml:space="preserve">Who runs the script next, other than you</t>
  </si>
  <si>
    <t xml:space="preserve">A name, or none yet.</t>
  </si>
  <si>
    <t xml:space="preserve">☐ Calls are recorded and one a week is reviewed</t>
  </si>
  <si>
    <t xml:space="preserve">☐ The objection bank grew after every call</t>
  </si>
  <si>
    <t xml:space="preserve">☐ Reinforce runs the same day, every time</t>
  </si>
  <si>
    <t xml:space="preserve">☐ Close rate is on the weekly scorecard</t>
  </si>
  <si>
    <t xml:space="preserve">When this band is done: The next rate to work is decided.</t>
  </si>
  <si>
    <t xml:space="preserve">People do not buy the promise. They buy the evidence that the promise held for someone like them.</t>
  </si>
  <si>
    <t xml:space="preserve">Whether someone believes an outcome will happen for them is half of what a thing is worth to them. Proof moves that belief. It comes in kinds: results with a number, before and after pairs, named testimonials, third-party marks (reviews, press, credentials), and demonstrations. The checklist is a habit rather than a project: collect proof at every win, put a proof beside every claim, and match the kind of proof to the doubt it answers.</t>
  </si>
  <si>
    <t xml:space="preserve">Band 1 · Read · reveal · about 8 min:  Read your pitch as a doubter</t>
  </si>
  <si>
    <t xml:space="preserve">Open your sales page or your pitch and read it as someone who has been burned before. Mark every claim that has nothing beside it.</t>
  </si>
  <si>
    <t xml:space="preserve">How much evidence backs your offer today, 1 to 5</t>
  </si>
  <si>
    <t xml:space="preserve">Every piece of proof you can put your hands on in five minutes</t>
  </si>
  <si>
    <t xml:space="preserve">Screenshots, messages, reviews, numbers. List them.</t>
  </si>
  <si>
    <t xml:space="preserve">☐ I read my pitch as a doubter</t>
  </si>
  <si>
    <t xml:space="preserve">☐ I marked every claim with no proof beside it</t>
  </si>
  <si>
    <t xml:space="preserve">Band 2 · Facts · reveal · about 8 min:  Count the proof by kind</t>
  </si>
  <si>
    <t xml:space="preserve">Five kinds, five counts. The shape of the count tells you what to collect next.</t>
  </si>
  <si>
    <t xml:space="preserve">A client got X in Y. Counted individually.</t>
  </si>
  <si>
    <t xml:space="preserve">Named testimonials, written or on video</t>
  </si>
  <si>
    <t xml:space="preserve">Before and after pairs</t>
  </si>
  <si>
    <t xml:space="preserve">Pictures, screenshots, two numbers.</t>
  </si>
  <si>
    <t xml:space="preserve">Reviews on a platform, press, credentials, awards.</t>
  </si>
  <si>
    <t xml:space="preserve">A free sample, a live walkthrough, a recorded one.</t>
  </si>
  <si>
    <t xml:space="preserve">Customers you have served, total</t>
  </si>
  <si>
    <t xml:space="preserve">Ever. The proof inventory is measured against this.</t>
  </si>
  <si>
    <t xml:space="preserve">☐ Each count is of things I could show today, not things I could get</t>
  </si>
  <si>
    <t xml:space="preserve">When this band is done: The proof inventory draws, by kind.</t>
  </si>
  <si>
    <t xml:space="preserve">Band 3 · Exercises · reveal · about 20 min:  Claims, doubts, and ten people to ask</t>
  </si>
  <si>
    <t xml:space="preserve">Every claim your offer makes needs a proof or a cut. Every doubt a buyer has needs a proof that answers it. And ten past customers are one message away from a testimonial.</t>
  </si>
  <si>
    <t xml:space="preserve">Every claim your offer makes, one a line</t>
  </si>
  <si>
    <t xml:space="preserve">Control of your money in eight weeks
No finance degree needed
Keep the life you have</t>
  </si>
  <si>
    <t xml:space="preserve">The five doubts a buyer has before paying, in their words</t>
  </si>
  <si>
    <t xml:space="preserve">Will it work for me? What if I fail? Is this person real? One a line: Alt+Enter starts a new line inside the cell.</t>
  </si>
  <si>
    <t xml:space="preserve">Ten past customers to ask this week, one a line, with what to ask each for</t>
  </si>
  <si>
    <t xml:space="preserve">Name | the specific result to ask about | the kind of proof (a number, a story, a screenshot). Fill the small table below, one row a line.</t>
  </si>
  <si>
    <t xml:space="preserve">Name</t>
  </si>
  <si>
    <t xml:space="preserve">Result to ask about</t>
  </si>
  <si>
    <t xml:space="preserve">Kind of proof</t>
  </si>
  <si>
    <t xml:space="preserve">☐ The doubts are in the buyer's words, not mine</t>
  </si>
  <si>
    <t xml:space="preserve">☐ Each of the ten asks names a specific result</t>
  </si>
  <si>
    <t xml:space="preserve">When this band is done: Claims, doubts and the ask list exist.</t>
  </si>
  <si>
    <t xml:space="preserve">Band 4 · Build · power · about 15 min:  A proof beside every claim</t>
  </si>
  <si>
    <t xml:space="preserve">Map each claim to the proof beside it. A claim with nothing beside it is cut or held until the proof arrives.</t>
  </si>
  <si>
    <t xml:space="preserve">Claim | the proof beside it | the kind, one a line</t>
  </si>
  <si>
    <t xml:space="preserve">e.g. Control in eight weeks | Sam's before and after | before and after</t>
  </si>
  <si>
    <t xml:space="preserve">A claim with no proof gets the word cut after the bar. Fill the small table below, one row a line.</t>
  </si>
  <si>
    <t xml:space="preserve">Claim</t>
  </si>
  <si>
    <t xml:space="preserve">The proof beside it (or: cut)</t>
  </si>
  <si>
    <t xml:space="preserve">Where the proof lives</t>
  </si>
  <si>
    <t xml:space="preserve">One folder anyone on the team can reach.</t>
  </si>
  <si>
    <t xml:space="preserve">☐ Every claim has a proof beside it or is cut</t>
  </si>
  <si>
    <t xml:space="preserve">☐ The three biggest doubts each have a proof that answers them</t>
  </si>
  <si>
    <t xml:space="preserve">☐ Asking for proof happens at the moment of a win, inside the delivery</t>
  </si>
  <si>
    <t xml:space="preserve">☐ Proof is stored in one folder anyone on the team can reach</t>
  </si>
  <si>
    <t xml:space="preserve">☐ Every name and number in the proof is real and permitted</t>
  </si>
  <si>
    <t xml:space="preserve">When this band is done: Every live claim has evidence beside it.</t>
  </si>
  <si>
    <t xml:space="preserve">Band 5 · Run · certainty · about 8 min:  A week of asking</t>
  </si>
  <si>
    <t xml:space="preserve">Send the ten asks. Count what came back. Count where you placed it.</t>
  </si>
  <si>
    <t xml:space="preserve">Testimonials asked for in the run</t>
  </si>
  <si>
    <t xml:space="preserve">Testimonials received</t>
  </si>
  <si>
    <t xml:space="preserve">Places proof was added</t>
  </si>
  <si>
    <t xml:space="preserve">The page, the script, an ad, an email: each counts as one.</t>
  </si>
  <si>
    <t xml:space="preserve">☐ Every ask named a specific result</t>
  </si>
  <si>
    <t xml:space="preserve">☐ Every proof received was placed somewhere within a week</t>
  </si>
  <si>
    <t xml:space="preserve">When this band is done: The ask rate and the placements show.</t>
  </si>
  <si>
    <t xml:space="preserve">Band 6 · Sharpen · power · about 8 min:  Numbers, faces, marks, or a guarantee</t>
  </si>
  <si>
    <t xml:space="preserve">The strongest proof for the biggest doubt is a promise you will make good on. A guarantee names the outcome and the term, and it is priced in.</t>
  </si>
  <si>
    <t xml:space="preserve">The next kind to build</t>
  </si>
  <si>
    <t xml:space="preserve">The guarantee, in one sentence</t>
  </si>
  <si>
    <t xml:space="preserve">What outcome, by when, or what happens. Or none yet.</t>
  </si>
  <si>
    <t xml:space="preserve">☐ A proof ask is written into the delivery (see Retention)</t>
  </si>
  <si>
    <t xml:space="preserve">☐ The guarantee names the outcome and the term</t>
  </si>
  <si>
    <t xml:space="preserve">☐ Proof is refreshed every quarter, oldest out</t>
  </si>
  <si>
    <t xml:space="preserve">When this band is done: The next kind of proof is decided.</t>
  </si>
  <si>
    <t xml:space="preserve">A paid ad is a call-out, a reason, and an ask, bought by the thousand and judged by the cost of a customer.</t>
  </si>
  <si>
    <t xml:space="preserve">Paid ads are the fourth of the four ways to get leads and the one that scales fastest once the math works. An ad has three parts: a call-out that says who it is for, value that gives them a reason to keep watching, and a call to action that says the one thing to do next. The math is a chain: cost per thousand views, the share who click, the share who become leads, the share who book, the share who buy. An ad is good when the lifetime gross profit of a customer is at least three times what it cost to get them.</t>
  </si>
  <si>
    <t xml:space="preserve">Band 1 · Read · reveal · about 6 min:  What you spend and what comes back</t>
  </si>
  <si>
    <t xml:space="preserve">Most people know their spend and not their cost per customer. Write the honest version, including "not yet".</t>
  </si>
  <si>
    <t xml:space="preserve">How well do you know your cost per customer from ads, 1 to 5</t>
  </si>
  <si>
    <t xml:space="preserve">What you spend, where, and what you get, a sentence each</t>
  </si>
  <si>
    <t xml:space="preserve">If you have never run an ad, write that, and write the top ad in your space in its three parts.</t>
  </si>
  <si>
    <t xml:space="preserve">☐ I have a number for cost per lead or I wrote not yet</t>
  </si>
  <si>
    <t xml:space="preserve">☐ I looked at the best ad in my space and wrote its three parts</t>
  </si>
  <si>
    <t xml:space="preserve">Band 2 · Facts · reveal · about 8 min:  The chain, last month</t>
  </si>
  <si>
    <t xml:space="preserve">Six counts, from the platform and the calendar. Each link in the chain is a rate you can fix on its own.</t>
  </si>
  <si>
    <t xml:space="preserve">Ad spend last month</t>
  </si>
  <si>
    <t xml:space="preserve">Impressions last month</t>
  </si>
  <si>
    <t xml:space="preserve">Times the ad was shown.</t>
  </si>
  <si>
    <t xml:space="preserve">Clicks last month</t>
  </si>
  <si>
    <t xml:space="preserve">Leads from ads last month</t>
  </si>
  <si>
    <t xml:space="preserve">Opted in, replied or booked.</t>
  </si>
  <si>
    <t xml:space="preserve">Conversations booked from ads last month</t>
  </si>
  <si>
    <t xml:space="preserve">Customers from ads last month</t>
  </si>
  <si>
    <t xml:space="preserve">☐ The counts come from the platform and the calendar for the same month</t>
  </si>
  <si>
    <t xml:space="preserve">When this band is done: The chain draws, the costs compute, and the ratio shows once Lifetime Value has its facts.</t>
  </si>
  <si>
    <t xml:space="preserve">Band 3 · Exercises · reveal · about 25 min:  Ten call-outs, ten reasons, five asks</t>
  </si>
  <si>
    <t xml:space="preserve">Write the three parts separately and in volume. The best ad is a combination you have not tried yet.</t>
  </si>
  <si>
    <t xml:space="preserve">Ten call-outs: who it is for, in their words, one a line</t>
  </si>
  <si>
    <t xml:space="preserve">A job, a situation, a place, a thing they own, a thing they want. One a line: Alt+Enter starts a new line inside the cell.</t>
  </si>
  <si>
    <t xml:space="preserve">Ten value lines: the reason to keep watching, one a line</t>
  </si>
  <si>
    <t xml:space="preserve">A result, a mistake, a number, a story, a demonstration. One a line: Alt+Enter starts a new line inside the cell.</t>
  </si>
  <si>
    <t xml:space="preserve">Five calls to action, one a line</t>
  </si>
  <si>
    <t xml:space="preserve">One verb, one place, one reason to do it now. One a line: Alt+Enter starts a new line inside the cell.</t>
  </si>
  <si>
    <t xml:space="preserve">☐ Every call-out would make the right person stop</t>
  </si>
  <si>
    <t xml:space="preserve">☐ Every value line is a claim the proof can back (see Proof Checklist)</t>
  </si>
  <si>
    <t xml:space="preserve">When this band is done: The parts exist in volume.</t>
  </si>
  <si>
    <t xml:space="preserve">Band 4 · Build · power · about 20 min:  The ad, in three versions</t>
  </si>
  <si>
    <t xml:space="preserve">Assemble one ad from the parts, then two more with different hooks and the same offer. The landing place has to say the same thing as the ad.</t>
  </si>
  <si>
    <t xml:space="preserve">The ad, written out: call-out, value, call to action</t>
  </si>
  <si>
    <t xml:space="preserve">The format</t>
  </si>
  <si>
    <t xml:space="preserve">Where the click lands, and the one thing it asks</t>
  </si>
  <si>
    <t xml:space="preserve">☐ The call-out names the person in the first two seconds or the first line</t>
  </si>
  <si>
    <t xml:space="preserve">☐ The value is a claim the proof can back</t>
  </si>
  <si>
    <t xml:space="preserve">☐ One call to action, one place to go</t>
  </si>
  <si>
    <t xml:space="preserve">☐ The landing place says the same thing as the ad</t>
  </si>
  <si>
    <t xml:space="preserve">☐ Three versions exist: same offer, three hooks (see Hooks)</t>
  </si>
  <si>
    <t xml:space="preserve">When this band is done: Three versions are ready to run.</t>
  </si>
  <si>
    <t xml:space="preserve">Band 5 · Run · certainty · about 10 min:  Two weeks of spend</t>
  </si>
  <si>
    <t xml:space="preserve">Run the three versions on a budget you can afford to lose. Count the chain again.</t>
  </si>
  <si>
    <t xml:space="preserve">Spend in the run</t>
  </si>
  <si>
    <t xml:space="preserve">Impressions in the run</t>
  </si>
  <si>
    <t xml:space="preserve">Clicks in the run</t>
  </si>
  <si>
    <t xml:space="preserve">Leads in the run</t>
  </si>
  <si>
    <t xml:space="preserve">Customers in the run</t>
  </si>
  <si>
    <t xml:space="preserve">☐ The budget was one I could lose without harm</t>
  </si>
  <si>
    <t xml:space="preserve">☐ Each version got the same spend</t>
  </si>
  <si>
    <t xml:space="preserve">When this band is done: Before and after costs per customer show.</t>
  </si>
  <si>
    <t xml:space="preserve">Band 6 · Sharpen · power · about 8 min:  Which link, or scale</t>
  </si>
  <si>
    <t xml:space="preserve">A weak click rate is a hook problem. Clicks that do not become leads is a page problem. Leads that do not buy is a sales problem. If the ratio holds at three to one, spend more.</t>
  </si>
  <si>
    <t xml:space="preserve">Next month's budget</t>
  </si>
  <si>
    <t xml:space="preserve">☐ Cost per customer is on the weekly scorecard</t>
  </si>
  <si>
    <t xml:space="preserve">☐ Losing versions are turned off inside a week</t>
  </si>
  <si>
    <t xml:space="preserve">☐ The winning ad has a new hook in test beside it</t>
  </si>
  <si>
    <t xml:space="preserve">When this band is done: The next move and the budget are decided.</t>
  </si>
  <si>
    <t xml:space="preserve">Delivery system</t>
  </si>
  <si>
    <t xml:space="preserve">Keeping a customer is the cheapest sale you will ever make. The first days decide it.</t>
  </si>
  <si>
    <t xml:space="preserve">Every month a share of customers leave. That share sets how long an average customer stays: one divided by the monthly churn. Churn is highest early, so the first days matter most: a fast first win, a clear next step, and a person who checks in. Most churn has a reason you can name, and the reasons cluster. Count them, fix the biggest, and ask the ones who stay to bring a friend.</t>
  </si>
  <si>
    <t xml:space="preserve">Band 1 · Read · reveal · about 8 min:  The first 48 hours, as they are</t>
  </si>
  <si>
    <t xml:space="preserve">Write what a new customer experiences in their first two days with you, step by step. Then ask the last person who left why they went.</t>
  </si>
  <si>
    <t xml:space="preserve">How well do you know why customers leave, 1 to 5</t>
  </si>
  <si>
    <t xml:space="preserve">A customer's first 48 hours, step by step</t>
  </si>
  <si>
    <t xml:space="preserve">What arrives, who calls, what they are asked to do.</t>
  </si>
  <si>
    <t xml:space="preserve">☐ I know how many customers left last month</t>
  </si>
  <si>
    <t xml:space="preserve">☐ I asked the last one who left why</t>
  </si>
  <si>
    <t xml:space="preserve">Band 2 · Facts · reveal · about 6 min:  Last month's churn</t>
  </si>
  <si>
    <t xml:space="preserve">Two counts make the churn. One more says how long the first win takes.</t>
  </si>
  <si>
    <t xml:space="preserve">Customers at the start of last month</t>
  </si>
  <si>
    <t xml:space="preserve">Customers who left during last month</t>
  </si>
  <si>
    <t xml:space="preserve">Days until a new customer sees a first result, typical</t>
  </si>
  <si>
    <t xml:space="preserve">☐ Left means stopped paying or cancelled, counted from the records</t>
  </si>
  <si>
    <t xml:space="preserve">When this band is done: Churn, expected lifetime and the retention curve show.</t>
  </si>
  <si>
    <t xml:space="preserve">Band 3 · Exercises · reveal · about 25 min:  The first win, the reasons, the steps</t>
  </si>
  <si>
    <t xml:space="preserve">The first win is the smallest result a customer can get in week one. The reasons are every explanation you have heard for leaving, with a count. The steps are the first 48 hours rewritten.</t>
  </si>
  <si>
    <t xml:space="preserve">The first win, and the step that gets it</t>
  </si>
  <si>
    <t xml:space="preserve">The smallest result a new customer can see in the first week.</t>
  </si>
  <si>
    <t xml:space="preserve">Every reason a customer gave for leaving, reason | count, one a line</t>
  </si>
  <si>
    <t xml:space="preserve">Fill the small table below, one row a line.</t>
  </si>
  <si>
    <t xml:space="preserve">Reason given</t>
  </si>
  <si>
    <t xml:space="preserve">The first 48 hours, rewritten, one step a line</t>
  </si>
  <si>
    <t xml:space="preserve">Who does what, when. One a line: Alt+Enter starts a new line inside the cell.</t>
  </si>
  <si>
    <t xml:space="preserve">☐ The first win is something a customer can see, not something I can see</t>
  </si>
  <si>
    <t xml:space="preserve">☐ The reasons come from real customers, not guesses</t>
  </si>
  <si>
    <t xml:space="preserve">When this band is done: The first win, the reasons and the new steps exist.</t>
  </si>
  <si>
    <t xml:space="preserve">Band 4 · Build · power · about 12 min:  The check-ins and the referral ask</t>
  </si>
  <si>
    <t xml:space="preserve">A person, not a form, checks in on day two and day seven. Every leaving customer is asked one question. Every staying customer is asked for a referral at the first win.</t>
  </si>
  <si>
    <t xml:space="preserve">The referral ask, word for word</t>
  </si>
  <si>
    <t xml:space="preserve">Said at the first win, by a person.</t>
  </si>
  <si>
    <t xml:space="preserve">The one question a leaving customer is asked</t>
  </si>
  <si>
    <t xml:space="preserve">☐ The first win is scheduled inside the first week for every new customer</t>
  </si>
  <si>
    <t xml:space="preserve">☐ A person checks in on day 2 and day 7</t>
  </si>
  <si>
    <t xml:space="preserve">☐ The next step is always visible to the customer</t>
  </si>
  <si>
    <t xml:space="preserve">☐ A leaving customer is asked one question before they go</t>
  </si>
  <si>
    <t xml:space="preserve">☐ A staying customer is asked for a referral at the first win</t>
  </si>
  <si>
    <t xml:space="preserve">When this band is done: The delivery has check-ins, an exit question and a referral ask built in.</t>
  </si>
  <si>
    <t xml:space="preserve">Band 5 · Run · certainty · about 10 min:  A month of the new first week</t>
  </si>
  <si>
    <t xml:space="preserve">Count churn again on a month where every new customer got the new first week. Log each month's starters and how many are still here.</t>
  </si>
  <si>
    <t xml:space="preserve">Customers at the start of the run month</t>
  </si>
  <si>
    <t xml:space="preserve">Customers who left in the run month</t>
  </si>
  <si>
    <t xml:space="preserve">Cohorts: customers who started in a month and how many are still here</t>
  </si>
  <si>
    <t xml:space="preserve">e.g. Jan | 8 | 6</t>
  </si>
  <si>
    <t xml:space="preserve">month</t>
  </si>
  <si>
    <t xml:space="preserve">started</t>
  </si>
  <si>
    <t xml:space="preserve">still here</t>
  </si>
  <si>
    <t xml:space="preserve">☐ Every new customer in the run got the day 2 and day 7 check-ins</t>
  </si>
  <si>
    <t xml:space="preserve">When this band is done: Before and after churn, and the cohort bars, show.</t>
  </si>
  <si>
    <t xml:space="preserve">Band 6 · Sharpen · power · about 8 min:  Onboarding, cadence, fit, or winback</t>
  </si>
  <si>
    <t xml:space="preserve">The biggest churn reason gets an owner and a date. Everyone who left this quarter gets a winback message. Some churn is a sales problem: stop selling to the ones who leave.</t>
  </si>
  <si>
    <t xml:space="preserve">The top churn reason, its owner, and the fix date</t>
  </si>
  <si>
    <t xml:space="preserve">☐ The top churn reason has an owner and a fix date</t>
  </si>
  <si>
    <t xml:space="preserve">☐ A winback message went to everyone who left this quarter</t>
  </si>
  <si>
    <t xml:space="preserve">☐ Churn is on the weekly scorecard</t>
  </si>
  <si>
    <t xml:space="preserve">When this band is done: The next move is decided and the top reason has an owner.</t>
  </si>
  <si>
    <t xml:space="preserve">What a customer is worth over their whole stay, in gross profit. Every other number answers to this one.</t>
  </si>
  <si>
    <t xml:space="preserve">Lifetime gross profit is what a customer pays you over their stay, minus what it costs to deliver to them. It is the price, times the gross margin, times how many times they buy. There are only four ways to raise it: more customers, more per purchase, more purchases, and a longer stay. Know the number, then compare it to what a customer costs to get. Three to one is the rule of thumb below which a business feels like a treadmill.</t>
  </si>
  <si>
    <t xml:space="preserve">Band 1 · Read · reveal · about 4 min:  Guess first</t>
  </si>
  <si>
    <t xml:space="preserve">Write your guess before you look anything up. The gap between the guess and the number is the lesson.</t>
  </si>
  <si>
    <t xml:space="preserve">How sure are you what a customer is worth, 1 to 5</t>
  </si>
  <si>
    <t xml:space="preserve">Your guess: what a customer pays you in total, and what it costs you to deliver</t>
  </si>
  <si>
    <t xml:space="preserve">Maybe fifteen hundred, costs me a couple hundred to deliver.</t>
  </si>
  <si>
    <t xml:space="preserve">☐ I wrote the guess before looking anything up</t>
  </si>
  <si>
    <t xml:space="preserve">Band 2 · Facts · reveal · about 10 min:  Price, margin, purchases, cost to acquire</t>
  </si>
  <si>
    <t xml:space="preserve">Four facts. Three make the value, the fourth is what it cost. These four are read by other playbooks, so they are typed here and nowhere else.</t>
  </si>
  <si>
    <t xml:space="preserve">Price of the main thing you sell, per purchase  [shared: other playbooks read this]</t>
  </si>
  <si>
    <t xml:space="preserve">Gross margin: the share of the price left after delivery costs  [shared: other playbooks read this]</t>
  </si>
  <si>
    <t xml:space="preserve">If it costs you 30 of every 100 to deliver, the margin is 70. Type it as a percentage, for example 80%.</t>
  </si>
  <si>
    <t xml:space="preserve">Purchases per customer over their stay</t>
  </si>
  <si>
    <t xml:space="preserve">For a monthly thing, the months they stay. See Retention for the churn that sets it.</t>
  </si>
  <si>
    <t xml:space="preserve">Cost to get one customer  [shared: other playbooks read this]</t>
  </si>
  <si>
    <t xml:space="preserve">All marketing and sales spend in a month, divided by new customers that month. Whole dollars.</t>
  </si>
  <si>
    <t xml:space="preserve">☐ Gross margin is measured from real delivery costs, not guessed</t>
  </si>
  <si>
    <t xml:space="preserve">☐ Cost to acquire includes people's time, not only ad spend</t>
  </si>
  <si>
    <t xml:space="preserve">When this band is done: Lifetime gross profit and its ratio to acquisition cost show.</t>
  </si>
  <si>
    <t xml:space="preserve">Band 3 · Exercises · reveal · about 15 min:  One move per lever</t>
  </si>
  <si>
    <t xml:space="preserve">Four levers, one move each. Write the move, not the wish.</t>
  </si>
  <si>
    <t xml:space="preserve">More customers: the one move</t>
  </si>
  <si>
    <t xml:space="preserve">More per purchase: what could ride along with the main thing</t>
  </si>
  <si>
    <t xml:space="preserve">More purchases: what brings them back sooner</t>
  </si>
  <si>
    <t xml:space="preserve">A longer stay: what makes staying easy or leaving costly</t>
  </si>
  <si>
    <t xml:space="preserve">☐ Each move is something that could start this month</t>
  </si>
  <si>
    <t xml:space="preserve">When this band is done: Four moves exist.</t>
  </si>
  <si>
    <t xml:space="preserve">Band 4 · Build · power · about 6 min:  Pick one lever for the quarter</t>
  </si>
  <si>
    <t xml:space="preserve">One lever, one target, ninety days. The picture shows what each lever does to the value at ten percent.</t>
  </si>
  <si>
    <t xml:space="preserve">The lever for this quarter</t>
  </si>
  <si>
    <t xml:space="preserve">The target for that lever in ninety days, as a number</t>
  </si>
  <si>
    <t xml:space="preserve">☐ Gross margin is measured, not guessed</t>
  </si>
  <si>
    <t xml:space="preserve">☐ The four levers each have one move written</t>
  </si>
  <si>
    <t xml:space="preserve">☐ One lever is picked for the quarter</t>
  </si>
  <si>
    <t xml:space="preserve">☐ The ratio of value to cost is on the weekly scorecard</t>
  </si>
  <si>
    <t xml:space="preserve">When this band is done: One lever is chosen with a number on it.</t>
  </si>
  <si>
    <t xml:space="preserve">Band 5 · Run · certainty · about 8 min:  The quarter's numbers</t>
  </si>
  <si>
    <t xml:space="preserve">Same four facts, ninety days later.</t>
  </si>
  <si>
    <t xml:space="preserve">Price after the quarter</t>
  </si>
  <si>
    <t xml:space="preserve">Gross margin after the quarter</t>
  </si>
  <si>
    <t xml:space="preserve">Type it as a percentage, for example 80%.</t>
  </si>
  <si>
    <t xml:space="preserve">Purchases per customer after the quarter</t>
  </si>
  <si>
    <t xml:space="preserve">Cost to get one customer after the quarter</t>
  </si>
  <si>
    <t xml:space="preserve">☐ The four numbers were recomputed from records, not adjusted from memory</t>
  </si>
  <si>
    <t xml:space="preserve">When this band is done: Before and after value and ratio show.</t>
  </si>
  <si>
    <t xml:space="preserve">Band 6 · Sharpen · power · about 4 min:  Which playbook moves it next</t>
  </si>
  <si>
    <t xml:space="preserve">Each lever has a playbook. The ratio tells you which one you need.</t>
  </si>
  <si>
    <t xml:space="preserve">The next playbook</t>
  </si>
  <si>
    <t xml:space="preserve">☐ Lifetime gross profit is recomputed monthly from real numbers</t>
  </si>
  <si>
    <t xml:space="preserve">☐ Every offer decision is checked against the ratio first</t>
  </si>
  <si>
    <t xml:space="preserve">When this band is done: The next playbook is chosen.</t>
  </si>
  <si>
    <t xml:space="preserve">A brand is what people already like, tied to your name, on purpose, over and over.</t>
  </si>
  <si>
    <t xml:space="preserve">A brand is an association: you, paired with things a group of people already wants, enough times that the pairing sticks. It is built by choosing who you are for, what you stand beside, and what you will never do, and then being boringly consistent about all three. The test is simple: can a customer describe you in one sentence, and does it match the sentence you wrote.</t>
  </si>
  <si>
    <t xml:space="preserve">Band 1 · Read · reveal · about 10 min:  Three customers describe you</t>
  </si>
  <si>
    <t xml:space="preserve">Ask three real customers to describe you in one sentence. Write their words exactly. The gap between their sentence and yours is the work.</t>
  </si>
  <si>
    <t xml:space="preserve">Could a stranger say what you stand for after one look, 1 to 5</t>
  </si>
  <si>
    <t xml:space="preserve">Three customers describe you in a sentence each</t>
  </si>
  <si>
    <t xml:space="preserve">Their words, not yours.</t>
  </si>
  <si>
    <t xml:space="preserve">☐ I asked three real people</t>
  </si>
  <si>
    <t xml:space="preserve">☐ I wrote their words, not mine</t>
  </si>
  <si>
    <t xml:space="preserve">Band 2 · Facts · reveal · about 6 min:  The sentence and the touches</t>
  </si>
  <si>
    <t xml:space="preserve">Your sentence, and how often your people see you in a week, and how many of those times looked like the same brand.</t>
  </si>
  <si>
    <t xml:space="preserve">Your sentence: who you are for and what you stand beside</t>
  </si>
  <si>
    <t xml:space="preserve">For young professionals who freeze at money: calm, plain, no judgement.</t>
  </si>
  <si>
    <t xml:space="preserve">Times a week your name shows up in front of your people</t>
  </si>
  <si>
    <t xml:space="preserve">Posts, emails, mentions, ads.</t>
  </si>
  <si>
    <t xml:space="preserve">Of those, how many looked and sounded like the same brand</t>
  </si>
  <si>
    <t xml:space="preserve">☐ The touches were counted from a week's actual output</t>
  </si>
  <si>
    <t xml:space="preserve">When this band is done: Consistency shows as a meter.</t>
  </si>
  <si>
    <t xml:space="preserve">Band 3 · Exercises · reveal · about 20 min:  Ten to stand beside, five to never touch</t>
  </si>
  <si>
    <t xml:space="preserve">Associations are chosen, not discovered. Ten things your people already love that you can honestly stand beside. Five things you will never do or be seen with. Five fixed elements so the pairing looks the same every time.</t>
  </si>
  <si>
    <t xml:space="preserve">Ten things your people already love that you can honestly stand beside, one a line</t>
  </si>
  <si>
    <t xml:space="preserve">Calm
Plain words
Index funds
Small wins
No judgement</t>
  </si>
  <si>
    <t xml:space="preserve">Ideas, results, places, values, people. One a line: Alt+Enter starts a new line inside the cell.</t>
  </si>
  <si>
    <t xml:space="preserve">Five things you will never do or be seen with, one a line</t>
  </si>
  <si>
    <t xml:space="preserve">Crypto tips
Shame</t>
  </si>
  <si>
    <t xml:space="preserve">The five fixed elements, one a line</t>
  </si>
  <si>
    <t xml:space="preserve">Deep blue
One question a week</t>
  </si>
  <si>
    <t xml:space="preserve">A colour, a font, a phrase, a format, a name for your people. One a line: Alt+Enter starts a new line inside the cell.</t>
  </si>
  <si>
    <t xml:space="preserve">☐ Each of the ten is something I would still stand beside in five years</t>
  </si>
  <si>
    <t xml:space="preserve">☐ The never list has things I have actually been tempted by</t>
  </si>
  <si>
    <t xml:space="preserve">When this band is done: The lists exist.</t>
  </si>
  <si>
    <t xml:space="preserve">Band 4 · Build · power · about 12 min:  The one-page guide</t>
  </si>
  <si>
    <t xml:space="preserve">Everything on one page: the sentence, the ten, the five nevers, the five fixed elements. Then one format that repeats weekly under the same name.</t>
  </si>
  <si>
    <t xml:space="preserve">Where the one-page guide lives</t>
  </si>
  <si>
    <t xml:space="preserve">The weekly format and its name</t>
  </si>
  <si>
    <t xml:space="preserve">The Friday number, the Monday question: a format your people can expect.</t>
  </si>
  <si>
    <t xml:space="preserve">☐ The sentence is on the home page and the profile</t>
  </si>
  <si>
    <t xml:space="preserve">☐ The five fixed elements are in a one-page guide</t>
  </si>
  <si>
    <t xml:space="preserve">☐ Every post this week pairs the name with one of the ten</t>
  </si>
  <si>
    <t xml:space="preserve">☐ Nothing this week touches the never list</t>
  </si>
  <si>
    <t xml:space="preserve">☐ One format repeats weekly under the same name</t>
  </si>
  <si>
    <t xml:space="preserve">When this band is done: The guide is written and the weekly format is named.</t>
  </si>
  <si>
    <t xml:space="preserve">Band 5 · Run · certainty · about 10 min:  A month on brand</t>
  </si>
  <si>
    <t xml:space="preserve">Count the touches and how many matched the guide. Then ask three customers again.</t>
  </si>
  <si>
    <t xml:space="preserve">Touches in the run month</t>
  </si>
  <si>
    <t xml:space="preserve">Touches that matched the guide</t>
  </si>
  <si>
    <t xml:space="preserve">Three customers describe you again, after the run</t>
  </si>
  <si>
    <t xml:space="preserve">☐ The three were asked the same question as in band 1</t>
  </si>
  <si>
    <t xml:space="preserve">When this band is done: Before and after consistency show, and the descriptions sit beside the sentence.</t>
  </si>
  <si>
    <t xml:space="preserve">Band 6 · Sharpen · power · about 6 min:  Narrower, louder, tighter, or bigger</t>
  </si>
  <si>
    <t xml:space="preserve">If the descriptions match the sentence, get louder. If they do not, narrow who it is for or tighten the touches. Pairing with a name your people already trust is the fastest jump.</t>
  </si>
  <si>
    <t xml:space="preserve">The name you could stand beside, and how</t>
  </si>
  <si>
    <t xml:space="preserve">A person, a place, an event, a cause. Or none yet.</t>
  </si>
  <si>
    <t xml:space="preserve">☐ Off-brand touches went to zero for a month</t>
  </si>
  <si>
    <t xml:space="preserve">☐ The three descriptions match the sentence</t>
  </si>
  <si>
    <t xml:space="preserve">When this band is done: The next move is decided.</t>
  </si>
  <si>
    <t xml:space="preserve">Profit system</t>
  </si>
  <si>
    <t xml:space="preserve">Most businesses are underpriced. The math says how many customers you can lose on a raise and still come out ahead.</t>
  </si>
  <si>
    <t xml:space="preserve">Price is the number the value earns. When you raise it some customers leave, and the question is how many you can lose before the raise stops paying. With a gross margin, the breakeven loss is the raise divided by the margin plus the raise: at a 70 percent margin, a 20 percent raise can lose about a fifth of customers and make the same profit. Raise price after you have raised value, tell existing customers before, and give them a reason the new price is fair.</t>
  </si>
  <si>
    <t xml:space="preserve">Band 1 · Read · reveal · about 6 min:  Why is your price what it is</t>
  </si>
  <si>
    <t xml:space="preserve">Most prices are inherited, copied, or set once in a nervous moment. Write the honest reason, and find the highest price in your market.</t>
  </si>
  <si>
    <t xml:space="preserve">How recent is your last raise, 1 (years ago or never) to 5 (this quarter)</t>
  </si>
  <si>
    <t xml:space="preserve">Why your price is what it is, honestly</t>
  </si>
  <si>
    <t xml:space="preserve">The highest price in your market, and who charges it</t>
  </si>
  <si>
    <t xml:space="preserve">The number. Put the name in the line above if you like. Whole dollars.</t>
  </si>
  <si>
    <t xml:space="preserve">☐ I know the highest price in my market and who charges it</t>
  </si>
  <si>
    <t xml:space="preserve">Band 2 · Facts · reveal · about 5 min:  The raise you are considering</t>
  </si>
  <si>
    <t xml:space="preserve">The price and the margin are read from Lifetime Value. Add how many buy a month and the raise you have in mind.</t>
  </si>
  <si>
    <t xml:space="preserve">Price of the main thing you sell, per purchase  (read from Lifetime Value, band 2)</t>
  </si>
  <si>
    <t xml:space="preserve">Typed once, in Lifetime Value. This cell only reads it.</t>
  </si>
  <si>
    <t xml:space="preserve">Gross margin: the share of the price left after delivery costs  (read from Lifetime Value, band 2)</t>
  </si>
  <si>
    <t xml:space="preserve">Customers who buy per month at the current price</t>
  </si>
  <si>
    <t xml:space="preserve">The raise you are considering, as a share of the price</t>
  </si>
  <si>
    <t xml:space="preserve">20 means a fifth more. Type it as a percentage, for example 80%.</t>
  </si>
  <si>
    <t xml:space="preserve">☐ The raise is a number, not a feeling</t>
  </si>
  <si>
    <t xml:space="preserve">When this band is done: The breakeven loss and the profit curve show.</t>
  </si>
  <si>
    <t xml:space="preserve">Band 3 · Exercises · reveal · about 15 min:  Raise the value first, then write the message</t>
  </si>
  <si>
    <t xml:space="preserve">Value goes up before price does: faster, surer, easier, less effort. Then the message to existing customers, and the choice of what they keep.</t>
  </si>
  <si>
    <t xml:space="preserve">Five ways to raise the value before the price, one a line</t>
  </si>
  <si>
    <t xml:space="preserve">Faster to the result, more likely to work, easier to do, less to give up. One a line: Alt+Enter starts a new line inside the cell.</t>
  </si>
  <si>
    <t xml:space="preserve">The message to existing customers</t>
  </si>
  <si>
    <t xml:space="preserve">What changed, when, and what they keep.</t>
  </si>
  <si>
    <t xml:space="preserve">What existing customers keep</t>
  </si>
  <si>
    <t xml:space="preserve">☐ At least two of the five value adds can ship this month</t>
  </si>
  <si>
    <t xml:space="preserve">☐ The message says a date</t>
  </si>
  <si>
    <t xml:space="preserve">When this band is done: The value adds and the message exist.</t>
  </si>
  <si>
    <t xml:space="preserve">Band 4 · Build · power · about 6 min:  The new price and the date</t>
  </si>
  <si>
    <t xml:space="preserve">A number and a day. Everything that shows a price changes on that day.</t>
  </si>
  <si>
    <t xml:space="preserve">The new price</t>
  </si>
  <si>
    <t xml:space="preserve">The date it takes effect</t>
  </si>
  <si>
    <t xml:space="preserve">☐ The value adds ship before the raise</t>
  </si>
  <si>
    <t xml:space="preserve">☐ Existing customers hear it from a person, before the date</t>
  </si>
  <si>
    <t xml:space="preserve">☐ The new price is on every page and script on the date</t>
  </si>
  <si>
    <t xml:space="preserve">☐ The sales script says the price once, without apology (see Closing Handbook)</t>
  </si>
  <si>
    <t xml:space="preserve">☐ The breakeven loss is written down and watched</t>
  </si>
  <si>
    <t xml:space="preserve">When this band is done: The raise is scheduled.</t>
  </si>
  <si>
    <t xml:space="preserve">Band 5 · Run · certainty · about 6 min:  The first month at the new price</t>
  </si>
  <si>
    <t xml:space="preserve">Count who bought and what they actually paid.</t>
  </si>
  <si>
    <t xml:space="preserve">Customers who bought in the first month at the new price</t>
  </si>
  <si>
    <t xml:space="preserve">Average price actually paid that month</t>
  </si>
  <si>
    <t xml:space="preserve">☐ Discounts given in the month are in the average, not hidden</t>
  </si>
  <si>
    <t xml:space="preserve">When this band is done: Profit before and after shows, against the breakeven line.</t>
  </si>
  <si>
    <t xml:space="preserve">Band 6 · Sharpen · power · about 4 min:  Again, hold, above, or below</t>
  </si>
  <si>
    <t xml:space="preserve">If the loss was well under breakeven, raise again next quarter. If it was near, hold. A tier above and an entry below are both ways to raise the average without touching the middle.</t>
  </si>
  <si>
    <t xml:space="preserve">☐ Price is reviewed every quarter, on the calendar</t>
  </si>
  <si>
    <t xml:space="preserve">☐ The highest tier is priced above the market's highest</t>
  </si>
  <si>
    <t xml:space="preserve">Make more from a customer in the first thirty days than it costs to get and serve them. Then growth pays for itself.</t>
  </si>
  <si>
    <t xml:space="preserve">A money model is the order of offers a customer meets. It starts with an attraction offer that gets a stranger to say yes: win your money back, a free thing with a string attached, a discount for a commitment, a giveaway, or a decoy beside the real thing. Then the offers that follow: an upsell at the moment of yes, a downsell for the no, and continuity so the money keeps arriving. The target is that the gross profit collected in the first thirty days is more than it cost to acquire and deliver. Then every customer funds the next one.</t>
  </si>
  <si>
    <t xml:space="preserve">Band 1 · Read · reveal · about 5 min:  The order of offers, as it is</t>
  </si>
  <si>
    <t xml:space="preserve">Write the sequence a customer meets today, first offer to last. Most businesses have one.</t>
  </si>
  <si>
    <t xml:space="preserve">Does a new customer pay for their own acquisition in 30 days, 1 (no idea) to 5 (yes, measured)</t>
  </si>
  <si>
    <t xml:space="preserve">The order of offers a customer meets today, first to last</t>
  </si>
  <si>
    <t xml:space="preserve">☐ I wrote the order as it is, not as I wish it were</t>
  </si>
  <si>
    <t xml:space="preserve">Band 2 · Facts · reveal · about 8 min:  Thirty-day cash and cost</t>
  </si>
  <si>
    <t xml:space="preserve">What a new customer pays in their first thirty days, what it costs to serve them in that time, and the cost to get them, which is read from Lifetime Value.</t>
  </si>
  <si>
    <t xml:space="preserve">Cost to get one customer  (read from Lifetime Value, band 2)</t>
  </si>
  <si>
    <t xml:space="preserve">Cash collected from a new customer in the first 30 days, typical</t>
  </si>
  <si>
    <t xml:space="preserve">Cost to deliver to that customer in the first 30 days</t>
  </si>
  <si>
    <t xml:space="preserve">Share of new customers who take an upsell today</t>
  </si>
  <si>
    <t xml:space="preserve">Zero if there is no upsell. Blank if you do not know. Type it as a percentage, for example 80%.</t>
  </si>
  <si>
    <t xml:space="preserve">☐ Cash is what arrived, not what was invoiced</t>
  </si>
  <si>
    <t xml:space="preserve">When this band is done: The thirty-day cash picture and its ratio show.</t>
  </si>
  <si>
    <t xml:space="preserve">Band 3 · Exercises · reveal · about 20 min:  Attraction, upsell, downsell, continuity</t>
  </si>
  <si>
    <t xml:space="preserve">Four offers, one sentence each. The attraction offer gets the yes. The upsell rides the yes. The downsell keeps the no in the door. Continuity keeps the money arriving.</t>
  </si>
  <si>
    <t xml:space="preserve">Your attraction offer kind</t>
  </si>
  <si>
    <t xml:space="preserve">The attraction offer in one sentence</t>
  </si>
  <si>
    <t xml:space="preserve">The upsell offered at the moment of yes, and its price</t>
  </si>
  <si>
    <t xml:space="preserve">The downsell for the no</t>
  </si>
  <si>
    <t xml:space="preserve">A payment plan, a trial, a smaller version.</t>
  </si>
  <si>
    <t xml:space="preserve">The continuity, and the reason to stay</t>
  </si>
  <si>
    <t xml:space="preserve">A bonus, a waived fee, a term price.</t>
  </si>
  <si>
    <t xml:space="preserve">☐ The attraction offer has a string that leads to the paid thing</t>
  </si>
  <si>
    <t xml:space="preserve">☐ The upsell is offered inside the yes, not a week later</t>
  </si>
  <si>
    <t xml:space="preserve">When this band is done: The four offers exist.</t>
  </si>
  <si>
    <t xml:space="preserve">Band 4 · Build · power · about 6 min:  Price the upsell and expect a take rate</t>
  </si>
  <si>
    <t xml:space="preserve">A number for the upsell and a share you expect to take it. The picture redraws with them.</t>
  </si>
  <si>
    <t xml:space="preserve">The upsell price</t>
  </si>
  <si>
    <t xml:space="preserve">The share you expect to take the upsell</t>
  </si>
  <si>
    <t xml:space="preserve">☐ The upsell is offered inside the yes</t>
  </si>
  <si>
    <t xml:space="preserve">☐ The downsell keeps a no in the door</t>
  </si>
  <si>
    <t xml:space="preserve">☐ Continuity has a reason to stay written into it</t>
  </si>
  <si>
    <t xml:space="preserve">☐ Thirty-day cash is measured per customer, not per month</t>
  </si>
  <si>
    <t xml:space="preserve">When this band is done: The money model is priced.</t>
  </si>
  <si>
    <t xml:space="preserve">Band 5 · Run · certainty · about 8 min:  A month of new customers</t>
  </si>
  <si>
    <t xml:space="preserve">Every new customer in the run month, their cash in thirty days, and what they cost to get and serve.</t>
  </si>
  <si>
    <t xml:space="preserve">New customers in the run month</t>
  </si>
  <si>
    <t xml:space="preserve">Cash collected from them in their first 30 days, total</t>
  </si>
  <si>
    <t xml:space="preserve">Cost to acquire and deliver them in 30 days, total</t>
  </si>
  <si>
    <t xml:space="preserve">☐ Every new customer met the full sequence</t>
  </si>
  <si>
    <t xml:space="preserve">When this band is done: Before and after thirty-day ratios show.</t>
  </si>
  <si>
    <t xml:space="preserve">Band 6 · Sharpen · power · about 4 min:  The string, the take, continuity, or cost</t>
  </si>
  <si>
    <t xml:space="preserve">Four ways to move the ratio. Draw the model on one page: offer, then offer, then offer.</t>
  </si>
  <si>
    <t xml:space="preserve">☐ The thirty-day ratio is on the weekly scorecard</t>
  </si>
  <si>
    <t xml:space="preserve">☐ The money model is drawn on one page: offer, then offer, then offer</t>
  </si>
  <si>
    <t xml:space="preserve">A playbook only counts when someone other than you can run it. Write it down, give it a number, look at the number weekly.</t>
  </si>
  <si>
    <t xml:space="preserve">The other eleven playbooks each end with a thing to run and a number to watch. This one turns them into an operating rhythm: a one-page procedure for each (purpose, owner, steps, the checklist, the number it moves), a weekly scorecard with the few numbers that matter, and a meeting short enough to happen every week. The test of a written procedure is a new person running it without you in the room.</t>
  </si>
  <si>
    <t xml:space="preserve">Band 1 · Read · reveal · about 6 min:  The things only you can do</t>
  </si>
  <si>
    <t xml:space="preserve">List them without softening. Each one is a procedure that has not been written yet.</t>
  </si>
  <si>
    <t xml:space="preserve">How much of your business runs without you, 1 to 5</t>
  </si>
  <si>
    <t xml:space="preserve">The things only you can do today, one a line</t>
  </si>
  <si>
    <t xml:space="preserve">☐ I wrote the list without softening it</t>
  </si>
  <si>
    <t xml:space="preserve">Band 2 · Facts · reveal · about 6 min:  Written, handed off, and your hours</t>
  </si>
  <si>
    <t xml:space="preserve">Three counts: procedures that exist on paper, procedures someone else runs, and the hours a week you spend on work someone else could do.</t>
  </si>
  <si>
    <t xml:space="preserve">Procedures written down today</t>
  </si>
  <si>
    <t xml:space="preserve">Of those, how many someone else runs</t>
  </si>
  <si>
    <t xml:space="preserve">Hours a week you spend on work someone else could do</t>
  </si>
  <si>
    <t xml:space="preserve">☐ The hours come from a week actually tracked</t>
  </si>
  <si>
    <t xml:space="preserve">When this band is done: The handoff meter and the owner hours show.</t>
  </si>
  <si>
    <t xml:space="preserve">Band 3 · Exercises · reveal · about 25 min:  Twelve procedures, one written now, the scorecard</t>
  </si>
  <si>
    <t xml:space="preserve">One line per playbook with an owner. Then write one procedure in full to learn the shape. Then choose the scorecard: at most eight numbers.</t>
  </si>
  <si>
    <t xml:space="preserve">The twelve procedures, one a line: procedure | owner</t>
  </si>
  <si>
    <t xml:space="preserve">Procedure</t>
  </si>
  <si>
    <t xml:space="preserve">Owner</t>
  </si>
  <si>
    <t xml:space="preserve">One procedure, in full</t>
  </si>
  <si>
    <t xml:space="preserve">Purpose. Owner. Steps. The checklist. The number it moves.</t>
  </si>
  <si>
    <t xml:space="preserve">The scorecard, at most eight numbers, one a line: number | the playbook it comes from</t>
  </si>
  <si>
    <t xml:space="preserve">Number</t>
  </si>
  <si>
    <t xml:space="preserve">Playbook it comes from</t>
  </si>
  <si>
    <t xml:space="preserve">☐ Every procedure has a named owner, even if it is me for now</t>
  </si>
  <si>
    <t xml:space="preserve">☐ The scorecard has no number nobody would act on</t>
  </si>
  <si>
    <t xml:space="preserve">When this band is done: The list, one full procedure and the scorecard exist.</t>
  </si>
  <si>
    <t xml:space="preserve">Band 4 · Build · power · about 5 min:  The weekly meeting</t>
  </si>
  <si>
    <t xml:space="preserve">Day, time, length, who. The scorecard is filled before it, and it ends with one change.</t>
  </si>
  <si>
    <t xml:space="preserve">The weekly meeting: day, time, length, who</t>
  </si>
  <si>
    <t xml:space="preserve">☐ Every procedure fits on one page</t>
  </si>
  <si>
    <t xml:space="preserve">☐ Every procedure names a number</t>
  </si>
  <si>
    <t xml:space="preserve">☐ The scorecard is filled before the meeting, not in it</t>
  </si>
  <si>
    <t xml:space="preserve">☐ One procedure was run by someone else this week</t>
  </si>
  <si>
    <t xml:space="preserve">☐ The meeting ends with one change, not ten</t>
  </si>
  <si>
    <t xml:space="preserve">When this band is done: The rhythm is set.</t>
  </si>
  <si>
    <t xml:space="preserve">Band 5 · Run · certainty · about 10 min:  Four weeks of scorecard</t>
  </si>
  <si>
    <t xml:space="preserve">One row a week. Four numbers are enough to start: leads, sales, customers kept, cash collected.</t>
  </si>
  <si>
    <t xml:space="preserve">The scorecard, one row a week</t>
  </si>
  <si>
    <t xml:space="preserve">e.g. 1 | 22 | 4 | 30 | 5000</t>
  </si>
  <si>
    <t xml:space="preserve">Cash in whole dollars. Fill the small table below, one row a line.</t>
  </si>
  <si>
    <t xml:space="preserve">week</t>
  </si>
  <si>
    <t xml:space="preserve">leads</t>
  </si>
  <si>
    <t xml:space="preserve">sales</t>
  </si>
  <si>
    <t xml:space="preserve">kept</t>
  </si>
  <si>
    <t xml:space="preserve">cash</t>
  </si>
  <si>
    <t xml:space="preserve">Hours a week on work someone else could do, after four weeks</t>
  </si>
  <si>
    <t xml:space="preserve">☐ Four weeks in a row were filled before the meeting</t>
  </si>
  <si>
    <t xml:space="preserve">When this band is done: The scorecard draws as lines, and owner hours before and after show.</t>
  </si>
  <si>
    <t xml:space="preserve">Band 6 · Sharpen · power · about 5 min:  Hand off, cut, fix, or hire</t>
  </si>
  <si>
    <t xml:space="preserve">One more procedure handed off. One number cut if nobody uses it. The one that fell, fixed. And the biggest owner-only task is a hire.</t>
  </si>
  <si>
    <t xml:space="preserve">The procedure to hand off next, and to whom</t>
  </si>
  <si>
    <t xml:space="preserve">☐ Four weeks of scorecard exist</t>
  </si>
  <si>
    <t xml:space="preserve">☐ Owner-only hours fell this month</t>
  </si>
  <si>
    <t xml:space="preserve">☐ Every playbook in this binder has its procedure written</t>
  </si>
</sst>
</file>

<file path=xl/styles.xml><?xml version="1.0" encoding="utf-8"?>
<styleSheet xmlns="http://schemas.openxmlformats.org/spreadsheetml/2006/main">
  <numFmts count="10">
    <numFmt numFmtId="164" formatCode="General"/>
    <numFmt numFmtId="165" formatCode="General"/>
    <numFmt numFmtId="166" formatCode="0%"/>
    <numFmt numFmtId="167" formatCode="#,##0"/>
    <numFmt numFmtId="168" formatCode="\$#,##0"/>
    <numFmt numFmtId="169" formatCode="0.0\x"/>
    <numFmt numFmtId="170" formatCode="0.0%"/>
    <numFmt numFmtId="171" formatCode="0.00\x"/>
    <numFmt numFmtId="172" formatCode="0.0"/>
    <numFmt numFmtId="173" formatCode="\$#,##0.00"/>
  </numFmts>
  <fonts count="34">
    <font>
      <sz val="11"/>
      <color theme="1"/>
      <name val="Calibri"/>
      <family val="2"/>
      <charset val="1"/>
    </font>
    <font>
      <sz val="10"/>
      <name val="Arial"/>
      <family val="0"/>
    </font>
    <font>
      <sz val="10"/>
      <name val="Arial"/>
      <family val="0"/>
    </font>
    <font>
      <sz val="10"/>
      <name val="Arial"/>
      <family val="0"/>
    </font>
    <font>
      <b val="true"/>
      <sz val="22"/>
      <color rgb="FF1F3A5F"/>
      <name val="Arial"/>
      <family val="0"/>
      <charset val="1"/>
    </font>
    <font>
      <i val="true"/>
      <sz val="11"/>
      <color rgb="FF595959"/>
      <name val="Arial"/>
      <family val="0"/>
      <charset val="1"/>
    </font>
    <font>
      <b val="true"/>
      <sz val="10"/>
      <color rgb="FF1F3A5F"/>
      <name val="Arial"/>
      <family val="0"/>
      <charset val="1"/>
    </font>
    <font>
      <sz val="10"/>
      <color rgb="FF000000"/>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
      <i val="true"/>
      <sz val="10"/>
      <color rgb="FF595959"/>
      <name val="Arial"/>
      <family val="0"/>
      <charset val="1"/>
    </font>
    <font>
      <b val="true"/>
      <sz val="13"/>
      <color rgb="FF1F3A5F"/>
      <name val="Arial"/>
      <family val="0"/>
      <charset val="1"/>
    </font>
    <font>
      <b val="true"/>
      <sz val="10"/>
      <color rgb="FFFFFFFF"/>
      <name val="Arial"/>
      <family val="0"/>
      <charset val="1"/>
    </font>
    <font>
      <sz val="10"/>
      <color rgb="FF595959"/>
      <name val="Arial"/>
      <family val="0"/>
      <charset val="1"/>
    </font>
    <font>
      <b val="true"/>
      <sz val="10"/>
      <color rgb="FF000000"/>
      <name val="Arial"/>
      <family val="0"/>
      <charset val="1"/>
    </font>
    <font>
      <b val="true"/>
      <sz val="9"/>
      <color rgb="FF000000"/>
      <name val="Arial"/>
      <family val="0"/>
      <charset val="1"/>
    </font>
    <font>
      <b val="true"/>
      <sz val="12"/>
      <color rgb="FF1F3A5F"/>
      <name val="Arial"/>
      <family val="0"/>
      <charset val="1"/>
    </font>
    <font>
      <b val="true"/>
      <sz val="10"/>
      <color rgb="FF008000"/>
      <name val="Arial"/>
      <family val="0"/>
      <charset val="1"/>
    </font>
    <font>
      <sz val="9"/>
      <color rgb="FF595959"/>
      <name val="Arial"/>
      <family val="0"/>
      <charset val="1"/>
    </font>
    <font>
      <b val="true"/>
      <sz val="18"/>
      <color rgb="FF000000"/>
      <name val="Calibri"/>
      <family val="2"/>
    </font>
    <font>
      <sz val="10"/>
      <color rgb="FF000000"/>
      <name val="Calibri"/>
      <family val="2"/>
    </font>
    <font>
      <b val="true"/>
      <sz val="16"/>
      <color rgb="FF1F3A5F"/>
      <name val="Arial"/>
      <family val="0"/>
      <charset val="1"/>
    </font>
    <font>
      <b val="true"/>
      <sz val="12"/>
      <color rgb="FFFFFFFF"/>
      <name val="Arial"/>
      <family val="0"/>
      <charset val="1"/>
    </font>
    <font>
      <b val="true"/>
      <sz val="10"/>
      <color rgb="FF404040"/>
      <name val="Arial"/>
      <family val="0"/>
      <charset val="1"/>
    </font>
    <font>
      <b val="true"/>
      <sz val="9"/>
      <color rgb="FFFFFFFF"/>
      <name val="Arial"/>
      <family val="0"/>
      <charset val="1"/>
    </font>
    <font>
      <b val="true"/>
      <sz val="18"/>
      <color rgb="FF1F3A5F"/>
      <name val="Arial"/>
      <family val="0"/>
      <charset val="1"/>
    </font>
    <font>
      <b val="true"/>
      <sz val="11"/>
      <color rgb="FF000000"/>
      <name val="Arial"/>
      <family val="0"/>
      <charset val="1"/>
    </font>
    <font>
      <b val="true"/>
      <sz val="11"/>
      <color rgb="FF1F3A5F"/>
      <name val="Arial"/>
      <family val="0"/>
      <charset val="1"/>
    </font>
    <font>
      <sz val="10"/>
      <color rgb="FFBFBFBF"/>
      <name val="Arial"/>
      <family val="0"/>
      <charset val="1"/>
    </font>
    <font>
      <sz val="10"/>
      <color rgb="FF808080"/>
      <name val="Arial"/>
      <family val="0"/>
      <charset val="1"/>
    </font>
    <font>
      <i val="true"/>
      <sz val="10"/>
      <color rgb="FF404040"/>
      <name val="Arial"/>
      <family val="0"/>
      <charset val="1"/>
    </font>
    <font>
      <b val="true"/>
      <sz val="9"/>
      <color rgb="FF595959"/>
      <name val="Arial"/>
      <family val="0"/>
      <charset val="1"/>
    </font>
    <font>
      <i val="true"/>
      <sz val="9"/>
      <color rgb="FF1F3A5F"/>
      <name val="Arial"/>
      <family val="0"/>
      <charset val="1"/>
    </font>
  </fonts>
  <fills count="13">
    <fill>
      <patternFill patternType="none"/>
    </fill>
    <fill>
      <patternFill patternType="gray125"/>
    </fill>
    <fill>
      <patternFill patternType="solid">
        <fgColor rgb="FFFFF2CC"/>
        <bgColor rgb="FFFBE7DF"/>
      </patternFill>
    </fill>
    <fill>
      <patternFill patternType="solid">
        <fgColor rgb="FF1F3A5F"/>
        <bgColor rgb="FF404040"/>
      </patternFill>
    </fill>
    <fill>
      <patternFill patternType="solid">
        <fgColor rgb="FFE3EEFC"/>
        <bgColor rgb="FFEEEBFC"/>
      </patternFill>
    </fill>
    <fill>
      <patternFill patternType="solid">
        <fgColor rgb="FFE0F3EC"/>
        <bgColor rgb="FFE3EEFC"/>
      </patternFill>
    </fill>
    <fill>
      <patternFill patternType="solid">
        <fgColor rgb="FFFBE7DF"/>
        <bgColor rgb="FFFFF2CC"/>
      </patternFill>
    </fill>
    <fill>
      <patternFill patternType="solid">
        <fgColor rgb="FFEEEBFC"/>
        <bgColor rgb="FFE3EEFC"/>
      </patternFill>
    </fill>
    <fill>
      <patternFill patternType="solid">
        <fgColor rgb="FF199E70"/>
        <bgColor rgb="FF008080"/>
      </patternFill>
    </fill>
    <fill>
      <patternFill patternType="solid">
        <fgColor rgb="FF7F7F7F"/>
        <bgColor rgb="FF808080"/>
      </patternFill>
    </fill>
    <fill>
      <patternFill patternType="solid">
        <fgColor rgb="FF3987E5"/>
        <bgColor rgb="FF4A7EBB"/>
      </patternFill>
    </fill>
    <fill>
      <patternFill patternType="solid">
        <fgColor rgb="FFD95926"/>
        <bgColor rgb="FFC0504D"/>
      </patternFill>
    </fill>
    <fill>
      <patternFill patternType="solid">
        <fgColor rgb="FF9085E9"/>
        <bgColor rgb="FF87878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8" fillId="0" borderId="1" xfId="0" applyFont="true" applyBorder="true" applyAlignment="true" applyProtection="false">
      <alignment horizontal="right"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true" applyProtection="false">
      <alignment horizontal="right" vertical="bottom" textRotation="0" wrapText="false" indent="0" shrinkToFit="false"/>
      <protection locked="true" hidden="false"/>
    </xf>
    <xf numFmtId="168" fontId="18" fillId="0" borderId="1" xfId="0" applyFont="true" applyBorder="true" applyAlignment="true" applyProtection="false">
      <alignment horizontal="right" vertical="bottom" textRotation="0" wrapText="false" indent="0" shrinkToFit="false"/>
      <protection locked="true" hidden="false"/>
    </xf>
    <xf numFmtId="169" fontId="18" fillId="0" borderId="1" xfId="0" applyFont="true" applyBorder="true" applyAlignment="true" applyProtection="false">
      <alignment horizontal="right" vertical="bottom" textRotation="0" wrapText="false" indent="0" shrinkToFit="false"/>
      <protection locked="true" hidden="false"/>
    </xf>
    <xf numFmtId="170" fontId="18" fillId="0" borderId="1" xfId="0" applyFont="true" applyBorder="true" applyAlignment="true" applyProtection="false">
      <alignment horizontal="right" vertical="bottom" textRotation="0" wrapText="false" indent="0" shrinkToFit="false"/>
      <protection locked="true" hidden="false"/>
    </xf>
    <xf numFmtId="171" fontId="18" fillId="0" borderId="1"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23"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9" borderId="0" xfId="0" applyFont="true" applyBorder="false" applyAlignment="true" applyProtection="false">
      <alignment horizontal="center" vertical="center"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3"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23"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23"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5" fontId="29" fillId="0"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30" fillId="4" borderId="0" xfId="0" applyFont="true" applyBorder="false" applyAlignment="false" applyProtection="false">
      <alignment horizontal="general" vertical="bottom" textRotation="0" wrapText="false" indent="0" shrinkToFit="false"/>
      <protection locked="true" hidden="false"/>
    </xf>
    <xf numFmtId="164" fontId="29" fillId="4"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5" fillId="9"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6" fontId="8" fillId="2" borderId="1" xfId="0" applyFont="true" applyBorder="true" applyAlignment="true" applyProtection="false">
      <alignment horizontal="general" vertical="top" textRotation="0" wrapText="tru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4" fontId="30" fillId="5" borderId="0" xfId="0" applyFont="true" applyBorder="false" applyAlignment="false" applyProtection="false">
      <alignment horizontal="general" vertical="bottom" textRotation="0" wrapText="false" indent="0" shrinkToFit="false"/>
      <protection locked="true" hidden="false"/>
    </xf>
    <xf numFmtId="164" fontId="29" fillId="5" borderId="0" xfId="0" applyFont="true" applyBorder="false" applyAlignment="false" applyProtection="false">
      <alignment horizontal="general" vertical="bottom" textRotation="0" wrapText="false" indent="0" shrinkToFit="false"/>
      <protection locked="true" hidden="false"/>
    </xf>
    <xf numFmtId="164" fontId="28" fillId="5" borderId="0" xfId="0" applyFont="true" applyBorder="true" applyAlignment="false" applyProtection="false">
      <alignment horizontal="general" vertical="bottom" textRotation="0" wrapText="false" indent="0" shrinkToFit="false"/>
      <protection locked="true" hidden="false"/>
    </xf>
    <xf numFmtId="164" fontId="30" fillId="6" borderId="0" xfId="0" applyFont="true" applyBorder="false" applyAlignment="false" applyProtection="false">
      <alignment horizontal="general" vertical="bottom" textRotation="0" wrapText="false" indent="0" shrinkToFit="false"/>
      <protection locked="true" hidden="false"/>
    </xf>
    <xf numFmtId="164" fontId="29" fillId="6" borderId="0" xfId="0" applyFont="true" applyBorder="false" applyAlignment="false" applyProtection="false">
      <alignment horizontal="general" vertical="bottom" textRotation="0" wrapText="false" indent="0" shrinkToFit="false"/>
      <protection locked="true" hidden="false"/>
    </xf>
    <xf numFmtId="164" fontId="28" fillId="6" borderId="0"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false" applyAlignment="false" applyProtection="false">
      <alignment horizontal="general" vertical="bottom" textRotation="0" wrapText="false" indent="0" shrinkToFit="false"/>
      <protection locked="true" hidden="false"/>
    </xf>
    <xf numFmtId="164" fontId="29" fillId="7" borderId="0" xfId="0" applyFont="true" applyBorder="false" applyAlignment="false" applyProtection="false">
      <alignment horizontal="general" vertical="bottom" textRotation="0" wrapText="false" indent="0" shrinkToFit="false"/>
      <protection locked="true" hidden="false"/>
    </xf>
    <xf numFmtId="164" fontId="28" fillId="7"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4F81BD"/>
      <rgbColor rgb="FFBFBFBF"/>
      <rgbColor rgb="FF808080"/>
      <rgbColor rgb="FF9085E9"/>
      <rgbColor rgb="FFBE4B48"/>
      <rgbColor rgb="FFFFF2CC"/>
      <rgbColor rgb="FFE0F3EC"/>
      <rgbColor rgb="FF660066"/>
      <rgbColor rgb="FFFF8080"/>
      <rgbColor rgb="FF4A7EBB"/>
      <rgbColor rgb="FFD9D9D9"/>
      <rgbColor rgb="FF000080"/>
      <rgbColor rgb="FFFF00FF"/>
      <rgbColor rgb="FFFFFF00"/>
      <rgbColor rgb="FF00FFFF"/>
      <rgbColor rgb="FF800080"/>
      <rgbColor rgb="FF800000"/>
      <rgbColor rgb="FF008080"/>
      <rgbColor rgb="FF0000FF"/>
      <rgbColor rgb="FF00CCFF"/>
      <rgbColor rgb="FFE3EEFC"/>
      <rgbColor rgb="FFC6EFCE"/>
      <rgbColor rgb="FFFFEB9C"/>
      <rgbColor rgb="FFEEEBFC"/>
      <rgbColor rgb="FFF9F9F9"/>
      <rgbColor rgb="FFCC99FF"/>
      <rgbColor rgb="FFFBE7DF"/>
      <rgbColor rgb="FF3987E5"/>
      <rgbColor rgb="FF33CCCC"/>
      <rgbColor rgb="FF98B855"/>
      <rgbColor rgb="FF9BBB59"/>
      <rgbColor rgb="FFD9A63F"/>
      <rgbColor rgb="FFD95926"/>
      <rgbColor rgb="FF8064A2"/>
      <rgbColor rgb="FF878787"/>
      <rgbColor rgb="FF1F3A5F"/>
      <rgbColor rgb="FF199E70"/>
      <rgbColor rgb="FF003300"/>
      <rgbColor rgb="FF333300"/>
      <rgbColor rgb="FF993300"/>
      <rgbColor rgb="FFC0504D"/>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each playbook answered</a:t>
            </a:r>
          </a:p>
        </c:rich>
      </c:tx>
      <c:overlay val="0"/>
      <c:spPr>
        <a:noFill/>
        <a:ln w="0">
          <a:noFill/>
        </a:ln>
      </c:spPr>
    </c:title>
    <c:autoTitleDeleted val="0"/>
    <c:plotArea>
      <c:barChart>
        <c:barDir val="bar"/>
        <c:grouping val="clustered"/>
        <c:varyColors val="0"/>
        <c:ser>
          <c:idx val="0"/>
          <c:order val="0"/>
          <c:tx>
            <c:strRef>
              <c:f>Dashboard!J5</c:f>
              <c:strCache>
                <c:ptCount val="1"/>
                <c:pt idx="0">
                  <c:v>Share done</c:v>
                </c:pt>
              </c:strCache>
            </c:strRef>
          </c:tx>
          <c:spPr>
            <a:solidFill>
              <a:srgbClr val="1f3a5f"/>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Dashboard!$C$6:$C$17</c:f>
              <c:strCache>
                <c:ptCount val="12"/>
                <c:pt idx="0">
                  <c:v>Marketing Machine</c:v>
                </c:pt>
                <c:pt idx="1">
                  <c:v>Hooks</c:v>
                </c:pt>
                <c:pt idx="2">
                  <c:v>Lead Nurture</c:v>
                </c:pt>
                <c:pt idx="3">
                  <c:v>Closing Handbook</c:v>
                </c:pt>
                <c:pt idx="4">
                  <c:v>Proof Checklist</c:v>
                </c:pt>
                <c:pt idx="5">
                  <c:v>GOATed Ads</c:v>
                </c:pt>
                <c:pt idx="6">
                  <c:v>Retention</c:v>
                </c:pt>
                <c:pt idx="7">
                  <c:v>Lifetime Value</c:v>
                </c:pt>
                <c:pt idx="8">
                  <c:v>Branding</c:v>
                </c:pt>
                <c:pt idx="9">
                  <c:v>Price Raise</c:v>
                </c:pt>
                <c:pt idx="10">
                  <c:v>Promo Cash</c:v>
                </c:pt>
                <c:pt idx="11">
                  <c:v>Implementation SOPs</c:v>
                </c:pt>
              </c:strCache>
            </c:strRef>
          </c:cat>
          <c:val>
            <c:numRef>
              <c:f>Dashboard!$J$6:$J$17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150"/>
        <c:overlap val="0"/>
        <c:axId val="34865184"/>
        <c:axId val="92900503"/>
      </c:barChart>
      <c:catAx>
        <c:axId val="348651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900503"/>
        <c:crosses val="autoZero"/>
        <c:auto val="1"/>
        <c:lblAlgn val="ctr"/>
        <c:lblOffset val="100"/>
        <c:noMultiLvlLbl val="0"/>
      </c:catAx>
      <c:valAx>
        <c:axId val="92900503"/>
        <c:scaling>
          <c:orientation val="minMax"/>
          <c:max val="1"/>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651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funnel, last month</a:t>
            </a:r>
          </a:p>
        </c:rich>
      </c:tx>
      <c:overlay val="0"/>
      <c:spPr>
        <a:noFill/>
        <a:ln w="0">
          <a:noFill/>
        </a:ln>
      </c:spPr>
    </c:title>
    <c:autoTitleDeleted val="0"/>
    <c:plotArea>
      <c:barChart>
        <c:barDir val="bar"/>
        <c:grouping val="clustered"/>
        <c:varyColors val="0"/>
        <c:ser>
          <c:idx val="0"/>
          <c:order val="0"/>
          <c:tx>
            <c:strRef>
              <c:f>Readings!C11</c:f>
              <c:strCache>
                <c:ptCount val="1"/>
                <c:pt idx="0">
                  <c:v>Count</c:v>
                </c:pt>
              </c:strCache>
            </c:strRef>
          </c:tx>
          <c:spPr>
            <a:solidFill>
              <a:srgbClr val="199e70"/>
            </a:solidFill>
            <a:ln w="9360">
              <a:solidFill>
                <a:srgbClr val="199e7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Readings!$B$12:$B$14</c:f>
              <c:strCache>
                <c:ptCount val="3"/>
                <c:pt idx="0">
                  <c:v>Booked</c:v>
                </c:pt>
                <c:pt idx="1">
                  <c:v>Showed</c:v>
                </c:pt>
                <c:pt idx="2">
                  <c:v>Bought</c:v>
                </c:pt>
              </c:strCache>
            </c:strRef>
          </c:cat>
          <c:val>
            <c:numRef>
              <c:f>Readings!$C$12:$C$14</c:f>
              <c:numCache>
                <c:formatCode>#,##0</c:formatCode>
                <c:ptCount val="3"/>
                <c:pt idx="0">
                  <c:v>0</c:v>
                </c:pt>
                <c:pt idx="1">
                  <c:v>0</c:v>
                </c:pt>
                <c:pt idx="2">
                  <c:v>0</c:v>
                </c:pt>
              </c:numCache>
            </c:numRef>
          </c:val>
        </c:ser>
        <c:gapWidth val="150"/>
        <c:overlap val="0"/>
        <c:axId val="97167597"/>
        <c:axId val="98660733"/>
      </c:barChart>
      <c:catAx>
        <c:axId val="971675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660733"/>
        <c:crosses val="autoZero"/>
        <c:auto val="1"/>
        <c:lblAlgn val="ctr"/>
        <c:lblOffset val="100"/>
        <c:noMultiLvlLbl val="0"/>
      </c:catAx>
      <c:valAx>
        <c:axId val="98660733"/>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16759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Proof by kind</a:t>
            </a:r>
          </a:p>
        </c:rich>
      </c:tx>
      <c:overlay val="0"/>
      <c:spPr>
        <a:noFill/>
        <a:ln w="0">
          <a:noFill/>
        </a:ln>
      </c:spPr>
    </c:title>
    <c:autoTitleDeleted val="0"/>
    <c:plotArea>
      <c:barChart>
        <c:barDir val="bar"/>
        <c:grouping val="clustered"/>
        <c:varyColors val="0"/>
        <c:ser>
          <c:idx val="0"/>
          <c:order val="0"/>
          <c:tx>
            <c:strRef>
              <c:f>Readings!C28</c:f>
              <c:strCache>
                <c:ptCount val="1"/>
                <c:pt idx="0">
                  <c:v>Count</c:v>
                </c:pt>
              </c:strCache>
            </c:strRef>
          </c:tx>
          <c:spPr>
            <a:solidFill>
              <a:srgbClr val="199e70"/>
            </a:solidFill>
            <a:ln w="9360">
              <a:solidFill>
                <a:srgbClr val="199e7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Readings!$B$29:$B$33</c:f>
              <c:strCache>
                <c:ptCount val="5"/>
                <c:pt idx="0">
                  <c:v>Results with a number</c:v>
                </c:pt>
                <c:pt idx="1">
                  <c:v>Named testimonials</c:v>
                </c:pt>
                <c:pt idx="2">
                  <c:v>Before and after</c:v>
                </c:pt>
                <c:pt idx="3">
                  <c:v>Third-party marks</c:v>
                </c:pt>
                <c:pt idx="4">
                  <c:v>Demonstrations</c:v>
                </c:pt>
              </c:strCache>
            </c:strRef>
          </c:cat>
          <c:val>
            <c:numRef>
              <c:f>Readings!$C$29:$C$33</c:f>
              <c:numCache>
                <c:formatCode>#,##0</c:formatCode>
                <c:ptCount val="5"/>
                <c:pt idx="0">
                  <c:v>0</c:v>
                </c:pt>
                <c:pt idx="1">
                  <c:v>0</c:v>
                </c:pt>
                <c:pt idx="2">
                  <c:v>0</c:v>
                </c:pt>
                <c:pt idx="3">
                  <c:v>0</c:v>
                </c:pt>
                <c:pt idx="4">
                  <c:v>0</c:v>
                </c:pt>
              </c:numCache>
            </c:numRef>
          </c:val>
        </c:ser>
        <c:gapWidth val="150"/>
        <c:overlap val="0"/>
        <c:axId val="57617385"/>
        <c:axId val="51817906"/>
      </c:barChart>
      <c:catAx>
        <c:axId val="576173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817906"/>
        <c:crosses val="autoZero"/>
        <c:auto val="1"/>
        <c:lblAlgn val="ctr"/>
        <c:lblOffset val="100"/>
        <c:noMultiLvlLbl val="0"/>
      </c:catAx>
      <c:valAx>
        <c:axId val="51817906"/>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173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ad chain, last month</a:t>
            </a:r>
          </a:p>
        </c:rich>
      </c:tx>
      <c:overlay val="0"/>
      <c:spPr>
        <a:noFill/>
        <a:ln w="0">
          <a:noFill/>
        </a:ln>
      </c:spPr>
    </c:title>
    <c:autoTitleDeleted val="0"/>
    <c:plotArea>
      <c:barChart>
        <c:barDir val="bar"/>
        <c:grouping val="clustered"/>
        <c:varyColors val="0"/>
        <c:ser>
          <c:idx val="0"/>
          <c:order val="0"/>
          <c:tx>
            <c:strRef>
              <c:f>Readings!C42</c:f>
              <c:strCache>
                <c:ptCount val="1"/>
                <c:pt idx="0">
                  <c:v>Count</c:v>
                </c:pt>
              </c:strCache>
            </c:strRef>
          </c:tx>
          <c:spPr>
            <a:solidFill>
              <a:srgbClr val="199e70"/>
            </a:solidFill>
            <a:ln w="9360">
              <a:solidFill>
                <a:srgbClr val="199e7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Readings!$B$43:$B$47</c:f>
              <c:strCache>
                <c:ptCount val="5"/>
                <c:pt idx="0">
                  <c:v>Shown</c:v>
                </c:pt>
                <c:pt idx="1">
                  <c:v>Clicked</c:v>
                </c:pt>
                <c:pt idx="2">
                  <c:v>Leads</c:v>
                </c:pt>
                <c:pt idx="3">
                  <c:v>Booked</c:v>
                </c:pt>
                <c:pt idx="4">
                  <c:v>Bought</c:v>
                </c:pt>
              </c:strCache>
            </c:strRef>
          </c:cat>
          <c:val>
            <c:numRef>
              <c:f>Readings!$C$43:$C$47</c:f>
              <c:numCache>
                <c:formatCode>#,##0</c:formatCode>
                <c:ptCount val="5"/>
                <c:pt idx="0">
                  <c:v>0</c:v>
                </c:pt>
                <c:pt idx="1">
                  <c:v>0</c:v>
                </c:pt>
                <c:pt idx="2">
                  <c:v>0</c:v>
                </c:pt>
                <c:pt idx="3">
                  <c:v>0</c:v>
                </c:pt>
                <c:pt idx="4">
                  <c:v>0</c:v>
                </c:pt>
              </c:numCache>
            </c:numRef>
          </c:val>
        </c:ser>
        <c:gapWidth val="150"/>
        <c:overlap val="0"/>
        <c:axId val="98635092"/>
        <c:axId val="21338733"/>
      </c:barChart>
      <c:catAx>
        <c:axId val="986350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38733"/>
        <c:crosses val="autoZero"/>
        <c:auto val="1"/>
        <c:lblAlgn val="ctr"/>
        <c:lblOffset val="100"/>
        <c:noMultiLvlLbl val="0"/>
      </c:catAx>
      <c:valAx>
        <c:axId val="21338733"/>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6350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four ways, per week (ads in dollars)</a:t>
            </a:r>
          </a:p>
        </c:rich>
      </c:tx>
      <c:overlay val="0"/>
      <c:spPr>
        <a:noFill/>
        <a:ln w="0">
          <a:noFill/>
        </a:ln>
      </c:spPr>
    </c:title>
    <c:autoTitleDeleted val="0"/>
    <c:plotArea>
      <c:barChart>
        <c:barDir val="bar"/>
        <c:grouping val="clustered"/>
        <c:varyColors val="0"/>
        <c:ser>
          <c:idx val="0"/>
          <c:order val="0"/>
          <c:tx>
            <c:strRef>
              <c:f>Readings!C57</c:f>
              <c:strCache>
                <c:ptCount val="1"/>
                <c:pt idx="0">
                  <c:v>Per week</c:v>
                </c:pt>
              </c:strCache>
            </c:strRef>
          </c:tx>
          <c:spPr>
            <a:solidFill>
              <a:srgbClr val="3987e5"/>
            </a:solidFill>
            <a:ln w="9360">
              <a:solidFill>
                <a:srgbClr val="3987e5"/>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Readings!$B$58:$B$61</c:f>
              <c:strCache>
                <c:ptCount val="4"/>
                <c:pt idx="0">
                  <c:v>Warm outreach</c:v>
                </c:pt>
                <c:pt idx="1">
                  <c:v>Content</c:v>
                </c:pt>
                <c:pt idx="2">
                  <c:v>Cold outreach</c:v>
                </c:pt>
                <c:pt idx="3">
                  <c:v>Paid ads ($)</c:v>
                </c:pt>
              </c:strCache>
            </c:strRef>
          </c:cat>
          <c:val>
            <c:numRef>
              <c:f>Readings!$C$58:$C$61</c:f>
              <c:numCache>
                <c:formatCode>#,##0</c:formatCode>
                <c:ptCount val="4"/>
                <c:pt idx="0">
                  <c:v>0</c:v>
                </c:pt>
                <c:pt idx="1">
                  <c:v>0</c:v>
                </c:pt>
                <c:pt idx="2">
                  <c:v>0</c:v>
                </c:pt>
                <c:pt idx="3">
                  <c:v>0</c:v>
                </c:pt>
              </c:numCache>
            </c:numRef>
          </c:val>
        </c:ser>
        <c:gapWidth val="150"/>
        <c:overlap val="0"/>
        <c:axId val="64968252"/>
        <c:axId val="46539748"/>
      </c:barChart>
      <c:catAx>
        <c:axId val="649682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539748"/>
        <c:crosses val="autoZero"/>
        <c:auto val="1"/>
        <c:lblAlgn val="ctr"/>
        <c:lblOffset val="100"/>
        <c:noMultiLvlLbl val="0"/>
      </c:catAx>
      <c:valAx>
        <c:axId val="4653974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682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Replies, clicks or saves by hook</a:t>
            </a:r>
          </a:p>
        </c:rich>
      </c:tx>
      <c:overlay val="0"/>
      <c:spPr>
        <a:noFill/>
        <a:ln w="0">
          <a:noFill/>
        </a:ln>
      </c:spPr>
    </c:title>
    <c:autoTitleDeleted val="0"/>
    <c:plotArea>
      <c:barChart>
        <c:barDir val="bar"/>
        <c:grouping val="clustered"/>
        <c:varyColors val="0"/>
        <c:ser>
          <c:idx val="0"/>
          <c:order val="0"/>
          <c:tx>
            <c:strRef>
              <c:f>"Count"</c:f>
              <c:strCache>
                <c:ptCount val="1"/>
                <c:pt idx="0">
                  <c:v>Count</c:v>
                </c:pt>
              </c:strCache>
            </c:strRef>
          </c:tx>
          <c:spPr>
            <a:solidFill>
              <a:srgbClr val="3987e5"/>
            </a:solidFill>
            <a:ln w="9360">
              <a:solidFill>
                <a:srgbClr val="3987e5"/>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Hooks!$C$65:$C$72</c:f>
              <c:strCache>
                <c:ptCount val="8"/>
                <c:pt idx="0">
                  <c:v/>
                </c:pt>
                <c:pt idx="1">
                  <c:v/>
                </c:pt>
                <c:pt idx="2">
                  <c:v/>
                </c:pt>
                <c:pt idx="3">
                  <c:v/>
                </c:pt>
                <c:pt idx="4">
                  <c:v/>
                </c:pt>
                <c:pt idx="5">
                  <c:v/>
                </c:pt>
                <c:pt idx="6">
                  <c:v/>
                </c:pt>
                <c:pt idx="7">
                  <c:v/>
                </c:pt>
              </c:strCache>
            </c:strRef>
          </c:cat>
          <c:val>
            <c:numRef>
              <c:f>Hooks!$D$65:$D$72</c:f>
              <c:numCache>
                <c:formatCode>General</c:formatCode>
                <c:ptCount val="8"/>
              </c:numCache>
            </c:numRef>
          </c:val>
        </c:ser>
        <c:gapWidth val="150"/>
        <c:overlap val="0"/>
        <c:axId val="33921083"/>
        <c:axId val="58152513"/>
      </c:barChart>
      <c:catAx>
        <c:axId val="339210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52513"/>
        <c:crosses val="autoZero"/>
        <c:auto val="1"/>
        <c:lblAlgn val="ctr"/>
        <c:lblOffset val="100"/>
        <c:noMultiLvlLbl val="0"/>
      </c:catAx>
      <c:valAx>
        <c:axId val="5815251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92108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Sent and replied, by touch</a:t>
            </a:r>
          </a:p>
        </c:rich>
      </c:tx>
      <c:overlay val="0"/>
      <c:spPr>
        <a:noFill/>
        <a:ln w="0">
          <a:noFill/>
        </a:ln>
      </c:spPr>
    </c:title>
    <c:autoTitleDeleted val="0"/>
    <c:plotArea>
      <c:barChart>
        <c:barDir val="col"/>
        <c:grouping val="clustered"/>
        <c:varyColors val="0"/>
        <c:ser>
          <c:idx val="0"/>
          <c:order val="0"/>
          <c:tx>
            <c:strRef>
              <c:f>"Sent"</c:f>
              <c:strCache>
                <c:ptCount val="1"/>
                <c:pt idx="0">
                  <c:v>Sent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 Nurture'!$C$68:$C$75</c:f>
              <c:strCache>
                <c:ptCount val="8"/>
                <c:pt idx="0">
                  <c:v/>
                </c:pt>
                <c:pt idx="1">
                  <c:v/>
                </c:pt>
                <c:pt idx="2">
                  <c:v/>
                </c:pt>
                <c:pt idx="3">
                  <c:v/>
                </c:pt>
                <c:pt idx="4">
                  <c:v/>
                </c:pt>
                <c:pt idx="5">
                  <c:v/>
                </c:pt>
                <c:pt idx="6">
                  <c:v/>
                </c:pt>
                <c:pt idx="7">
                  <c:v/>
                </c:pt>
              </c:strCache>
            </c:strRef>
          </c:cat>
          <c:val>
            <c:numRef>
              <c:f>'Lead Nurture'!$D$68:$D$75</c:f>
              <c:numCache>
                <c:formatCode>General</c:formatCode>
                <c:ptCount val="8"/>
              </c:numCache>
            </c:numRef>
          </c:val>
        </c:ser>
        <c:ser>
          <c:idx val="1"/>
          <c:order val="1"/>
          <c:tx>
            <c:strRef>
              <c:f>"Replied"</c:f>
              <c:strCache>
                <c:ptCount val="1"/>
                <c:pt idx="0">
                  <c:v>Replied</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 Nurture'!$C$68:$C$75</c:f>
              <c:strCache>
                <c:ptCount val="8"/>
                <c:pt idx="0">
                  <c:v/>
                </c:pt>
                <c:pt idx="1">
                  <c:v/>
                </c:pt>
                <c:pt idx="2">
                  <c:v/>
                </c:pt>
                <c:pt idx="3">
                  <c:v/>
                </c:pt>
                <c:pt idx="4">
                  <c:v/>
                </c:pt>
                <c:pt idx="5">
                  <c:v/>
                </c:pt>
                <c:pt idx="6">
                  <c:v/>
                </c:pt>
                <c:pt idx="7">
                  <c:v/>
                </c:pt>
              </c:strCache>
            </c:strRef>
          </c:cat>
          <c:val>
            <c:numRef>
              <c:f>'Lead Nurture'!$E$68:$E$75</c:f>
              <c:numCache>
                <c:formatCode>General</c:formatCode>
                <c:ptCount val="8"/>
              </c:numCache>
            </c:numRef>
          </c:val>
        </c:ser>
        <c:gapWidth val="150"/>
        <c:overlap val="0"/>
        <c:axId val="35192173"/>
        <c:axId val="55908963"/>
      </c:barChart>
      <c:catAx>
        <c:axId val="351921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08963"/>
        <c:crosses val="autoZero"/>
        <c:auto val="1"/>
        <c:lblAlgn val="ctr"/>
        <c:lblOffset val="100"/>
        <c:noMultiLvlLbl val="0"/>
      </c:catAx>
      <c:valAx>
        <c:axId val="5590896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1921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 hundred customers, levers at ten percent (they multiply)</a:t>
            </a:r>
          </a:p>
        </c:rich>
      </c:tx>
      <c:overlay val="0"/>
      <c:spPr>
        <a:noFill/>
        <a:ln w="0">
          <a:noFill/>
        </a:ln>
      </c:spPr>
    </c:title>
    <c:autoTitleDeleted val="0"/>
    <c:plotArea>
      <c:barChart>
        <c:barDir val="bar"/>
        <c:grouping val="clustered"/>
        <c:varyColors val="0"/>
        <c:ser>
          <c:idx val="0"/>
          <c:order val="0"/>
          <c:tx>
            <c:strRef>
              <c:f>Readings!C103</c:f>
              <c:strCache>
                <c:ptCount val="1"/>
                <c:pt idx="0">
                  <c:v>Gross profit</c:v>
                </c:pt>
              </c:strCache>
            </c:strRef>
          </c:tx>
          <c:spPr>
            <a:solidFill>
              <a:srgbClr val="d95926"/>
            </a:solidFill>
            <a:ln w="9360">
              <a:solidFill>
                <a:srgbClr val="d95926"/>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Readings!$B$104:$B$108</c:f>
              <c:strCache>
                <c:ptCount val="5"/>
                <c:pt idx="0">
                  <c:v>Today</c:v>
                </c:pt>
                <c:pt idx="1">
                  <c:v>1 lever</c:v>
                </c:pt>
                <c:pt idx="2">
                  <c:v>2 levers</c:v>
                </c:pt>
                <c:pt idx="3">
                  <c:v>3 levers</c:v>
                </c:pt>
                <c:pt idx="4">
                  <c:v>4 levers</c:v>
                </c:pt>
              </c:strCache>
            </c:strRef>
          </c:cat>
          <c:val>
            <c:numRef>
              <c:f>Readings!$C$104:$C$108</c:f>
              <c:numCache>
                <c:formatCode>\$#,##0</c:formatCode>
                <c:ptCount val="5"/>
                <c:pt idx="0">
                  <c:v>0</c:v>
                </c:pt>
                <c:pt idx="1">
                  <c:v>0</c:v>
                </c:pt>
                <c:pt idx="2">
                  <c:v>0</c:v>
                </c:pt>
                <c:pt idx="3">
                  <c:v>0</c:v>
                </c:pt>
                <c:pt idx="4">
                  <c:v>0</c:v>
                </c:pt>
              </c:numCache>
            </c:numRef>
          </c:val>
        </c:ser>
        <c:gapWidth val="150"/>
        <c:overlap val="0"/>
        <c:axId val="60576286"/>
        <c:axId val="9281078"/>
      </c:barChart>
      <c:catAx>
        <c:axId val="605762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81078"/>
        <c:crosses val="autoZero"/>
        <c:auto val="1"/>
        <c:lblAlgn val="ctr"/>
        <c:lblOffset val="100"/>
        <c:noMultiLvlLbl val="0"/>
      </c:catAx>
      <c:valAx>
        <c:axId val="928107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5762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Of a hundred who start, who is still here</a:t>
            </a:r>
          </a:p>
        </c:rich>
      </c:tx>
      <c:overlay val="0"/>
      <c:spPr>
        <a:noFill/>
        <a:ln w="0">
          <a:noFill/>
        </a:ln>
      </c:spPr>
    </c:title>
    <c:autoTitleDeleted val="0"/>
    <c:plotArea>
      <c:lineChart>
        <c:grouping val="standard"/>
        <c:varyColors val="0"/>
        <c:ser>
          <c:idx val="0"/>
          <c:order val="0"/>
          <c:tx>
            <c:strRef>
              <c:f>Readings!C115</c:f>
              <c:strCache>
                <c:ptCount val="1"/>
                <c:pt idx="0">
                  <c:v>Still here</c:v>
                </c:pt>
              </c:strCache>
            </c:strRef>
          </c:tx>
          <c:spPr>
            <a:solidFill>
              <a:srgbClr val="d95926"/>
            </a:solidFill>
            <a:ln w="47520">
              <a:solidFill>
                <a:srgbClr val="d9592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Readings!$B$116:$B$128</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Readings!$C$116:$C$128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hiLowLines>
          <c:spPr>
            <a:ln w="0">
              <a:noFill/>
            </a:ln>
          </c:spPr>
        </c:hiLowLines>
        <c:marker val="0"/>
        <c:axId val="57566644"/>
        <c:axId val="61859144"/>
      </c:lineChart>
      <c:catAx>
        <c:axId val="575666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859144"/>
        <c:crosses val="autoZero"/>
        <c:auto val="1"/>
        <c:lblAlgn val="ctr"/>
        <c:lblOffset val="100"/>
        <c:noMultiLvlLbl val="0"/>
      </c:catAx>
      <c:valAx>
        <c:axId val="6185914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666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gross profit against customers kept</a:t>
            </a:r>
          </a:p>
        </c:rich>
      </c:tx>
      <c:overlay val="0"/>
      <c:spPr>
        <a:noFill/>
        <a:ln w="0">
          <a:noFill/>
        </a:ln>
      </c:spPr>
    </c:title>
    <c:autoTitleDeleted val="0"/>
    <c:plotArea>
      <c:lineChart>
        <c:grouping val="standard"/>
        <c:varyColors val="0"/>
        <c:ser>
          <c:idx val="0"/>
          <c:order val="0"/>
          <c:tx>
            <c:strRef>
              <c:f>Readings!C154</c:f>
              <c:strCache>
                <c:ptCount val="1"/>
                <c:pt idx="0">
                  <c:v>Today</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Readings!$B$155:$B$165</c:f>
              <c:strCache>
                <c:ptCount val="11"/>
                <c:pt idx="0">
                  <c:v>50%</c:v>
                </c:pt>
                <c:pt idx="1">
                  <c:v>55%</c:v>
                </c:pt>
                <c:pt idx="2">
                  <c:v>60%</c:v>
                </c:pt>
                <c:pt idx="3">
                  <c:v>65%</c:v>
                </c:pt>
                <c:pt idx="4">
                  <c:v>70%</c:v>
                </c:pt>
                <c:pt idx="5">
                  <c:v>75%</c:v>
                </c:pt>
                <c:pt idx="6">
                  <c:v>80%</c:v>
                </c:pt>
                <c:pt idx="7">
                  <c:v>85%</c:v>
                </c:pt>
                <c:pt idx="8">
                  <c:v>90%</c:v>
                </c:pt>
                <c:pt idx="9">
                  <c:v>95%</c:v>
                </c:pt>
                <c:pt idx="10">
                  <c:v>100%</c:v>
                </c:pt>
              </c:strCache>
            </c:strRef>
          </c:cat>
          <c:val>
            <c:numRef>
              <c:f>Readings!$C$155:$C$165</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ser>
          <c:idx val="1"/>
          <c:order val="1"/>
          <c:tx>
            <c:strRef>
              <c:f>Readings!D154</c:f>
              <c:strCache>
                <c:ptCount val="1"/>
                <c:pt idx="0">
                  <c:v>New price</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Readings!$B$155:$B$165</c:f>
              <c:strCache>
                <c:ptCount val="11"/>
                <c:pt idx="0">
                  <c:v>50%</c:v>
                </c:pt>
                <c:pt idx="1">
                  <c:v>55%</c:v>
                </c:pt>
                <c:pt idx="2">
                  <c:v>60%</c:v>
                </c:pt>
                <c:pt idx="3">
                  <c:v>65%</c:v>
                </c:pt>
                <c:pt idx="4">
                  <c:v>70%</c:v>
                </c:pt>
                <c:pt idx="5">
                  <c:v>75%</c:v>
                </c:pt>
                <c:pt idx="6">
                  <c:v>80%</c:v>
                </c:pt>
                <c:pt idx="7">
                  <c:v>85%</c:v>
                </c:pt>
                <c:pt idx="8">
                  <c:v>90%</c:v>
                </c:pt>
                <c:pt idx="9">
                  <c:v>95%</c:v>
                </c:pt>
                <c:pt idx="10">
                  <c:v>100%</c:v>
                </c:pt>
              </c:strCache>
            </c:strRef>
          </c:cat>
          <c:val>
            <c:numRef>
              <c:f>Readings!$D$155:$D$165</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hiLowLines>
          <c:spPr>
            <a:ln w="0">
              <a:noFill/>
            </a:ln>
          </c:spPr>
        </c:hiLowLines>
        <c:marker val="0"/>
        <c:axId val="31708044"/>
        <c:axId val="26627848"/>
      </c:lineChart>
      <c:catAx>
        <c:axId val="3170804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27848"/>
        <c:crosses val="autoZero"/>
        <c:auto val="1"/>
        <c:lblAlgn val="ctr"/>
        <c:lblOffset val="100"/>
        <c:noMultiLvlLbl val="0"/>
      </c:catAx>
      <c:valAx>
        <c:axId val="2662784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080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Thirty-day cash against cost</a:t>
            </a:r>
          </a:p>
        </c:rich>
      </c:tx>
      <c:overlay val="0"/>
      <c:spPr>
        <a:noFill/>
        <a:ln w="0">
          <a:noFill/>
        </a:ln>
      </c:spPr>
    </c:title>
    <c:autoTitleDeleted val="0"/>
    <c:plotArea>
      <c:barChart>
        <c:barDir val="col"/>
        <c:grouping val="stacked"/>
        <c:varyColors val="0"/>
        <c:ser>
          <c:idx val="0"/>
          <c:order val="0"/>
          <c:tx>
            <c:strRef>
              <c:f>Readings!C173</c:f>
              <c:strCache>
                <c:ptCount val="1"/>
                <c:pt idx="0">
                  <c:v>First purchase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Readings!$B$174:$B$175</c:f>
              <c:strCache>
                <c:ptCount val="2"/>
                <c:pt idx="0">
                  <c:v>Cash in 30 days</c:v>
                </c:pt>
                <c:pt idx="1">
                  <c:v>Cost in 30 days</c:v>
                </c:pt>
              </c:strCache>
            </c:strRef>
          </c:cat>
          <c:val>
            <c:numRef>
              <c:f>Readings!$C$174:$C$175</c:f>
              <c:numCache>
                <c:formatCode>\$#,##0</c:formatCode>
                <c:ptCount val="2"/>
                <c:pt idx="0">
                  <c:v>0</c:v>
                </c:pt>
                <c:pt idx="1">
                  <c:v>0</c:v>
                </c:pt>
              </c:numCache>
            </c:numRef>
          </c:val>
        </c:ser>
        <c:ser>
          <c:idx val="1"/>
          <c:order val="1"/>
          <c:tx>
            <c:strRef>
              <c:f>Readings!D173</c:f>
              <c:strCache>
                <c:ptCount val="1"/>
                <c:pt idx="0">
                  <c:v>Upsell</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Readings!$B$174:$B$175</c:f>
              <c:strCache>
                <c:ptCount val="2"/>
                <c:pt idx="0">
                  <c:v>Cash in 30 days</c:v>
                </c:pt>
                <c:pt idx="1">
                  <c:v>Cost in 30 days</c:v>
                </c:pt>
              </c:strCache>
            </c:strRef>
          </c:cat>
          <c:val>
            <c:numRef>
              <c:f>Readings!$D$174:$D$175</c:f>
              <c:numCache>
                <c:formatCode>\$#,##0</c:formatCode>
                <c:ptCount val="2"/>
                <c:pt idx="0">
                  <c:v>0</c:v>
                </c:pt>
                <c:pt idx="1">
                  <c:v>0</c:v>
                </c:pt>
              </c:numCache>
            </c:numRef>
          </c:val>
        </c:ser>
        <c:ser>
          <c:idx val="2"/>
          <c:order val="2"/>
          <c:tx>
            <c:strRef>
              <c:f>Readings!E173</c:f>
              <c:strCache>
                <c:ptCount val="1"/>
                <c:pt idx="0">
                  <c:v>To acquire</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Readings!$B$174:$B$175</c:f>
              <c:strCache>
                <c:ptCount val="2"/>
                <c:pt idx="0">
                  <c:v>Cash in 30 days</c:v>
                </c:pt>
                <c:pt idx="1">
                  <c:v>Cost in 30 days</c:v>
                </c:pt>
              </c:strCache>
            </c:strRef>
          </c:cat>
          <c:val>
            <c:numRef>
              <c:f>Readings!$E$174:$E$175</c:f>
              <c:numCache>
                <c:formatCode>\$#,##0</c:formatCode>
                <c:ptCount val="2"/>
                <c:pt idx="0">
                  <c:v>0</c:v>
                </c:pt>
                <c:pt idx="1">
                  <c:v>0</c:v>
                </c:pt>
              </c:numCache>
            </c:numRef>
          </c:val>
        </c:ser>
        <c:ser>
          <c:idx val="3"/>
          <c:order val="3"/>
          <c:tx>
            <c:strRef>
              <c:f>Readings!F173</c:f>
              <c:strCache>
                <c:ptCount val="1"/>
                <c:pt idx="0">
                  <c:v>To deliver</c:v>
                </c:pt>
              </c:strCache>
            </c:strRef>
          </c:tx>
          <c:spPr>
            <a:solidFill>
              <a:srgbClr val="8064a2"/>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Readings!$B$174:$B$175</c:f>
              <c:strCache>
                <c:ptCount val="2"/>
                <c:pt idx="0">
                  <c:v>Cash in 30 days</c:v>
                </c:pt>
                <c:pt idx="1">
                  <c:v>Cost in 30 days</c:v>
                </c:pt>
              </c:strCache>
            </c:strRef>
          </c:cat>
          <c:val>
            <c:numRef>
              <c:f>Readings!$F$174:$F$175</c:f>
              <c:numCache>
                <c:formatCode>\$#,##0</c:formatCode>
                <c:ptCount val="2"/>
                <c:pt idx="0">
                  <c:v>0</c:v>
                </c:pt>
                <c:pt idx="1">
                  <c:v>0</c:v>
                </c:pt>
              </c:numCache>
            </c:numRef>
          </c:val>
        </c:ser>
        <c:gapWidth val="150"/>
        <c:overlap val="100"/>
        <c:axId val="87127982"/>
        <c:axId val="6155233"/>
      </c:barChart>
      <c:catAx>
        <c:axId val="871279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5233"/>
        <c:crosses val="autoZero"/>
        <c:auto val="1"/>
        <c:lblAlgn val="ctr"/>
        <c:lblOffset val="100"/>
        <c:noMultiLvlLbl val="0"/>
      </c:catAx>
      <c:valAx>
        <c:axId val="615523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279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scorecard: leads, sales, customers kept</a:t>
            </a:r>
          </a:p>
        </c:rich>
      </c:tx>
      <c:overlay val="0"/>
      <c:spPr>
        <a:noFill/>
        <a:ln w="0">
          <a:noFill/>
        </a:ln>
      </c:spPr>
    </c:title>
    <c:autoTitleDeleted val="0"/>
    <c:plotArea>
      <c:lineChart>
        <c:grouping val="standard"/>
        <c:varyColors val="0"/>
        <c:ser>
          <c:idx val="0"/>
          <c:order val="0"/>
          <c:tx>
            <c:strRef>
              <c:f>"Leads"</c:f>
              <c:strCache>
                <c:ptCount val="1"/>
                <c:pt idx="0">
                  <c:v>Leads</c:v>
                </c:pt>
              </c:strCache>
            </c:strRef>
          </c:tx>
          <c:spPr>
            <a:solidFill>
              <a:srgbClr val="4a7ebb"/>
            </a:solidFill>
            <a:ln w="4752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'Implementation SOPs'!$C$79:$C$86</c:f>
              <c:strCache>
                <c:ptCount val="8"/>
                <c:pt idx="0">
                  <c:v/>
                </c:pt>
                <c:pt idx="1">
                  <c:v/>
                </c:pt>
                <c:pt idx="2">
                  <c:v/>
                </c:pt>
                <c:pt idx="3">
                  <c:v/>
                </c:pt>
                <c:pt idx="4">
                  <c:v/>
                </c:pt>
                <c:pt idx="5">
                  <c:v/>
                </c:pt>
                <c:pt idx="6">
                  <c:v/>
                </c:pt>
                <c:pt idx="7">
                  <c:v/>
                </c:pt>
              </c:strCache>
            </c:strRef>
          </c:cat>
          <c:val>
            <c:numRef>
              <c:f>'Implementation SOPs'!$D$79:$D$86</c:f>
              <c:numCache>
                <c:formatCode>General</c:formatCode>
                <c:ptCount val="8"/>
              </c:numCache>
            </c:numRef>
          </c:val>
          <c:smooth val="0"/>
        </c:ser>
        <c:ser>
          <c:idx val="1"/>
          <c:order val="1"/>
          <c:tx>
            <c:strRef>
              <c:f>"Sales"</c:f>
              <c:strCache>
                <c:ptCount val="1"/>
                <c:pt idx="0">
                  <c:v>Sales</c:v>
                </c:pt>
              </c:strCache>
            </c:strRef>
          </c:tx>
          <c:spPr>
            <a:solidFill>
              <a:srgbClr val="be4b48"/>
            </a:solidFill>
            <a:ln w="47520">
              <a:solidFill>
                <a:srgbClr val="be4b48"/>
              </a:solidFill>
              <a:round/>
            </a:ln>
          </c:spPr>
          <c:marker>
            <c:symbol val="circle"/>
            <c:size val="5"/>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'Implementation SOPs'!$C$79:$C$86</c:f>
              <c:strCache>
                <c:ptCount val="8"/>
                <c:pt idx="0">
                  <c:v/>
                </c:pt>
                <c:pt idx="1">
                  <c:v/>
                </c:pt>
                <c:pt idx="2">
                  <c:v/>
                </c:pt>
                <c:pt idx="3">
                  <c:v/>
                </c:pt>
                <c:pt idx="4">
                  <c:v/>
                </c:pt>
                <c:pt idx="5">
                  <c:v/>
                </c:pt>
                <c:pt idx="6">
                  <c:v/>
                </c:pt>
                <c:pt idx="7">
                  <c:v/>
                </c:pt>
              </c:strCache>
            </c:strRef>
          </c:cat>
          <c:val>
            <c:numRef>
              <c:f>'Implementation SOPs'!$E$79:$E$86</c:f>
              <c:numCache>
                <c:formatCode>General</c:formatCode>
                <c:ptCount val="8"/>
              </c:numCache>
            </c:numRef>
          </c:val>
          <c:smooth val="0"/>
        </c:ser>
        <c:ser>
          <c:idx val="2"/>
          <c:order val="2"/>
          <c:tx>
            <c:strRef>
              <c:f>"Kept"</c:f>
              <c:strCache>
                <c:ptCount val="1"/>
                <c:pt idx="0">
                  <c:v>Kept</c:v>
                </c:pt>
              </c:strCache>
            </c:strRef>
          </c:tx>
          <c:spPr>
            <a:solidFill>
              <a:srgbClr val="98b855"/>
            </a:solidFill>
            <a:ln w="47520">
              <a:solidFill>
                <a:srgbClr val="98b855"/>
              </a:solidFill>
              <a:round/>
            </a:ln>
          </c:spPr>
          <c:marker>
            <c:symbol val="circle"/>
            <c:size val="5"/>
            <c:spPr>
              <a:solidFill>
                <a:srgbClr val="98b85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'Implementation SOPs'!$C$79:$C$86</c:f>
              <c:strCache>
                <c:ptCount val="8"/>
                <c:pt idx="0">
                  <c:v/>
                </c:pt>
                <c:pt idx="1">
                  <c:v/>
                </c:pt>
                <c:pt idx="2">
                  <c:v/>
                </c:pt>
                <c:pt idx="3">
                  <c:v/>
                </c:pt>
                <c:pt idx="4">
                  <c:v/>
                </c:pt>
                <c:pt idx="5">
                  <c:v/>
                </c:pt>
                <c:pt idx="6">
                  <c:v/>
                </c:pt>
                <c:pt idx="7">
                  <c:v/>
                </c:pt>
              </c:strCache>
            </c:strRef>
          </c:cat>
          <c:val>
            <c:numRef>
              <c:f>'Implementation SOPs'!$F$79:$F$86</c:f>
              <c:numCache>
                <c:formatCode>General</c:formatCode>
                <c:ptCount val="8"/>
              </c:numCache>
            </c:numRef>
          </c:val>
          <c:smooth val="0"/>
        </c:ser>
        <c:hiLowLines>
          <c:spPr>
            <a:ln w="0">
              <a:noFill/>
            </a:ln>
          </c:spPr>
        </c:hiLowLines>
        <c:marker val="1"/>
        <c:axId val="64916527"/>
        <c:axId val="25996347"/>
      </c:lineChart>
      <c:catAx>
        <c:axId val="649165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996347"/>
        <c:crosses val="autoZero"/>
        <c:auto val="1"/>
        <c:lblAlgn val="ctr"/>
        <c:lblOffset val="100"/>
        <c:noMultiLvlLbl val="0"/>
      </c:catAx>
      <c:valAx>
        <c:axId val="2599634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165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scorecard: cash collected</a:t>
            </a:r>
          </a:p>
        </c:rich>
      </c:tx>
      <c:overlay val="0"/>
      <c:spPr>
        <a:noFill/>
        <a:ln w="0">
          <a:noFill/>
        </a:ln>
      </c:spPr>
    </c:title>
    <c:autoTitleDeleted val="0"/>
    <c:plotArea>
      <c:lineChart>
        <c:grouping val="standard"/>
        <c:varyColors val="0"/>
        <c:ser>
          <c:idx val="0"/>
          <c:order val="0"/>
          <c:tx>
            <c:strRef>
              <c:f>"Cash"</c:f>
              <c:strCache>
                <c:ptCount val="1"/>
                <c:pt idx="0">
                  <c:v>Cash</c:v>
                </c:pt>
              </c:strCache>
            </c:strRef>
          </c:tx>
          <c:spPr>
            <a:solidFill>
              <a:srgbClr val="9085e9"/>
            </a:solidFill>
            <a:ln w="47520">
              <a:solidFill>
                <a:srgbClr val="9085e9"/>
              </a:solidFill>
              <a:round/>
            </a:ln>
          </c:spPr>
          <c:marker>
            <c:symbol val="circle"/>
            <c:size val="5"/>
            <c:spPr>
              <a:solidFill>
                <a:srgbClr val="9085e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'Implementation SOPs'!$C$79:$C$86</c:f>
              <c:strCache>
                <c:ptCount val="8"/>
                <c:pt idx="0">
                  <c:v/>
                </c:pt>
                <c:pt idx="1">
                  <c:v/>
                </c:pt>
                <c:pt idx="2">
                  <c:v/>
                </c:pt>
                <c:pt idx="3">
                  <c:v/>
                </c:pt>
                <c:pt idx="4">
                  <c:v/>
                </c:pt>
                <c:pt idx="5">
                  <c:v/>
                </c:pt>
                <c:pt idx="6">
                  <c:v/>
                </c:pt>
                <c:pt idx="7">
                  <c:v/>
                </c:pt>
              </c:strCache>
            </c:strRef>
          </c:cat>
          <c:val>
            <c:numRef>
              <c:f>'Implementation SOPs'!$G$79:$G$86</c:f>
              <c:numCache>
                <c:formatCode>General</c:formatCode>
                <c:ptCount val="8"/>
              </c:numCache>
            </c:numRef>
          </c:val>
          <c:smooth val="0"/>
        </c:ser>
        <c:hiLowLines>
          <c:spPr>
            <a:ln w="0">
              <a:noFill/>
            </a:ln>
          </c:spPr>
        </c:hiLowLines>
        <c:marker val="1"/>
        <c:axId val="56465223"/>
        <c:axId val="80856992"/>
      </c:lineChart>
      <c:catAx>
        <c:axId val="564652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56992"/>
        <c:crosses val="autoZero"/>
        <c:auto val="1"/>
        <c:lblAlgn val="ctr"/>
        <c:lblOffset val="100"/>
        <c:noMultiLvlLbl val="0"/>
      </c:catAx>
      <c:valAx>
        <c:axId val="8085699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4652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Relationship Id="rId11" Type="http://schemas.openxmlformats.org/officeDocument/2006/relationships/chart" Target="../charts/chart12.xml"/><Relationship Id="rId12"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18</xdr:row>
      <xdr:rowOff>25920</xdr:rowOff>
    </xdr:from>
    <xdr:to>
      <xdr:col>17</xdr:col>
      <xdr:colOff>599040</xdr:colOff>
      <xdr:row>35</xdr:row>
      <xdr:rowOff>12600</xdr:rowOff>
    </xdr:to>
    <xdr:graphicFrame>
      <xdr:nvGraphicFramePr>
        <xdr:cNvPr id="0" name="Chart 1"/>
        <xdr:cNvGraphicFramePr/>
      </xdr:nvGraphicFramePr>
      <xdr:xfrm>
        <a:off x="11112480" y="380988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131040</xdr:rowOff>
    </xdr:from>
    <xdr:to>
      <xdr:col>16</xdr:col>
      <xdr:colOff>447840</xdr:colOff>
      <xdr:row>16</xdr:row>
      <xdr:rowOff>55800</xdr:rowOff>
    </xdr:to>
    <xdr:graphicFrame>
      <xdr:nvGraphicFramePr>
        <xdr:cNvPr id="1" name="Chart 1"/>
        <xdr:cNvGraphicFramePr/>
      </xdr:nvGraphicFramePr>
      <xdr:xfrm>
        <a:off x="16002000" y="571680"/>
        <a:ext cx="575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17</xdr:row>
      <xdr:rowOff>130680</xdr:rowOff>
    </xdr:from>
    <xdr:to>
      <xdr:col>16</xdr:col>
      <xdr:colOff>447840</xdr:colOff>
      <xdr:row>31</xdr:row>
      <xdr:rowOff>55440</xdr:rowOff>
    </xdr:to>
    <xdr:graphicFrame>
      <xdr:nvGraphicFramePr>
        <xdr:cNvPr id="2" name="Chart 2"/>
        <xdr:cNvGraphicFramePr/>
      </xdr:nvGraphicFramePr>
      <xdr:xfrm>
        <a:off x="16002000" y="3429000"/>
        <a:ext cx="575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32</xdr:row>
      <xdr:rowOff>131040</xdr:rowOff>
    </xdr:from>
    <xdr:to>
      <xdr:col>16</xdr:col>
      <xdr:colOff>447840</xdr:colOff>
      <xdr:row>46</xdr:row>
      <xdr:rowOff>55800</xdr:rowOff>
    </xdr:to>
    <xdr:graphicFrame>
      <xdr:nvGraphicFramePr>
        <xdr:cNvPr id="3" name="Chart 3"/>
        <xdr:cNvGraphicFramePr/>
      </xdr:nvGraphicFramePr>
      <xdr:xfrm>
        <a:off x="16002000" y="6286680"/>
        <a:ext cx="575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47</xdr:row>
      <xdr:rowOff>130680</xdr:rowOff>
    </xdr:from>
    <xdr:to>
      <xdr:col>16</xdr:col>
      <xdr:colOff>447840</xdr:colOff>
      <xdr:row>61</xdr:row>
      <xdr:rowOff>55440</xdr:rowOff>
    </xdr:to>
    <xdr:graphicFrame>
      <xdr:nvGraphicFramePr>
        <xdr:cNvPr id="4" name="Chart 4"/>
        <xdr:cNvGraphicFramePr/>
      </xdr:nvGraphicFramePr>
      <xdr:xfrm>
        <a:off x="16002000" y="9144000"/>
        <a:ext cx="5759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62</xdr:row>
      <xdr:rowOff>37800</xdr:rowOff>
    </xdr:from>
    <xdr:to>
      <xdr:col>16</xdr:col>
      <xdr:colOff>447840</xdr:colOff>
      <xdr:row>75</xdr:row>
      <xdr:rowOff>152640</xdr:rowOff>
    </xdr:to>
    <xdr:graphicFrame>
      <xdr:nvGraphicFramePr>
        <xdr:cNvPr id="5" name="Chart 5"/>
        <xdr:cNvGraphicFramePr/>
      </xdr:nvGraphicFramePr>
      <xdr:xfrm>
        <a:off x="16002000" y="12001680"/>
        <a:ext cx="5759640" cy="259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77</xdr:row>
      <xdr:rowOff>37440</xdr:rowOff>
    </xdr:from>
    <xdr:to>
      <xdr:col>16</xdr:col>
      <xdr:colOff>447840</xdr:colOff>
      <xdr:row>90</xdr:row>
      <xdr:rowOff>152640</xdr:rowOff>
    </xdr:to>
    <xdr:graphicFrame>
      <xdr:nvGraphicFramePr>
        <xdr:cNvPr id="6" name="Chart 6"/>
        <xdr:cNvGraphicFramePr/>
      </xdr:nvGraphicFramePr>
      <xdr:xfrm>
        <a:off x="16002000" y="14859000"/>
        <a:ext cx="5759640" cy="259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92</xdr:row>
      <xdr:rowOff>37800</xdr:rowOff>
    </xdr:from>
    <xdr:to>
      <xdr:col>16</xdr:col>
      <xdr:colOff>447840</xdr:colOff>
      <xdr:row>105</xdr:row>
      <xdr:rowOff>152640</xdr:rowOff>
    </xdr:to>
    <xdr:graphicFrame>
      <xdr:nvGraphicFramePr>
        <xdr:cNvPr id="7" name="Chart 7"/>
        <xdr:cNvGraphicFramePr/>
      </xdr:nvGraphicFramePr>
      <xdr:xfrm>
        <a:off x="16002000" y="17716680"/>
        <a:ext cx="5759640" cy="259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107</xdr:row>
      <xdr:rowOff>37440</xdr:rowOff>
    </xdr:from>
    <xdr:to>
      <xdr:col>16</xdr:col>
      <xdr:colOff>447840</xdr:colOff>
      <xdr:row>120</xdr:row>
      <xdr:rowOff>152640</xdr:rowOff>
    </xdr:to>
    <xdr:graphicFrame>
      <xdr:nvGraphicFramePr>
        <xdr:cNvPr id="8" name="Chart 8"/>
        <xdr:cNvGraphicFramePr/>
      </xdr:nvGraphicFramePr>
      <xdr:xfrm>
        <a:off x="16002000" y="20574000"/>
        <a:ext cx="5759640" cy="259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122</xdr:row>
      <xdr:rowOff>37800</xdr:rowOff>
    </xdr:from>
    <xdr:to>
      <xdr:col>16</xdr:col>
      <xdr:colOff>447840</xdr:colOff>
      <xdr:row>135</xdr:row>
      <xdr:rowOff>152640</xdr:rowOff>
    </xdr:to>
    <xdr:graphicFrame>
      <xdr:nvGraphicFramePr>
        <xdr:cNvPr id="9" name="Chart 9"/>
        <xdr:cNvGraphicFramePr/>
      </xdr:nvGraphicFramePr>
      <xdr:xfrm>
        <a:off x="16002000" y="23431680"/>
        <a:ext cx="5759640" cy="2591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137</xdr:row>
      <xdr:rowOff>37440</xdr:rowOff>
    </xdr:from>
    <xdr:to>
      <xdr:col>16</xdr:col>
      <xdr:colOff>447840</xdr:colOff>
      <xdr:row>150</xdr:row>
      <xdr:rowOff>152640</xdr:rowOff>
    </xdr:to>
    <xdr:graphicFrame>
      <xdr:nvGraphicFramePr>
        <xdr:cNvPr id="10" name="Chart 10"/>
        <xdr:cNvGraphicFramePr/>
      </xdr:nvGraphicFramePr>
      <xdr:xfrm>
        <a:off x="16002000" y="26289000"/>
        <a:ext cx="5759640" cy="2591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152</xdr:row>
      <xdr:rowOff>37800</xdr:rowOff>
    </xdr:from>
    <xdr:to>
      <xdr:col>16</xdr:col>
      <xdr:colOff>447840</xdr:colOff>
      <xdr:row>165</xdr:row>
      <xdr:rowOff>152640</xdr:rowOff>
    </xdr:to>
    <xdr:graphicFrame>
      <xdr:nvGraphicFramePr>
        <xdr:cNvPr id="11" name="Chart 11"/>
        <xdr:cNvGraphicFramePr/>
      </xdr:nvGraphicFramePr>
      <xdr:xfrm>
        <a:off x="16002000" y="29146680"/>
        <a:ext cx="5759640" cy="25916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0</xdr:colOff>
      <xdr:row>167</xdr:row>
      <xdr:rowOff>37440</xdr:rowOff>
    </xdr:from>
    <xdr:to>
      <xdr:col>16</xdr:col>
      <xdr:colOff>447840</xdr:colOff>
      <xdr:row>180</xdr:row>
      <xdr:rowOff>152640</xdr:rowOff>
    </xdr:to>
    <xdr:graphicFrame>
      <xdr:nvGraphicFramePr>
        <xdr:cNvPr id="12" name="Chart 12"/>
        <xdr:cNvGraphicFramePr/>
      </xdr:nvGraphicFramePr>
      <xdr:xfrm>
        <a:off x="16002000" y="32004000"/>
        <a:ext cx="5759640" cy="25916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A63F"/>
    <pageSetUpPr fitToPage="true"/>
  </sheetPr>
  <dimension ref="B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80"/>
  </cols>
  <sheetData>
    <row r="1" customFormat="false" ht="26.8" hidden="false" customHeight="false" outlineLevel="0" collapsed="false">
      <c r="B1" s="1" t="s">
        <v>0</v>
      </c>
    </row>
    <row r="2" customFormat="false" ht="15" hidden="false" customHeight="false" outlineLevel="0" collapsed="false">
      <c r="B2" s="2" t="s">
        <v>1</v>
      </c>
    </row>
    <row r="4" customFormat="false" ht="90" hidden="false" customHeight="true" outlineLevel="0" collapsed="false">
      <c r="B4" s="3" t="s">
        <v>2</v>
      </c>
      <c r="C4" s="4" t="s">
        <v>3</v>
      </c>
    </row>
    <row r="5" customFormat="false" ht="117.75" hidden="false" customHeight="true" outlineLevel="0" collapsed="false">
      <c r="B5" s="3" t="s">
        <v>4</v>
      </c>
      <c r="C5" s="4" t="s">
        <v>5</v>
      </c>
    </row>
    <row r="6" customFormat="false" ht="90" hidden="false" customHeight="true" outlineLevel="0" collapsed="false">
      <c r="B6" s="3" t="s">
        <v>6</v>
      </c>
      <c r="C6" s="4" t="s">
        <v>7</v>
      </c>
    </row>
    <row r="7" customFormat="false" ht="61.5" hidden="false" customHeight="true" outlineLevel="0" collapsed="false">
      <c r="B7" s="3" t="s">
        <v>8</v>
      </c>
      <c r="C7" s="4" t="s">
        <v>9</v>
      </c>
    </row>
    <row r="8" customFormat="false" ht="61.5" hidden="false" customHeight="true" outlineLevel="0" collapsed="false">
      <c r="B8" s="3" t="s">
        <v>10</v>
      </c>
      <c r="C8" s="4" t="s">
        <v>11</v>
      </c>
    </row>
    <row r="9" customFormat="false" ht="33.75" hidden="false" customHeight="true" outlineLevel="0" collapsed="false">
      <c r="B9" s="3" t="s">
        <v>12</v>
      </c>
      <c r="C9" s="4" t="s">
        <v>13</v>
      </c>
    </row>
    <row r="10" customFormat="false" ht="48" hidden="false" customHeight="true" outlineLevel="0" collapsed="false">
      <c r="B10" s="3" t="s">
        <v>14</v>
      </c>
      <c r="C10" s="4" t="s">
        <v>15</v>
      </c>
    </row>
    <row r="11" customFormat="false" ht="48" hidden="false" customHeight="true" outlineLevel="0" collapsed="false">
      <c r="B11" s="3" t="s">
        <v>16</v>
      </c>
      <c r="C11" s="4" t="s">
        <v>17</v>
      </c>
    </row>
    <row r="12" customFormat="false" ht="19.5" hidden="false" customHeight="true" outlineLevel="0" collapsed="false">
      <c r="B12" s="3" t="s">
        <v>18</v>
      </c>
      <c r="C12" s="4" t="s">
        <v>19</v>
      </c>
    </row>
    <row r="13" customFormat="false" ht="19.5" hidden="false" customHeight="true" outlineLevel="0" collapsed="false">
      <c r="B13" s="3" t="s">
        <v>20</v>
      </c>
      <c r="C13" s="4" t="s">
        <v>21</v>
      </c>
    </row>
    <row r="15" customFormat="false" ht="15" hidden="false" customHeight="false" outlineLevel="0" collapsed="false">
      <c r="B15" s="5" t="s">
        <v>22</v>
      </c>
    </row>
    <row r="16" customFormat="false" ht="15" hidden="false" customHeight="false" outlineLevel="0" collapsed="false">
      <c r="B16" s="6" t="s">
        <v>23</v>
      </c>
      <c r="C16" s="7" t="str">
        <f aca="false">IF(B16="","","This is what a filled cell looks like: type over the yellow.")</f>
        <v>This is what a filled cell looks like: type over the yellow.</v>
      </c>
    </row>
    <row r="17" customFormat="false" ht="15" hidden="false" customHeight="false" outlineLevel="0" collapsed="false">
      <c r="B17" s="8" t="n">
        <f aca="false">1+1</f>
        <v>2</v>
      </c>
      <c r="C17" s="7" t="s">
        <v>24</v>
      </c>
    </row>
    <row r="18" customFormat="false" ht="15" hidden="false" customHeight="false" outlineLevel="0" collapsed="false">
      <c r="B18" s="9" t="str">
        <f aca="false">'Lifetime Value'!D1</f>
        <v>Delivery system</v>
      </c>
      <c r="C18" s="7" t="s">
        <v>25</v>
      </c>
    </row>
    <row r="19" customFormat="false" ht="15" hidden="false" customHeight="false" outlineLevel="0" collapsed="false">
      <c r="B19" s="10" t="s">
        <v>26</v>
      </c>
      <c r="C19" s="7" t="s">
        <v>27</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Q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4"/>
    <col collapsed="false" customWidth="true" hidden="false" outlineLevel="0" max="4" min="4" style="0" width="11"/>
    <col collapsed="false" customWidth="true" hidden="false" outlineLevel="0" max="5" min="5" style="0" width="19"/>
    <col collapsed="false" customWidth="true" hidden="false" outlineLevel="0" max="6" min="6" style="0" width="8"/>
    <col collapsed="false" customWidth="true" hidden="false" outlineLevel="0" max="7" min="7" style="0" width="11"/>
    <col collapsed="false" customWidth="true" hidden="false" outlineLevel="0" max="8" min="8" style="0" width="8"/>
    <col collapsed="false" customWidth="true" hidden="false" outlineLevel="0" max="9" min="9" style="0" width="12"/>
    <col collapsed="false" customWidth="true" hidden="false" outlineLevel="0" max="10" min="10" style="0" width="13"/>
    <col collapsed="false" customWidth="true" hidden="false" outlineLevel="0" max="11" min="11" style="0" width="4"/>
    <col collapsed="false" customWidth="true" hidden="false" outlineLevel="0" max="17" min="12" style="0" width="9"/>
  </cols>
  <sheetData>
    <row r="1" customFormat="false" ht="26.8" hidden="false" customHeight="false" outlineLevel="0" collapsed="false">
      <c r="B1" s="1" t="s">
        <v>0</v>
      </c>
    </row>
    <row r="2" customFormat="false" ht="30" hidden="false" customHeight="true" outlineLevel="0" collapsed="false">
      <c r="B2" s="11" t="s">
        <v>28</v>
      </c>
      <c r="C2" s="11"/>
      <c r="D2" s="11"/>
      <c r="E2" s="11"/>
      <c r="F2" s="11"/>
      <c r="G2" s="11"/>
      <c r="H2" s="11"/>
      <c r="I2" s="11"/>
      <c r="J2" s="11"/>
      <c r="K2" s="11"/>
      <c r="L2" s="11"/>
      <c r="M2" s="11"/>
      <c r="N2" s="11"/>
      <c r="O2" s="11"/>
      <c r="P2" s="11"/>
      <c r="Q2" s="11"/>
    </row>
    <row r="4" customFormat="false" ht="16.15" hidden="false" customHeight="false" outlineLevel="0" collapsed="false">
      <c r="B4" s="12" t="s">
        <v>29</v>
      </c>
    </row>
    <row r="5" customFormat="false" ht="15" hidden="false" customHeight="false" outlineLevel="0" collapsed="false">
      <c r="B5" s="13" t="s">
        <v>30</v>
      </c>
      <c r="C5" s="13" t="s">
        <v>31</v>
      </c>
      <c r="D5" s="13" t="s">
        <v>32</v>
      </c>
      <c r="E5" s="13" t="s">
        <v>33</v>
      </c>
      <c r="F5" s="13" t="s">
        <v>34</v>
      </c>
      <c r="G5" s="13" t="s">
        <v>35</v>
      </c>
      <c r="H5" s="13" t="s">
        <v>36</v>
      </c>
      <c r="I5" s="13" t="s">
        <v>35</v>
      </c>
      <c r="J5" s="13" t="s">
        <v>37</v>
      </c>
      <c r="L5" s="13" t="s">
        <v>38</v>
      </c>
      <c r="M5" s="13" t="s">
        <v>39</v>
      </c>
      <c r="N5" s="13" t="s">
        <v>40</v>
      </c>
      <c r="O5" s="13" t="s">
        <v>41</v>
      </c>
      <c r="P5" s="13" t="s">
        <v>42</v>
      </c>
      <c r="Q5" s="13" t="s">
        <v>43</v>
      </c>
    </row>
    <row r="6" customFormat="false" ht="15" hidden="false" customHeight="false" outlineLevel="0" collapsed="false">
      <c r="B6" s="14" t="s">
        <v>44</v>
      </c>
      <c r="C6" s="15" t="s">
        <v>45</v>
      </c>
      <c r="D6" s="9" t="n">
        <f aca="false">'Marketing Machine'!$D$13</f>
        <v>0</v>
      </c>
      <c r="E6" s="9" t="n">
        <f aca="false">'Marketing Machine'!$D$14</f>
        <v>1</v>
      </c>
      <c r="F6" s="9" t="n">
        <f aca="false">SUM('Marketing Machine'!$D$7:$D$12)</f>
        <v>0</v>
      </c>
      <c r="G6" s="9" t="n">
        <f aca="false">SUM('Marketing Machine'!$E$7:$E$12)</f>
        <v>21</v>
      </c>
      <c r="H6" s="9" t="n">
        <f aca="false">SUM('Marketing Machine'!$F$7:$F$12)</f>
        <v>0</v>
      </c>
      <c r="I6" s="9" t="n">
        <f aca="false">SUM('Marketing Machine'!$G$7:$G$12)</f>
        <v>14</v>
      </c>
      <c r="J6" s="16" t="n">
        <f aca="false">'Marketing Machine'!$D$15</f>
        <v>0</v>
      </c>
      <c r="K6" s="9"/>
      <c r="L6" s="17" t="str">
        <f aca="false">'Marketing Machine'!$H$7</f>
        <v>not yet</v>
      </c>
      <c r="M6" s="17" t="str">
        <f aca="false">'Marketing Machine'!$H$8</f>
        <v>not yet</v>
      </c>
      <c r="N6" s="17" t="str">
        <f aca="false">'Marketing Machine'!$H$9</f>
        <v>not yet</v>
      </c>
      <c r="O6" s="17" t="str">
        <f aca="false">'Marketing Machine'!$H$10</f>
        <v>not yet</v>
      </c>
      <c r="P6" s="17" t="str">
        <f aca="false">'Marketing Machine'!$H$11</f>
        <v>not yet</v>
      </c>
      <c r="Q6" s="17" t="str">
        <f aca="false">'Marketing Machine'!$H$12</f>
        <v>not yet</v>
      </c>
    </row>
    <row r="7" customFormat="false" ht="15" hidden="false" customHeight="false" outlineLevel="0" collapsed="false">
      <c r="B7" s="14" t="s">
        <v>44</v>
      </c>
      <c r="C7" s="15" t="s">
        <v>46</v>
      </c>
      <c r="D7" s="9" t="n">
        <f aca="false">Hooks!$D$13</f>
        <v>0</v>
      </c>
      <c r="E7" s="9" t="n">
        <f aca="false">Hooks!$D$14</f>
        <v>1</v>
      </c>
      <c r="F7" s="9" t="n">
        <f aca="false">SUM(Hooks!$D$7:$D$12)</f>
        <v>0</v>
      </c>
      <c r="G7" s="9" t="n">
        <f aca="false">SUM(Hooks!$E$7:$E$12)</f>
        <v>15</v>
      </c>
      <c r="H7" s="9" t="n">
        <f aca="false">SUM(Hooks!$F$7:$F$12)</f>
        <v>0</v>
      </c>
      <c r="I7" s="9" t="n">
        <f aca="false">SUM(Hooks!$G$7:$G$12)</f>
        <v>14</v>
      </c>
      <c r="J7" s="16" t="n">
        <f aca="false">Hooks!$D$15</f>
        <v>0</v>
      </c>
      <c r="K7" s="9"/>
      <c r="L7" s="17" t="str">
        <f aca="false">Hooks!$H$7</f>
        <v>not yet</v>
      </c>
      <c r="M7" s="17" t="str">
        <f aca="false">Hooks!$H$8</f>
        <v>not yet</v>
      </c>
      <c r="N7" s="17" t="str">
        <f aca="false">Hooks!$H$9</f>
        <v>not yet</v>
      </c>
      <c r="O7" s="17" t="str">
        <f aca="false">Hooks!$H$10</f>
        <v>not yet</v>
      </c>
      <c r="P7" s="17" t="str">
        <f aca="false">Hooks!$H$11</f>
        <v>not yet</v>
      </c>
      <c r="Q7" s="17" t="str">
        <f aca="false">Hooks!$H$12</f>
        <v>not yet</v>
      </c>
    </row>
    <row r="8" customFormat="false" ht="15" hidden="false" customHeight="false" outlineLevel="0" collapsed="false">
      <c r="B8" s="14" t="s">
        <v>44</v>
      </c>
      <c r="C8" s="15" t="s">
        <v>47</v>
      </c>
      <c r="D8" s="9" t="n">
        <f aca="false">'Lead Nurture'!$D$13</f>
        <v>0</v>
      </c>
      <c r="E8" s="9" t="n">
        <f aca="false">'Lead Nurture'!$D$14</f>
        <v>1</v>
      </c>
      <c r="F8" s="9" t="n">
        <f aca="false">SUM('Lead Nurture'!$D$7:$D$12)</f>
        <v>0</v>
      </c>
      <c r="G8" s="9" t="n">
        <f aca="false">SUM('Lead Nurture'!$E$7:$E$12)</f>
        <v>17</v>
      </c>
      <c r="H8" s="9" t="n">
        <f aca="false">SUM('Lead Nurture'!$F$7:$F$12)</f>
        <v>0</v>
      </c>
      <c r="I8" s="9" t="n">
        <f aca="false">SUM('Lead Nurture'!$G$7:$G$12)</f>
        <v>15</v>
      </c>
      <c r="J8" s="16" t="n">
        <f aca="false">'Lead Nurture'!$D$15</f>
        <v>0</v>
      </c>
      <c r="K8" s="9"/>
      <c r="L8" s="17" t="str">
        <f aca="false">'Lead Nurture'!$H$7</f>
        <v>not yet</v>
      </c>
      <c r="M8" s="17" t="str">
        <f aca="false">'Lead Nurture'!$H$8</f>
        <v>not yet</v>
      </c>
      <c r="N8" s="17" t="str">
        <f aca="false">'Lead Nurture'!$H$9</f>
        <v>not yet</v>
      </c>
      <c r="O8" s="17" t="str">
        <f aca="false">'Lead Nurture'!$H$10</f>
        <v>not yet</v>
      </c>
      <c r="P8" s="17" t="str">
        <f aca="false">'Lead Nurture'!$H$11</f>
        <v>not yet</v>
      </c>
      <c r="Q8" s="17" t="str">
        <f aca="false">'Lead Nurture'!$H$12</f>
        <v>not yet</v>
      </c>
    </row>
    <row r="9" customFormat="false" ht="15" hidden="false" customHeight="false" outlineLevel="0" collapsed="false">
      <c r="B9" s="14" t="s">
        <v>48</v>
      </c>
      <c r="C9" s="18" t="s">
        <v>49</v>
      </c>
      <c r="D9" s="9" t="n">
        <f aca="false">'Closing Handbook'!$D$13</f>
        <v>0</v>
      </c>
      <c r="E9" s="9" t="n">
        <f aca="false">'Closing Handbook'!$D$14</f>
        <v>1</v>
      </c>
      <c r="F9" s="9" t="n">
        <f aca="false">SUM('Closing Handbook'!$D$7:$D$12)</f>
        <v>0</v>
      </c>
      <c r="G9" s="9" t="n">
        <f aca="false">SUM('Closing Handbook'!$E$7:$E$12)</f>
        <v>19</v>
      </c>
      <c r="H9" s="9" t="n">
        <f aca="false">SUM('Closing Handbook'!$F$7:$F$12)</f>
        <v>0</v>
      </c>
      <c r="I9" s="9" t="n">
        <f aca="false">SUM('Closing Handbook'!$G$7:$G$12)</f>
        <v>17</v>
      </c>
      <c r="J9" s="16" t="n">
        <f aca="false">'Closing Handbook'!$D$15</f>
        <v>0</v>
      </c>
      <c r="K9" s="9"/>
      <c r="L9" s="17" t="str">
        <f aca="false">'Closing Handbook'!$H$7</f>
        <v>not yet</v>
      </c>
      <c r="M9" s="17" t="str">
        <f aca="false">'Closing Handbook'!$H$8</f>
        <v>not yet</v>
      </c>
      <c r="N9" s="17" t="str">
        <f aca="false">'Closing Handbook'!$H$9</f>
        <v>not yet</v>
      </c>
      <c r="O9" s="17" t="str">
        <f aca="false">'Closing Handbook'!$H$10</f>
        <v>not yet</v>
      </c>
      <c r="P9" s="17" t="str">
        <f aca="false">'Closing Handbook'!$H$11</f>
        <v>not yet</v>
      </c>
      <c r="Q9" s="17" t="str">
        <f aca="false">'Closing Handbook'!$H$12</f>
        <v>not yet</v>
      </c>
    </row>
    <row r="10" customFormat="false" ht="15" hidden="false" customHeight="false" outlineLevel="0" collapsed="false">
      <c r="B10" s="14" t="s">
        <v>48</v>
      </c>
      <c r="C10" s="18" t="s">
        <v>50</v>
      </c>
      <c r="D10" s="9" t="n">
        <f aca="false">'Proof Checklist'!$D$13</f>
        <v>0</v>
      </c>
      <c r="E10" s="9" t="n">
        <f aca="false">'Proof Checklist'!$D$14</f>
        <v>1</v>
      </c>
      <c r="F10" s="9" t="n">
        <f aca="false">SUM('Proof Checklist'!$D$7:$D$12)</f>
        <v>0</v>
      </c>
      <c r="G10" s="9" t="n">
        <f aca="false">SUM('Proof Checklist'!$E$7:$E$12)</f>
        <v>18</v>
      </c>
      <c r="H10" s="9" t="n">
        <f aca="false">SUM('Proof Checklist'!$F$7:$F$12)</f>
        <v>0</v>
      </c>
      <c r="I10" s="9" t="n">
        <f aca="false">SUM('Proof Checklist'!$G$7:$G$12)</f>
        <v>15</v>
      </c>
      <c r="J10" s="16" t="n">
        <f aca="false">'Proof Checklist'!$D$15</f>
        <v>0</v>
      </c>
      <c r="K10" s="9"/>
      <c r="L10" s="17" t="str">
        <f aca="false">'Proof Checklist'!$H$7</f>
        <v>not yet</v>
      </c>
      <c r="M10" s="17" t="str">
        <f aca="false">'Proof Checklist'!$H$8</f>
        <v>not yet</v>
      </c>
      <c r="N10" s="17" t="str">
        <f aca="false">'Proof Checklist'!$H$9</f>
        <v>not yet</v>
      </c>
      <c r="O10" s="17" t="str">
        <f aca="false">'Proof Checklist'!$H$10</f>
        <v>not yet</v>
      </c>
      <c r="P10" s="17" t="str">
        <f aca="false">'Proof Checklist'!$H$11</f>
        <v>not yet</v>
      </c>
      <c r="Q10" s="17" t="str">
        <f aca="false">'Proof Checklist'!$H$12</f>
        <v>not yet</v>
      </c>
    </row>
    <row r="11" customFormat="false" ht="15" hidden="false" customHeight="false" outlineLevel="0" collapsed="false">
      <c r="B11" s="14" t="s">
        <v>48</v>
      </c>
      <c r="C11" s="18" t="s">
        <v>51</v>
      </c>
      <c r="D11" s="9" t="n">
        <f aca="false">'GOATed Ads'!$D$13</f>
        <v>0</v>
      </c>
      <c r="E11" s="9" t="n">
        <f aca="false">'GOATed Ads'!$D$14</f>
        <v>1</v>
      </c>
      <c r="F11" s="9" t="n">
        <f aca="false">SUM('GOATed Ads'!$D$7:$D$12)</f>
        <v>0</v>
      </c>
      <c r="G11" s="9" t="n">
        <f aca="false">SUM('GOATed Ads'!$E$7:$E$12)</f>
        <v>21</v>
      </c>
      <c r="H11" s="9" t="n">
        <f aca="false">SUM('GOATed Ads'!$F$7:$F$12)</f>
        <v>0</v>
      </c>
      <c r="I11" s="9" t="n">
        <f aca="false">SUM('GOATed Ads'!$G$7:$G$12)</f>
        <v>15</v>
      </c>
      <c r="J11" s="16" t="n">
        <f aca="false">'GOATed Ads'!$D$15</f>
        <v>0</v>
      </c>
      <c r="K11" s="9"/>
      <c r="L11" s="17" t="str">
        <f aca="false">'GOATed Ads'!$H$7</f>
        <v>not yet</v>
      </c>
      <c r="M11" s="17" t="str">
        <f aca="false">'GOATed Ads'!$H$8</f>
        <v>not yet</v>
      </c>
      <c r="N11" s="17" t="str">
        <f aca="false">'GOATed Ads'!$H$9</f>
        <v>not yet</v>
      </c>
      <c r="O11" s="17" t="str">
        <f aca="false">'GOATed Ads'!$H$10</f>
        <v>not yet</v>
      </c>
      <c r="P11" s="17" t="str">
        <f aca="false">'GOATed Ads'!$H$11</f>
        <v>not yet</v>
      </c>
      <c r="Q11" s="17" t="str">
        <f aca="false">'GOATed Ads'!$H$12</f>
        <v>not yet</v>
      </c>
    </row>
    <row r="12" customFormat="false" ht="15" hidden="false" customHeight="false" outlineLevel="0" collapsed="false">
      <c r="B12" s="14" t="s">
        <v>52</v>
      </c>
      <c r="C12" s="19" t="s">
        <v>53</v>
      </c>
      <c r="D12" s="9" t="n">
        <f aca="false">Retention!$D$13</f>
        <v>0</v>
      </c>
      <c r="E12" s="9" t="n">
        <f aca="false">Retention!$D$14</f>
        <v>1</v>
      </c>
      <c r="F12" s="9" t="n">
        <f aca="false">SUM(Retention!$D$7:$D$12)</f>
        <v>0</v>
      </c>
      <c r="G12" s="9" t="n">
        <f aca="false">SUM(Retention!$E$7:$E$12)</f>
        <v>15</v>
      </c>
      <c r="H12" s="9" t="n">
        <f aca="false">SUM(Retention!$F$7:$F$12)</f>
        <v>0</v>
      </c>
      <c r="I12" s="9" t="n">
        <f aca="false">SUM(Retention!$G$7:$G$12)</f>
        <v>14</v>
      </c>
      <c r="J12" s="16" t="n">
        <f aca="false">Retention!$D$15</f>
        <v>0</v>
      </c>
      <c r="K12" s="9"/>
      <c r="L12" s="17" t="str">
        <f aca="false">Retention!$H$7</f>
        <v>not yet</v>
      </c>
      <c r="M12" s="17" t="str">
        <f aca="false">Retention!$H$8</f>
        <v>not yet</v>
      </c>
      <c r="N12" s="17" t="str">
        <f aca="false">Retention!$H$9</f>
        <v>not yet</v>
      </c>
      <c r="O12" s="17" t="str">
        <f aca="false">Retention!$H$10</f>
        <v>not yet</v>
      </c>
      <c r="P12" s="17" t="str">
        <f aca="false">Retention!$H$11</f>
        <v>not yet</v>
      </c>
      <c r="Q12" s="17" t="str">
        <f aca="false">Retention!$H$12</f>
        <v>not yet</v>
      </c>
    </row>
    <row r="13" customFormat="false" ht="15" hidden="false" customHeight="false" outlineLevel="0" collapsed="false">
      <c r="B13" s="14" t="s">
        <v>52</v>
      </c>
      <c r="C13" s="19" t="s">
        <v>54</v>
      </c>
      <c r="D13" s="9" t="n">
        <f aca="false">'Lifetime Value'!$D$13</f>
        <v>0</v>
      </c>
      <c r="E13" s="9" t="n">
        <f aca="false">'Lifetime Value'!$D$14</f>
        <v>1</v>
      </c>
      <c r="F13" s="9" t="n">
        <f aca="false">SUM('Lifetime Value'!$D$7:$D$12)</f>
        <v>0</v>
      </c>
      <c r="G13" s="9" t="n">
        <f aca="false">SUM('Lifetime Value'!$E$7:$E$12)</f>
        <v>17</v>
      </c>
      <c r="H13" s="9" t="n">
        <f aca="false">SUM('Lifetime Value'!$F$7:$F$12)</f>
        <v>0</v>
      </c>
      <c r="I13" s="9" t="n">
        <f aca="false">SUM('Lifetime Value'!$G$7:$G$12)</f>
        <v>11</v>
      </c>
      <c r="J13" s="16" t="n">
        <f aca="false">'Lifetime Value'!$D$15</f>
        <v>0</v>
      </c>
      <c r="K13" s="9"/>
      <c r="L13" s="17" t="str">
        <f aca="false">'Lifetime Value'!$H$7</f>
        <v>not yet</v>
      </c>
      <c r="M13" s="17" t="str">
        <f aca="false">'Lifetime Value'!$H$8</f>
        <v>not yet</v>
      </c>
      <c r="N13" s="17" t="str">
        <f aca="false">'Lifetime Value'!$H$9</f>
        <v>not yet</v>
      </c>
      <c r="O13" s="17" t="str">
        <f aca="false">'Lifetime Value'!$H$10</f>
        <v>not yet</v>
      </c>
      <c r="P13" s="17" t="str">
        <f aca="false">'Lifetime Value'!$H$11</f>
        <v>not yet</v>
      </c>
      <c r="Q13" s="17" t="str">
        <f aca="false">'Lifetime Value'!$H$12</f>
        <v>not yet</v>
      </c>
    </row>
    <row r="14" customFormat="false" ht="15" hidden="false" customHeight="false" outlineLevel="0" collapsed="false">
      <c r="B14" s="14" t="s">
        <v>52</v>
      </c>
      <c r="C14" s="19" t="s">
        <v>55</v>
      </c>
      <c r="D14" s="9" t="n">
        <f aca="false">Branding!$D$13</f>
        <v>0</v>
      </c>
      <c r="E14" s="9" t="n">
        <f aca="false">Branding!$D$14</f>
        <v>1</v>
      </c>
      <c r="F14" s="9" t="n">
        <f aca="false">SUM(Branding!$D$7:$D$12)</f>
        <v>0</v>
      </c>
      <c r="G14" s="9" t="n">
        <f aca="false">SUM(Branding!$E$7:$E$12)</f>
        <v>15</v>
      </c>
      <c r="H14" s="9" t="n">
        <f aca="false">SUM(Branding!$F$7:$F$12)</f>
        <v>0</v>
      </c>
      <c r="I14" s="9" t="n">
        <f aca="false">SUM(Branding!$G$7:$G$12)</f>
        <v>13</v>
      </c>
      <c r="J14" s="16" t="n">
        <f aca="false">Branding!$D$15</f>
        <v>0</v>
      </c>
      <c r="K14" s="9"/>
      <c r="L14" s="17" t="str">
        <f aca="false">Branding!$H$7</f>
        <v>not yet</v>
      </c>
      <c r="M14" s="17" t="str">
        <f aca="false">Branding!$H$8</f>
        <v>not yet</v>
      </c>
      <c r="N14" s="17" t="str">
        <f aca="false">Branding!$H$9</f>
        <v>not yet</v>
      </c>
      <c r="O14" s="17" t="str">
        <f aca="false">Branding!$H$10</f>
        <v>not yet</v>
      </c>
      <c r="P14" s="17" t="str">
        <f aca="false">Branding!$H$11</f>
        <v>not yet</v>
      </c>
      <c r="Q14" s="17" t="str">
        <f aca="false">Branding!$H$12</f>
        <v>not yet</v>
      </c>
    </row>
    <row r="15" customFormat="false" ht="15" hidden="false" customHeight="false" outlineLevel="0" collapsed="false">
      <c r="B15" s="14" t="s">
        <v>56</v>
      </c>
      <c r="C15" s="20" t="s">
        <v>57</v>
      </c>
      <c r="D15" s="9" t="n">
        <f aca="false">'Price Raise'!$D$13</f>
        <v>0</v>
      </c>
      <c r="E15" s="9" t="n">
        <f aca="false">'Price Raise'!$D$14</f>
        <v>1</v>
      </c>
      <c r="F15" s="9" t="n">
        <f aca="false">SUM('Price Raise'!$D$7:$D$12)</f>
        <v>0</v>
      </c>
      <c r="G15" s="9" t="n">
        <f aca="false">SUM('Price Raise'!$E$7:$E$12)</f>
        <v>15</v>
      </c>
      <c r="H15" s="9" t="n">
        <f aca="false">SUM('Price Raise'!$F$7:$F$12)</f>
        <v>0</v>
      </c>
      <c r="I15" s="9" t="n">
        <f aca="false">SUM('Price Raise'!$G$7:$G$12)</f>
        <v>12</v>
      </c>
      <c r="J15" s="16" t="n">
        <f aca="false">'Price Raise'!$D$15</f>
        <v>0</v>
      </c>
      <c r="K15" s="9"/>
      <c r="L15" s="17" t="str">
        <f aca="false">'Price Raise'!$H$7</f>
        <v>not yet</v>
      </c>
      <c r="M15" s="17" t="str">
        <f aca="false">'Price Raise'!$H$8</f>
        <v>not yet</v>
      </c>
      <c r="N15" s="17" t="str">
        <f aca="false">'Price Raise'!$H$9</f>
        <v>not yet</v>
      </c>
      <c r="O15" s="17" t="str">
        <f aca="false">'Price Raise'!$H$10</f>
        <v>not yet</v>
      </c>
      <c r="P15" s="17" t="str">
        <f aca="false">'Price Raise'!$H$11</f>
        <v>not yet</v>
      </c>
      <c r="Q15" s="17" t="str">
        <f aca="false">'Price Raise'!$H$12</f>
        <v>not yet</v>
      </c>
    </row>
    <row r="16" customFormat="false" ht="15" hidden="false" customHeight="false" outlineLevel="0" collapsed="false">
      <c r="B16" s="14" t="s">
        <v>56</v>
      </c>
      <c r="C16" s="20" t="s">
        <v>58</v>
      </c>
      <c r="D16" s="9" t="n">
        <f aca="false">'Promo Cash'!$D$13</f>
        <v>0</v>
      </c>
      <c r="E16" s="9" t="n">
        <f aca="false">'Promo Cash'!$D$14</f>
        <v>1</v>
      </c>
      <c r="F16" s="9" t="n">
        <f aca="false">SUM('Promo Cash'!$D$7:$D$12)</f>
        <v>0</v>
      </c>
      <c r="G16" s="9" t="n">
        <f aca="false">SUM('Promo Cash'!$E$7:$E$12)</f>
        <v>17</v>
      </c>
      <c r="H16" s="9" t="n">
        <f aca="false">SUM('Promo Cash'!$F$7:$F$12)</f>
        <v>0</v>
      </c>
      <c r="I16" s="9" t="n">
        <f aca="false">SUM('Promo Cash'!$G$7:$G$12)</f>
        <v>12</v>
      </c>
      <c r="J16" s="16" t="n">
        <f aca="false">'Promo Cash'!$D$15</f>
        <v>0</v>
      </c>
      <c r="K16" s="9"/>
      <c r="L16" s="17" t="str">
        <f aca="false">'Promo Cash'!$H$7</f>
        <v>not yet</v>
      </c>
      <c r="M16" s="17" t="str">
        <f aca="false">'Promo Cash'!$H$8</f>
        <v>not yet</v>
      </c>
      <c r="N16" s="17" t="str">
        <f aca="false">'Promo Cash'!$H$9</f>
        <v>not yet</v>
      </c>
      <c r="O16" s="17" t="str">
        <f aca="false">'Promo Cash'!$H$10</f>
        <v>not yet</v>
      </c>
      <c r="P16" s="17" t="str">
        <f aca="false">'Promo Cash'!$H$11</f>
        <v>not yet</v>
      </c>
      <c r="Q16" s="17" t="str">
        <f aca="false">'Promo Cash'!$H$12</f>
        <v>not yet</v>
      </c>
    </row>
    <row r="17" customFormat="false" ht="15" hidden="false" customHeight="false" outlineLevel="0" collapsed="false">
      <c r="B17" s="14" t="s">
        <v>56</v>
      </c>
      <c r="C17" s="20" t="s">
        <v>59</v>
      </c>
      <c r="D17" s="9" t="n">
        <f aca="false">'Implementation SOPs'!$D$13</f>
        <v>0</v>
      </c>
      <c r="E17" s="9" t="n">
        <f aca="false">'Implementation SOPs'!$D$14</f>
        <v>1</v>
      </c>
      <c r="F17" s="9" t="n">
        <f aca="false">SUM('Implementation SOPs'!$D$7:$D$12)</f>
        <v>0</v>
      </c>
      <c r="G17" s="9" t="n">
        <f aca="false">SUM('Implementation SOPs'!$E$7:$E$12)</f>
        <v>13</v>
      </c>
      <c r="H17" s="9" t="n">
        <f aca="false">SUM('Implementation SOPs'!$F$7:$F$12)</f>
        <v>0</v>
      </c>
      <c r="I17" s="9" t="n">
        <f aca="false">SUM('Implementation SOPs'!$G$7:$G$12)</f>
        <v>13</v>
      </c>
      <c r="J17" s="16" t="n">
        <f aca="false">'Implementation SOPs'!$D$15</f>
        <v>0</v>
      </c>
      <c r="K17" s="9"/>
      <c r="L17" s="17" t="str">
        <f aca="false">'Implementation SOPs'!$H$7</f>
        <v>not yet</v>
      </c>
      <c r="M17" s="17" t="str">
        <f aca="false">'Implementation SOPs'!$H$8</f>
        <v>not yet</v>
      </c>
      <c r="N17" s="17" t="str">
        <f aca="false">'Implementation SOPs'!$H$9</f>
        <v>not yet</v>
      </c>
      <c r="O17" s="17" t="str">
        <f aca="false">'Implementation SOPs'!$H$10</f>
        <v>not yet</v>
      </c>
      <c r="P17" s="17" t="str">
        <f aca="false">'Implementation SOPs'!$H$11</f>
        <v>not yet</v>
      </c>
      <c r="Q17" s="17" t="str">
        <f aca="false">'Implementation SOPs'!$H$12</f>
        <v>not yet</v>
      </c>
    </row>
    <row r="18" customFormat="false" ht="15" hidden="false" customHeight="false" outlineLevel="0" collapsed="false">
      <c r="B18" s="21"/>
      <c r="C18" s="22" t="s">
        <v>60</v>
      </c>
      <c r="D18" s="22" t="n">
        <f aca="false">SUM(D6:D17)</f>
        <v>0</v>
      </c>
      <c r="E18" s="21"/>
      <c r="F18" s="22" t="n">
        <f aca="false">SUM(F6:F17)</f>
        <v>0</v>
      </c>
      <c r="G18" s="22" t="n">
        <f aca="false">SUM(G6:G17)</f>
        <v>203</v>
      </c>
      <c r="H18" s="22" t="n">
        <f aca="false">SUM(H6:H17)</f>
        <v>0</v>
      </c>
      <c r="I18" s="22" t="n">
        <f aca="false">SUM(I6:I17)</f>
        <v>165</v>
      </c>
      <c r="J18" s="23" t="n">
        <f aca="false">IF(SUM(G6:G17,I6:I17)=0,0,SUM(F6:F17,H6:H17)/SUM(G6:G17,I6:I17))</f>
        <v>0</v>
      </c>
      <c r="K18" s="21"/>
      <c r="L18" s="24" t="str">
        <f aca="false">IF(COUNTIF(L6:L17,"done")=12,"ring lit",COUNTIF(L6:L17,"done")&amp;" of 12")</f>
        <v>0 of 12</v>
      </c>
      <c r="M18" s="24" t="str">
        <f aca="false">IF(COUNTIF(M6:M17,"done")=12,"ring lit",COUNTIF(M6:M17,"done")&amp;" of 12")</f>
        <v>0 of 12</v>
      </c>
      <c r="N18" s="24" t="str">
        <f aca="false">IF(COUNTIF(N6:N17,"done")=12,"ring lit",COUNTIF(N6:N17,"done")&amp;" of 12")</f>
        <v>0 of 12</v>
      </c>
      <c r="O18" s="24" t="str">
        <f aca="false">IF(COUNTIF(O6:O17,"done")=12,"ring lit",COUNTIF(O6:O17,"done")&amp;" of 12")</f>
        <v>0 of 12</v>
      </c>
      <c r="P18" s="24" t="str">
        <f aca="false">IF(COUNTIF(P6:P17,"done")=12,"ring lit",COUNTIF(P6:P17,"done")&amp;" of 12")</f>
        <v>0 of 12</v>
      </c>
      <c r="Q18" s="24" t="str">
        <f aca="false">IF(COUNTIF(Q6:Q17,"done")=12,"ring lit",COUNTIF(Q6:Q17,"done")&amp;" of 12")</f>
        <v>0 of 12</v>
      </c>
    </row>
    <row r="20" customFormat="false" ht="15" hidden="false" customHeight="true" outlineLevel="0" collapsed="false">
      <c r="B20" s="25" t="s">
        <v>32</v>
      </c>
      <c r="D20" s="26" t="str">
        <f aca="false">D18&amp;" of 72"</f>
        <v>0 of 72</v>
      </c>
      <c r="F20" s="27" t="s">
        <v>61</v>
      </c>
      <c r="G20" s="27"/>
      <c r="H20" s="27"/>
      <c r="I20" s="27"/>
      <c r="J20" s="27"/>
    </row>
    <row r="21" customFormat="false" ht="15" hidden="false" customHeight="false" outlineLevel="0" collapsed="false">
      <c r="B21" s="25" t="s">
        <v>62</v>
      </c>
      <c r="D21" s="26" t="str">
        <f aca="false">COUNTIF(L18:Q18,"ring lit")&amp;" of 6"</f>
        <v>0 of 6</v>
      </c>
      <c r="F21" s="27"/>
      <c r="G21" s="27"/>
      <c r="H21" s="27"/>
      <c r="I21" s="27"/>
      <c r="J21" s="27"/>
    </row>
    <row r="22" customFormat="false" ht="15" hidden="false" customHeight="false" outlineLevel="0" collapsed="false">
      <c r="B22" s="25" t="s">
        <v>63</v>
      </c>
      <c r="D22" s="26" t="str">
        <f aca="false">F18&amp;" of "&amp;G18</f>
        <v>0 of 203</v>
      </c>
      <c r="F22" s="27"/>
      <c r="G22" s="27"/>
      <c r="H22" s="27"/>
      <c r="I22" s="27"/>
      <c r="J22" s="27"/>
    </row>
    <row r="24" customFormat="false" ht="16.15" hidden="false" customHeight="false" outlineLevel="0" collapsed="false">
      <c r="B24" s="12" t="s">
        <v>64</v>
      </c>
    </row>
    <row r="25" customFormat="false" ht="15" hidden="false" customHeight="false" outlineLevel="0" collapsed="false">
      <c r="B25" s="28" t="s">
        <v>65</v>
      </c>
      <c r="C25" s="28"/>
      <c r="D25" s="28" t="s">
        <v>66</v>
      </c>
      <c r="E25" s="28" t="s">
        <v>31</v>
      </c>
      <c r="F25" s="28" t="s">
        <v>67</v>
      </c>
    </row>
    <row r="26" customFormat="false" ht="15" hidden="false" customHeight="false" outlineLevel="0" collapsed="false">
      <c r="B26" s="29" t="s">
        <v>68</v>
      </c>
      <c r="C26" s="29"/>
      <c r="D26" s="30" t="str">
        <f aca="false">Readings!$C$62</f>
        <v>not yet</v>
      </c>
      <c r="E26" s="31" t="s">
        <v>45</v>
      </c>
      <c r="F26" s="10" t="s">
        <v>69</v>
      </c>
      <c r="G26" s="10"/>
      <c r="H26" s="10"/>
      <c r="I26" s="10"/>
      <c r="J26" s="10"/>
    </row>
    <row r="27" customFormat="false" ht="15" hidden="false" customHeight="false" outlineLevel="0" collapsed="false">
      <c r="B27" s="29" t="s">
        <v>70</v>
      </c>
      <c r="C27" s="29"/>
      <c r="D27" s="32" t="str">
        <f aca="false">Readings!$C$5</f>
        <v>not yet</v>
      </c>
      <c r="E27" s="31" t="s">
        <v>49</v>
      </c>
      <c r="F27" s="10" t="s">
        <v>71</v>
      </c>
      <c r="G27" s="10"/>
      <c r="H27" s="10"/>
      <c r="I27" s="10"/>
      <c r="J27" s="10"/>
    </row>
    <row r="28" customFormat="false" ht="15" hidden="false" customHeight="false" outlineLevel="0" collapsed="false">
      <c r="B28" s="29" t="s">
        <v>72</v>
      </c>
      <c r="C28" s="29"/>
      <c r="D28" s="32" t="str">
        <f aca="false">Readings!$C$6</f>
        <v>not yet</v>
      </c>
      <c r="E28" s="31" t="s">
        <v>49</v>
      </c>
      <c r="F28" s="10"/>
      <c r="G28" s="10"/>
      <c r="H28" s="10"/>
      <c r="I28" s="10"/>
      <c r="J28" s="10"/>
    </row>
    <row r="29" customFormat="false" ht="15" hidden="false" customHeight="false" outlineLevel="0" collapsed="false">
      <c r="B29" s="29" t="s">
        <v>73</v>
      </c>
      <c r="C29" s="29"/>
      <c r="D29" s="33" t="str">
        <f aca="false">Readings!$C$98</f>
        <v>not yet</v>
      </c>
      <c r="E29" s="31" t="s">
        <v>54</v>
      </c>
      <c r="F29" s="10"/>
      <c r="G29" s="10"/>
      <c r="H29" s="10"/>
      <c r="I29" s="10"/>
      <c r="J29" s="10"/>
    </row>
    <row r="30" customFormat="false" ht="15" hidden="false" customHeight="false" outlineLevel="0" collapsed="false">
      <c r="B30" s="29" t="s">
        <v>74</v>
      </c>
      <c r="C30" s="29"/>
      <c r="D30" s="34" t="str">
        <f aca="false">Readings!$C$100</f>
        <v>not yet</v>
      </c>
      <c r="E30" s="31" t="s">
        <v>54</v>
      </c>
      <c r="F30" s="10" t="s">
        <v>75</v>
      </c>
      <c r="G30" s="10"/>
      <c r="H30" s="10"/>
      <c r="I30" s="10"/>
      <c r="J30" s="10"/>
    </row>
    <row r="31" customFormat="false" ht="15" hidden="false" customHeight="false" outlineLevel="0" collapsed="false">
      <c r="B31" s="29" t="s">
        <v>76</v>
      </c>
      <c r="C31" s="29"/>
      <c r="D31" s="35" t="str">
        <f aca="false">Readings!$C$111</f>
        <v>not yet</v>
      </c>
      <c r="E31" s="31" t="s">
        <v>53</v>
      </c>
      <c r="F31" s="10"/>
      <c r="G31" s="10"/>
      <c r="H31" s="10"/>
      <c r="I31" s="10"/>
      <c r="J31" s="10"/>
    </row>
    <row r="32" customFormat="false" ht="15" hidden="false" customHeight="false" outlineLevel="0" collapsed="false">
      <c r="B32" s="29" t="s">
        <v>77</v>
      </c>
      <c r="C32" s="29"/>
      <c r="D32" s="35" t="str">
        <f aca="false">Readings!$C$150</f>
        <v>not yet</v>
      </c>
      <c r="E32" s="31" t="s">
        <v>57</v>
      </c>
      <c r="F32" s="10" t="s">
        <v>78</v>
      </c>
      <c r="G32" s="10"/>
      <c r="H32" s="10"/>
      <c r="I32" s="10"/>
      <c r="J32" s="10"/>
    </row>
    <row r="33" customFormat="false" ht="15" hidden="false" customHeight="false" outlineLevel="0" collapsed="false">
      <c r="B33" s="29" t="s">
        <v>79</v>
      </c>
      <c r="C33" s="29"/>
      <c r="D33" s="36" t="str">
        <f aca="false">Readings!$C$170</f>
        <v>not yet</v>
      </c>
      <c r="E33" s="31" t="s">
        <v>58</v>
      </c>
      <c r="F33" s="10" t="s">
        <v>80</v>
      </c>
      <c r="G33" s="10"/>
      <c r="H33" s="10"/>
      <c r="I33" s="10"/>
      <c r="J33" s="10"/>
    </row>
    <row r="34" customFormat="false" ht="15" hidden="false" customHeight="false" outlineLevel="0" collapsed="false">
      <c r="B34" s="29" t="s">
        <v>81</v>
      </c>
      <c r="C34" s="29"/>
      <c r="D34" s="33" t="str">
        <f aca="false">Readings!$C$52</f>
        <v>not yet</v>
      </c>
      <c r="E34" s="31" t="s">
        <v>51</v>
      </c>
      <c r="F34" s="10" t="s">
        <v>82</v>
      </c>
      <c r="G34" s="10"/>
      <c r="H34" s="10"/>
      <c r="I34" s="10"/>
      <c r="J34" s="10"/>
    </row>
    <row r="35" customFormat="false" ht="15" hidden="false" customHeight="false" outlineLevel="0" collapsed="false">
      <c r="B35" s="29" t="s">
        <v>83</v>
      </c>
      <c r="C35" s="29"/>
      <c r="D35" s="32" t="str">
        <f aca="false">Readings!$C$178</f>
        <v>not yet</v>
      </c>
      <c r="E35" s="31" t="s">
        <v>59</v>
      </c>
      <c r="F35" s="10"/>
      <c r="G35" s="10"/>
      <c r="H35" s="10"/>
      <c r="I35" s="10"/>
      <c r="J35" s="10"/>
    </row>
  </sheetData>
  <mergeCells count="23">
    <mergeCell ref="B2:Q2"/>
    <mergeCell ref="F20:J22"/>
    <mergeCell ref="B25:C25"/>
    <mergeCell ref="B26:C26"/>
    <mergeCell ref="F26:J26"/>
    <mergeCell ref="B27:C27"/>
    <mergeCell ref="F27:J27"/>
    <mergeCell ref="B28:C28"/>
    <mergeCell ref="F28:J28"/>
    <mergeCell ref="B29:C29"/>
    <mergeCell ref="F29:J29"/>
    <mergeCell ref="B30:C30"/>
    <mergeCell ref="F30:J30"/>
    <mergeCell ref="B31:C31"/>
    <mergeCell ref="F31:J31"/>
    <mergeCell ref="B32:C32"/>
    <mergeCell ref="F32:J32"/>
    <mergeCell ref="B33:C33"/>
    <mergeCell ref="F33:J33"/>
    <mergeCell ref="B34:C34"/>
    <mergeCell ref="F34:J34"/>
    <mergeCell ref="B35:C35"/>
    <mergeCell ref="F35:J35"/>
  </mergeCells>
  <conditionalFormatting sqref="L6:Q17">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L18:Q18">
    <cfRule type="cellIs" priority="4" operator="equal" aboveAverage="0" equalAverage="0" bottom="0" percent="0" rank="0" text="" dxfId="0">
      <formula>"ring lit"</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25" t="s">
        <v>84</v>
      </c>
      <c r="B1" s="25" t="s">
        <v>85</v>
      </c>
      <c r="C1" s="25" t="s">
        <v>86</v>
      </c>
      <c r="D1" s="25" t="s">
        <v>87</v>
      </c>
      <c r="E1" s="25" t="s">
        <v>88</v>
      </c>
      <c r="F1" s="25" t="s">
        <v>89</v>
      </c>
      <c r="G1" s="25" t="s">
        <v>90</v>
      </c>
      <c r="H1" s="25" t="s">
        <v>91</v>
      </c>
      <c r="I1" s="25" t="s">
        <v>92</v>
      </c>
      <c r="J1" s="25" t="s">
        <v>93</v>
      </c>
      <c r="K1" s="25" t="s">
        <v>94</v>
      </c>
      <c r="L1" s="25" t="s">
        <v>95</v>
      </c>
      <c r="M1" s="25" t="s">
        <v>96</v>
      </c>
      <c r="N1" s="25" t="s">
        <v>97</v>
      </c>
      <c r="O1" s="25" t="s">
        <v>98</v>
      </c>
      <c r="P1" s="25" t="s">
        <v>99</v>
      </c>
      <c r="Q1" s="25" t="s">
        <v>100</v>
      </c>
      <c r="R1" s="25" t="s">
        <v>101</v>
      </c>
      <c r="S1" s="25" t="s">
        <v>102</v>
      </c>
      <c r="T1" s="25" t="s">
        <v>103</v>
      </c>
      <c r="U1" s="25" t="s">
        <v>104</v>
      </c>
    </row>
    <row r="2" customFormat="false" ht="15" hidden="false" customHeight="false" outlineLevel="0" collapsed="false">
      <c r="A2" s="0" t="s">
        <v>105</v>
      </c>
      <c r="B2" s="0" t="s">
        <v>106</v>
      </c>
      <c r="C2" s="0" t="s">
        <v>107</v>
      </c>
      <c r="D2" s="0" t="s">
        <v>108</v>
      </c>
      <c r="E2" s="0" t="s">
        <v>109</v>
      </c>
      <c r="F2" s="0" t="s">
        <v>110</v>
      </c>
      <c r="G2" s="0" t="s">
        <v>111</v>
      </c>
      <c r="H2" s="0" t="s">
        <v>112</v>
      </c>
      <c r="I2" s="0" t="s">
        <v>113</v>
      </c>
      <c r="J2" s="0" t="s">
        <v>114</v>
      </c>
      <c r="K2" s="0" t="s">
        <v>115</v>
      </c>
      <c r="L2" s="0" t="s">
        <v>116</v>
      </c>
      <c r="M2" s="0" t="s">
        <v>117</v>
      </c>
      <c r="N2" s="0" t="s">
        <v>118</v>
      </c>
      <c r="O2" s="0" t="s">
        <v>119</v>
      </c>
      <c r="P2" s="0" t="s">
        <v>120</v>
      </c>
      <c r="Q2" s="0" t="s">
        <v>121</v>
      </c>
      <c r="R2" s="0" t="s">
        <v>122</v>
      </c>
      <c r="S2" s="0" t="s">
        <v>123</v>
      </c>
      <c r="T2" s="0" t="s">
        <v>124</v>
      </c>
      <c r="U2" s="0" t="s">
        <v>125</v>
      </c>
    </row>
    <row r="3" customFormat="false" ht="15" hidden="false" customHeight="false" outlineLevel="0" collapsed="false">
      <c r="A3" s="0" t="s">
        <v>126</v>
      </c>
      <c r="B3" s="0" t="s">
        <v>127</v>
      </c>
      <c r="C3" s="0" t="s">
        <v>128</v>
      </c>
      <c r="D3" s="0" t="s">
        <v>129</v>
      </c>
      <c r="E3" s="0" t="s">
        <v>130</v>
      </c>
      <c r="F3" s="0" t="s">
        <v>131</v>
      </c>
      <c r="G3" s="0" t="s">
        <v>132</v>
      </c>
      <c r="H3" s="0" t="s">
        <v>133</v>
      </c>
      <c r="I3" s="0" t="s">
        <v>134</v>
      </c>
      <c r="J3" s="0" t="s">
        <v>135</v>
      </c>
      <c r="K3" s="0" t="s">
        <v>136</v>
      </c>
      <c r="L3" s="0" t="s">
        <v>137</v>
      </c>
      <c r="M3" s="0" t="s">
        <v>138</v>
      </c>
      <c r="N3" s="0" t="s">
        <v>139</v>
      </c>
      <c r="O3" s="0" t="s">
        <v>140</v>
      </c>
      <c r="P3" s="0" t="s">
        <v>141</v>
      </c>
      <c r="Q3" s="0" t="s">
        <v>142</v>
      </c>
      <c r="R3" s="0" t="s">
        <v>143</v>
      </c>
      <c r="S3" s="0" t="s">
        <v>144</v>
      </c>
      <c r="T3" s="0" t="s">
        <v>145</v>
      </c>
      <c r="U3" s="0" t="s">
        <v>146</v>
      </c>
    </row>
    <row r="4" customFormat="false" ht="15" hidden="false" customHeight="false" outlineLevel="0" collapsed="false">
      <c r="A4" s="0" t="s">
        <v>147</v>
      </c>
      <c r="B4" s="0" t="s">
        <v>148</v>
      </c>
      <c r="C4" s="0" t="s">
        <v>149</v>
      </c>
      <c r="D4" s="0" t="s">
        <v>150</v>
      </c>
      <c r="E4" s="0" t="s">
        <v>151</v>
      </c>
      <c r="F4" s="0" t="s">
        <v>152</v>
      </c>
      <c r="G4" s="0" t="s">
        <v>153</v>
      </c>
      <c r="H4" s="0" t="s">
        <v>154</v>
      </c>
      <c r="I4" s="0" t="s">
        <v>155</v>
      </c>
      <c r="J4" s="0" t="s">
        <v>156</v>
      </c>
      <c r="K4" s="0" t="s">
        <v>157</v>
      </c>
      <c r="L4" s="0" t="s">
        <v>158</v>
      </c>
      <c r="M4" s="0" t="s">
        <v>159</v>
      </c>
      <c r="N4" s="0" t="s">
        <v>160</v>
      </c>
      <c r="O4" s="0" t="s">
        <v>161</v>
      </c>
      <c r="P4" s="0" t="s">
        <v>162</v>
      </c>
      <c r="Q4" s="0" t="s">
        <v>163</v>
      </c>
      <c r="R4" s="0" t="s">
        <v>164</v>
      </c>
      <c r="S4" s="0" t="s">
        <v>165</v>
      </c>
      <c r="T4" s="0" t="s">
        <v>166</v>
      </c>
    </row>
    <row r="5" customFormat="false" ht="15" hidden="false" customHeight="false" outlineLevel="0" collapsed="false">
      <c r="A5" s="0" t="s">
        <v>167</v>
      </c>
      <c r="B5" s="0" t="s">
        <v>167</v>
      </c>
      <c r="D5" s="0" t="s">
        <v>168</v>
      </c>
      <c r="E5" s="0" t="s">
        <v>169</v>
      </c>
      <c r="G5" s="0" t="s">
        <v>170</v>
      </c>
      <c r="H5" s="0" t="s">
        <v>171</v>
      </c>
      <c r="I5" s="0" t="s">
        <v>172</v>
      </c>
      <c r="J5" s="0" t="s">
        <v>173</v>
      </c>
      <c r="K5" s="0" t="s">
        <v>174</v>
      </c>
      <c r="L5" s="0" t="s">
        <v>175</v>
      </c>
      <c r="M5" s="0" t="s">
        <v>176</v>
      </c>
      <c r="N5" s="0" t="s">
        <v>177</v>
      </c>
      <c r="O5" s="0" t="s">
        <v>178</v>
      </c>
      <c r="Q5" s="0" t="s">
        <v>179</v>
      </c>
      <c r="R5" s="0" t="s">
        <v>180</v>
      </c>
      <c r="S5" s="0" t="s">
        <v>181</v>
      </c>
      <c r="T5" s="0" t="s">
        <v>182</v>
      </c>
    </row>
    <row r="6" customFormat="false" ht="15" hidden="false" customHeight="false" outlineLevel="0" collapsed="false">
      <c r="A6" s="0" t="s">
        <v>183</v>
      </c>
      <c r="D6" s="0" t="s">
        <v>184</v>
      </c>
      <c r="R6" s="0" t="s">
        <v>185</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H1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7" min="3" style="0" width="16"/>
    <col collapsed="false" customWidth="true" hidden="false" outlineLevel="0" max="8" min="8" style="0" width="50"/>
    <col collapsed="false" customWidth="true" hidden="false" outlineLevel="0" max="9" min="9" style="0" width="3"/>
  </cols>
  <sheetData>
    <row r="1" customFormat="false" ht="19.7" hidden="false" customHeight="false" outlineLevel="0" collapsed="false">
      <c r="B1" s="37" t="s">
        <v>186</v>
      </c>
    </row>
    <row r="2" customFormat="false" ht="15" hidden="false" customHeight="false" outlineLevel="0" collapsed="false">
      <c r="B2" s="38" t="s">
        <v>187</v>
      </c>
      <c r="C2" s="38"/>
      <c r="D2" s="38"/>
      <c r="E2" s="38"/>
      <c r="F2" s="38"/>
      <c r="G2" s="38"/>
      <c r="H2" s="38"/>
    </row>
    <row r="4" customFormat="false" ht="15" hidden="false" customHeight="false" outlineLevel="0" collapsed="false">
      <c r="B4" s="39" t="s">
        <v>188</v>
      </c>
      <c r="C4" s="40"/>
      <c r="D4" s="40"/>
      <c r="E4" s="40"/>
      <c r="F4" s="40"/>
      <c r="G4" s="40"/>
      <c r="H4" s="40"/>
    </row>
    <row r="5" customFormat="false" ht="15" hidden="false" customHeight="false" outlineLevel="0" collapsed="false">
      <c r="B5" s="41" t="s">
        <v>70</v>
      </c>
      <c r="C5" s="42" t="str">
        <f aca="false">IF(OR('Closing Handbook'!$D$31="",'Closing Handbook'!$D$30="",'Closing Handbook'!$D$30=0),"not yet",'Closing Handbook'!$D$31/'Closing Handbook'!$D$30)</f>
        <v>not yet</v>
      </c>
      <c r="H5" s="43" t="s">
        <v>189</v>
      </c>
    </row>
    <row r="6" customFormat="false" ht="15" hidden="false" customHeight="false" outlineLevel="0" collapsed="false">
      <c r="B6" s="41" t="s">
        <v>72</v>
      </c>
      <c r="C6" s="42" t="str">
        <f aca="false">IF(OR('Closing Handbook'!$D$32="",'Closing Handbook'!$D$31="",'Closing Handbook'!$D$31=0),"not yet",'Closing Handbook'!$D$32/'Closing Handbook'!$D$31)</f>
        <v>not yet</v>
      </c>
      <c r="H6" s="43"/>
    </row>
    <row r="7" customFormat="false" ht="15" hidden="false" customHeight="false" outlineLevel="0" collapsed="false">
      <c r="B7" s="41" t="s">
        <v>190</v>
      </c>
      <c r="C7" s="42" t="str">
        <f aca="false">IF(OR('Closing Handbook'!$D$75="",'Closing Handbook'!$D$74="",'Closing Handbook'!$D$74=0),"not yet",'Closing Handbook'!$D$75/'Closing Handbook'!$D$74)</f>
        <v>not yet</v>
      </c>
      <c r="H7" s="43"/>
    </row>
    <row r="8" customFormat="false" ht="15" hidden="false" customHeight="false" outlineLevel="0" collapsed="false">
      <c r="B8" s="41" t="s">
        <v>191</v>
      </c>
      <c r="C8" s="44" t="str">
        <f aca="false">IF(OR('Closing Handbook'!$D$33="",'Closing Handbook'!$D$32="",'Closing Handbook'!$D$32=0),"not yet",'Closing Handbook'!$D$33/'Closing Handbook'!$D$32)</f>
        <v>not yet</v>
      </c>
      <c r="H8" s="43" t="s">
        <v>192</v>
      </c>
    </row>
    <row r="9" customFormat="false" ht="15" hidden="false" customHeight="false" outlineLevel="0" collapsed="false">
      <c r="B9" s="41" t="s">
        <v>193</v>
      </c>
      <c r="C9" s="42" t="str">
        <f aca="false">IF(OR('Lifetime Value'!$D$29="",'Lifetime Value'!$D$29=0,$C$8="not yet"),"not yet",$C$8/'Lifetime Value'!$D$29)</f>
        <v>not yet</v>
      </c>
      <c r="H9" s="43"/>
    </row>
    <row r="10" customFormat="false" ht="15" hidden="false" customHeight="false" outlineLevel="0" collapsed="false">
      <c r="B10" s="45" t="s">
        <v>194</v>
      </c>
    </row>
    <row r="11" customFormat="false" ht="15" hidden="false" customHeight="false" outlineLevel="0" collapsed="false">
      <c r="B11" s="46" t="s">
        <v>195</v>
      </c>
      <c r="C11" s="46" t="s">
        <v>196</v>
      </c>
    </row>
    <row r="12" customFormat="false" ht="15" hidden="false" customHeight="false" outlineLevel="0" collapsed="false">
      <c r="B12" s="41" t="s">
        <v>197</v>
      </c>
      <c r="C12" s="47" t="n">
        <f aca="false">'Closing Handbook'!$D$30</f>
        <v>0</v>
      </c>
    </row>
    <row r="13" customFormat="false" ht="15" hidden="false" customHeight="false" outlineLevel="0" collapsed="false">
      <c r="B13" s="41" t="s">
        <v>198</v>
      </c>
      <c r="C13" s="47" t="n">
        <f aca="false">'Closing Handbook'!$D$31</f>
        <v>0</v>
      </c>
    </row>
    <row r="14" customFormat="false" ht="15" hidden="false" customHeight="false" outlineLevel="0" collapsed="false">
      <c r="B14" s="41" t="s">
        <v>199</v>
      </c>
      <c r="C14" s="47" t="n">
        <f aca="false">'Closing Handbook'!$D$32</f>
        <v>0</v>
      </c>
    </row>
    <row r="15" customFormat="false" ht="15" hidden="false" customHeight="false" outlineLevel="0" collapsed="false">
      <c r="B15" s="45" t="s">
        <v>200</v>
      </c>
    </row>
    <row r="16" customFormat="false" ht="15" hidden="false" customHeight="false" outlineLevel="0" collapsed="false">
      <c r="B16" s="46" t="s">
        <v>201</v>
      </c>
      <c r="C16" s="46" t="s">
        <v>202</v>
      </c>
      <c r="D16" s="46" t="s">
        <v>203</v>
      </c>
    </row>
    <row r="17" customFormat="false" ht="15" hidden="false" customHeight="false" outlineLevel="0" collapsed="false">
      <c r="B17" s="41" t="str">
        <f aca="false">IF('Closing Handbook'!$C$79="","",'Closing Handbook'!$C$79)</f>
        <v/>
      </c>
      <c r="C17" s="47" t="str">
        <f aca="false">IF('Closing Handbook'!$D$79="","",'Closing Handbook'!$D$79)</f>
        <v/>
      </c>
      <c r="D17" s="47" t="str">
        <f aca="false">IF('Closing Handbook'!$E$79="","",'Closing Handbook'!$E$79)</f>
        <v/>
      </c>
    </row>
    <row r="18" customFormat="false" ht="15" hidden="false" customHeight="false" outlineLevel="0" collapsed="false">
      <c r="B18" s="41" t="str">
        <f aca="false">IF('Closing Handbook'!$C$80="","",'Closing Handbook'!$C$80)</f>
        <v/>
      </c>
      <c r="C18" s="47" t="str">
        <f aca="false">IF('Closing Handbook'!$D$80="","",'Closing Handbook'!$D$80)</f>
        <v/>
      </c>
      <c r="D18" s="47" t="str">
        <f aca="false">IF('Closing Handbook'!$E$80="","",'Closing Handbook'!$E$80)</f>
        <v/>
      </c>
    </row>
    <row r="19" customFormat="false" ht="15" hidden="false" customHeight="false" outlineLevel="0" collapsed="false">
      <c r="B19" s="41" t="str">
        <f aca="false">IF('Closing Handbook'!$C$81="","",'Closing Handbook'!$C$81)</f>
        <v/>
      </c>
      <c r="C19" s="47" t="str">
        <f aca="false">IF('Closing Handbook'!$D$81="","",'Closing Handbook'!$D$81)</f>
        <v/>
      </c>
      <c r="D19" s="47" t="str">
        <f aca="false">IF('Closing Handbook'!$E$81="","",'Closing Handbook'!$E$81)</f>
        <v/>
      </c>
    </row>
    <row r="20" customFormat="false" ht="15" hidden="false" customHeight="false" outlineLevel="0" collapsed="false">
      <c r="B20" s="41" t="str">
        <f aca="false">IF('Closing Handbook'!$C$82="","",'Closing Handbook'!$C$82)</f>
        <v/>
      </c>
      <c r="C20" s="47" t="str">
        <f aca="false">IF('Closing Handbook'!$D$82="","",'Closing Handbook'!$D$82)</f>
        <v/>
      </c>
      <c r="D20" s="47" t="str">
        <f aca="false">IF('Closing Handbook'!$E$82="","",'Closing Handbook'!$E$82)</f>
        <v/>
      </c>
    </row>
    <row r="21" customFormat="false" ht="15" hidden="false" customHeight="false" outlineLevel="0" collapsed="false">
      <c r="B21" s="41" t="str">
        <f aca="false">IF('Closing Handbook'!$C$83="","",'Closing Handbook'!$C$83)</f>
        <v/>
      </c>
      <c r="C21" s="47" t="str">
        <f aca="false">IF('Closing Handbook'!$D$83="","",'Closing Handbook'!$D$83)</f>
        <v/>
      </c>
      <c r="D21" s="47" t="str">
        <f aca="false">IF('Closing Handbook'!$E$83="","",'Closing Handbook'!$E$83)</f>
        <v/>
      </c>
    </row>
    <row r="22" customFormat="false" ht="15" hidden="false" customHeight="false" outlineLevel="0" collapsed="false">
      <c r="B22" s="41" t="str">
        <f aca="false">IF('Closing Handbook'!$C$84="","",'Closing Handbook'!$C$84)</f>
        <v/>
      </c>
      <c r="C22" s="47" t="str">
        <f aca="false">IF('Closing Handbook'!$D$84="","",'Closing Handbook'!$D$84)</f>
        <v/>
      </c>
      <c r="D22" s="47" t="str">
        <f aca="false">IF('Closing Handbook'!$E$84="","",'Closing Handbook'!$E$84)</f>
        <v/>
      </c>
    </row>
    <row r="23" customFormat="false" ht="15" hidden="false" customHeight="false" outlineLevel="0" collapsed="false">
      <c r="B23" s="41" t="str">
        <f aca="false">IF('Closing Handbook'!$C$85="","",'Closing Handbook'!$C$85)</f>
        <v/>
      </c>
      <c r="C23" s="47" t="str">
        <f aca="false">IF('Closing Handbook'!$D$85="","",'Closing Handbook'!$D$85)</f>
        <v/>
      </c>
      <c r="D23" s="47" t="str">
        <f aca="false">IF('Closing Handbook'!$E$85="","",'Closing Handbook'!$E$85)</f>
        <v/>
      </c>
    </row>
    <row r="24" customFormat="false" ht="15" hidden="false" customHeight="false" outlineLevel="0" collapsed="false">
      <c r="B24" s="41" t="str">
        <f aca="false">IF('Closing Handbook'!$C$86="","",'Closing Handbook'!$C$86)</f>
        <v/>
      </c>
      <c r="C24" s="47" t="str">
        <f aca="false">IF('Closing Handbook'!$D$86="","",'Closing Handbook'!$D$86)</f>
        <v/>
      </c>
      <c r="D24" s="47" t="str">
        <f aca="false">IF('Closing Handbook'!$E$86="","",'Closing Handbook'!$E$86)</f>
        <v/>
      </c>
    </row>
    <row r="26" customFormat="false" ht="15" hidden="false" customHeight="false" outlineLevel="0" collapsed="false">
      <c r="B26" s="39" t="s">
        <v>204</v>
      </c>
      <c r="C26" s="40"/>
      <c r="D26" s="40"/>
      <c r="E26" s="40"/>
      <c r="F26" s="40"/>
      <c r="G26" s="40"/>
      <c r="H26" s="40"/>
    </row>
    <row r="27" customFormat="false" ht="15" hidden="false" customHeight="false" outlineLevel="0" collapsed="false">
      <c r="B27" s="45" t="s">
        <v>205</v>
      </c>
    </row>
    <row r="28" customFormat="false" ht="15" hidden="false" customHeight="false" outlineLevel="0" collapsed="false">
      <c r="B28" s="46" t="s">
        <v>206</v>
      </c>
      <c r="C28" s="46" t="s">
        <v>196</v>
      </c>
    </row>
    <row r="29" customFormat="false" ht="15" hidden="false" customHeight="false" outlineLevel="0" collapsed="false">
      <c r="B29" s="41" t="s">
        <v>207</v>
      </c>
      <c r="C29" s="47" t="n">
        <f aca="false">'Proof Checklist'!$D$30</f>
        <v>0</v>
      </c>
    </row>
    <row r="30" customFormat="false" ht="15" hidden="false" customHeight="false" outlineLevel="0" collapsed="false">
      <c r="B30" s="41" t="s">
        <v>208</v>
      </c>
      <c r="C30" s="47" t="n">
        <f aca="false">'Proof Checklist'!$D$31</f>
        <v>0</v>
      </c>
    </row>
    <row r="31" customFormat="false" ht="15" hidden="false" customHeight="false" outlineLevel="0" collapsed="false">
      <c r="B31" s="41" t="s">
        <v>209</v>
      </c>
      <c r="C31" s="47" t="n">
        <f aca="false">'Proof Checklist'!$D$32</f>
        <v>0</v>
      </c>
    </row>
    <row r="32" customFormat="false" ht="15" hidden="false" customHeight="false" outlineLevel="0" collapsed="false">
      <c r="B32" s="41" t="s">
        <v>210</v>
      </c>
      <c r="C32" s="47" t="n">
        <f aca="false">'Proof Checklist'!$D$33</f>
        <v>0</v>
      </c>
    </row>
    <row r="33" customFormat="false" ht="15" hidden="false" customHeight="false" outlineLevel="0" collapsed="false">
      <c r="B33" s="41" t="s">
        <v>211</v>
      </c>
      <c r="C33" s="47" t="n">
        <f aca="false">'Proof Checklist'!$D$34</f>
        <v>0</v>
      </c>
    </row>
    <row r="34" customFormat="false" ht="15" hidden="false" customHeight="false" outlineLevel="0" collapsed="false">
      <c r="B34" s="41" t="s">
        <v>212</v>
      </c>
      <c r="C34" s="48" t="n">
        <f aca="false">IF('Proof Checklist'!$D$42="",0,LEN('Proof Checklist'!$D$42)-LEN(SUBSTITUTE('Proof Checklist'!$D$42,CHAR(10),""))+1)</f>
        <v>0</v>
      </c>
      <c r="H34" s="43"/>
    </row>
    <row r="35" customFormat="false" ht="15" hidden="false" customHeight="false" outlineLevel="0" collapsed="false">
      <c r="B35" s="41" t="s">
        <v>213</v>
      </c>
      <c r="C35" s="48" t="n">
        <f aca="false">COUNTIFS('Proof Checklist'!$D$63:$D$70,"&lt;&gt;",'Proof Checklist'!$D$63:$D$70,"&lt;&gt;cut")</f>
        <v>0</v>
      </c>
      <c r="H35" s="43" t="s">
        <v>214</v>
      </c>
    </row>
    <row r="36" customFormat="false" ht="15" hidden="false" customHeight="false" outlineLevel="0" collapsed="false">
      <c r="B36" s="41" t="s">
        <v>215</v>
      </c>
      <c r="C36" s="42" t="str">
        <f aca="false">IF($C$34=0,"not yet",MIN(1,$C$35/$C$34))</f>
        <v>not yet</v>
      </c>
      <c r="H36" s="43"/>
    </row>
    <row r="37" customFormat="false" ht="15" hidden="false" customHeight="false" outlineLevel="0" collapsed="false">
      <c r="B37" s="41" t="s">
        <v>216</v>
      </c>
      <c r="C37" s="49" t="str">
        <f aca="false">IF(OR('Proof Checklist'!$D$31="",'Proof Checklist'!$D$35="",'Proof Checklist'!$D$35=0),"not yet",'Proof Checklist'!$D$31/'Proof Checklist'!$D$35*100)</f>
        <v>not yet</v>
      </c>
      <c r="H37" s="43"/>
    </row>
    <row r="38" customFormat="false" ht="15" hidden="false" customHeight="false" outlineLevel="0" collapsed="false">
      <c r="B38" s="41" t="s">
        <v>217</v>
      </c>
      <c r="C38" s="42" t="str">
        <f aca="false">IF(OR('Proof Checklist'!$D$83="",'Proof Checklist'!$D$82="",'Proof Checklist'!$D$82=0),"not yet",'Proof Checklist'!$D$83/'Proof Checklist'!$D$82)</f>
        <v>not yet</v>
      </c>
      <c r="H38" s="43"/>
    </row>
    <row r="40" customFormat="false" ht="15" hidden="false" customHeight="false" outlineLevel="0" collapsed="false">
      <c r="B40" s="39" t="s">
        <v>218</v>
      </c>
      <c r="C40" s="40"/>
      <c r="D40" s="40"/>
      <c r="E40" s="40"/>
      <c r="F40" s="40"/>
      <c r="G40" s="40"/>
      <c r="H40" s="40"/>
    </row>
    <row r="41" customFormat="false" ht="15" hidden="false" customHeight="false" outlineLevel="0" collapsed="false">
      <c r="B41" s="45" t="s">
        <v>219</v>
      </c>
    </row>
    <row r="42" customFormat="false" ht="15" hidden="false" customHeight="false" outlineLevel="0" collapsed="false">
      <c r="B42" s="46" t="s">
        <v>195</v>
      </c>
      <c r="C42" s="46" t="s">
        <v>196</v>
      </c>
    </row>
    <row r="43" customFormat="false" ht="15" hidden="false" customHeight="false" outlineLevel="0" collapsed="false">
      <c r="B43" s="41" t="s">
        <v>220</v>
      </c>
      <c r="C43" s="47" t="n">
        <f aca="false">'GOATed Ads'!$D$31</f>
        <v>0</v>
      </c>
    </row>
    <row r="44" customFormat="false" ht="15" hidden="false" customHeight="false" outlineLevel="0" collapsed="false">
      <c r="B44" s="41" t="s">
        <v>221</v>
      </c>
      <c r="C44" s="47" t="n">
        <f aca="false">'GOATed Ads'!$D$32</f>
        <v>0</v>
      </c>
    </row>
    <row r="45" customFormat="false" ht="15" hidden="false" customHeight="false" outlineLevel="0" collapsed="false">
      <c r="B45" s="41" t="s">
        <v>44</v>
      </c>
      <c r="C45" s="47" t="n">
        <f aca="false">'GOATed Ads'!$D$33</f>
        <v>0</v>
      </c>
    </row>
    <row r="46" customFormat="false" ht="15" hidden="false" customHeight="false" outlineLevel="0" collapsed="false">
      <c r="B46" s="41" t="s">
        <v>197</v>
      </c>
      <c r="C46" s="47" t="n">
        <f aca="false">'GOATed Ads'!$D$34</f>
        <v>0</v>
      </c>
    </row>
    <row r="47" customFormat="false" ht="15" hidden="false" customHeight="false" outlineLevel="0" collapsed="false">
      <c r="B47" s="41" t="s">
        <v>199</v>
      </c>
      <c r="C47" s="47" t="n">
        <f aca="false">'GOATed Ads'!$D$35</f>
        <v>0</v>
      </c>
    </row>
    <row r="48" customFormat="false" ht="15" hidden="false" customHeight="false" outlineLevel="0" collapsed="false">
      <c r="B48" s="41" t="s">
        <v>222</v>
      </c>
      <c r="C48" s="50" t="str">
        <f aca="false">IF(OR('GOATed Ads'!$D$30="",'GOATed Ads'!$D$31="",'GOATed Ads'!$D$31=0),"not yet",'GOATed Ads'!$D$30/'GOATed Ads'!$D$31*1000)</f>
        <v>not yet</v>
      </c>
      <c r="H48" s="43"/>
    </row>
    <row r="49" customFormat="false" ht="15" hidden="false" customHeight="false" outlineLevel="0" collapsed="false">
      <c r="B49" s="41" t="s">
        <v>223</v>
      </c>
      <c r="C49" s="51" t="str">
        <f aca="false">IF(OR('GOATed Ads'!$D$32="",'GOATed Ads'!$D$31="",'GOATed Ads'!$D$31=0),"not yet",'GOATed Ads'!$D$32/'GOATed Ads'!$D$31)</f>
        <v>not yet</v>
      </c>
      <c r="H49" s="43"/>
    </row>
    <row r="50" customFormat="false" ht="15" hidden="false" customHeight="false" outlineLevel="0" collapsed="false">
      <c r="B50" s="41" t="s">
        <v>224</v>
      </c>
      <c r="C50" s="44" t="str">
        <f aca="false">IF(OR('GOATed Ads'!$D$30="",'GOATed Ads'!$D$33="",'GOATed Ads'!$D$33=0),"not yet",'GOATed Ads'!$D$30/'GOATed Ads'!$D$33)</f>
        <v>not yet</v>
      </c>
      <c r="H50" s="43"/>
    </row>
    <row r="51" customFormat="false" ht="15" hidden="false" customHeight="false" outlineLevel="0" collapsed="false">
      <c r="B51" s="41" t="s">
        <v>225</v>
      </c>
      <c r="C51" s="44" t="str">
        <f aca="false">IF(OR('GOATed Ads'!$D$65="",'GOATed Ads'!$D$68="",'GOATed Ads'!$D$68=0),"not yet",'GOATed Ads'!$D$65/'GOATed Ads'!$D$68)</f>
        <v>not yet</v>
      </c>
      <c r="H51" s="43"/>
    </row>
    <row r="52" customFormat="false" ht="15" hidden="false" customHeight="false" outlineLevel="0" collapsed="false">
      <c r="B52" s="41" t="s">
        <v>81</v>
      </c>
      <c r="C52" s="44" t="str">
        <f aca="false">IF(OR('GOATed Ads'!$D$30="",'GOATed Ads'!$D$35="",'GOATed Ads'!$D$35=0),"not yet",'GOATed Ads'!$D$30/'GOATed Ads'!$D$35)</f>
        <v>not yet</v>
      </c>
      <c r="H52" s="43"/>
    </row>
    <row r="53" customFormat="false" ht="15" hidden="false" customHeight="false" outlineLevel="0" collapsed="false">
      <c r="B53" s="41" t="s">
        <v>226</v>
      </c>
      <c r="C53" s="44" t="str">
        <f aca="false">IF(OR('GOATed Ads'!$D$65="",'GOATed Ads'!$D$69="",'GOATed Ads'!$D$69=0),"not yet",'GOATed Ads'!$D$65/'GOATed Ads'!$D$69)</f>
        <v>not yet</v>
      </c>
      <c r="H53" s="43"/>
    </row>
    <row r="55" customFormat="false" ht="15" hidden="false" customHeight="false" outlineLevel="0" collapsed="false">
      <c r="B55" s="52" t="s">
        <v>227</v>
      </c>
      <c r="C55" s="53"/>
      <c r="D55" s="53"/>
      <c r="E55" s="53"/>
      <c r="F55" s="53"/>
      <c r="G55" s="53"/>
      <c r="H55" s="53"/>
    </row>
    <row r="56" customFormat="false" ht="15" hidden="false" customHeight="false" outlineLevel="0" collapsed="false">
      <c r="B56" s="45" t="s">
        <v>228</v>
      </c>
    </row>
    <row r="57" customFormat="false" ht="15" hidden="false" customHeight="false" outlineLevel="0" collapsed="false">
      <c r="B57" s="46" t="s">
        <v>229</v>
      </c>
      <c r="C57" s="46" t="s">
        <v>230</v>
      </c>
    </row>
    <row r="58" customFormat="false" ht="15" hidden="false" customHeight="false" outlineLevel="0" collapsed="false">
      <c r="B58" s="41" t="s">
        <v>106</v>
      </c>
      <c r="C58" s="47" t="n">
        <f aca="false">'Marketing Machine'!$D$31</f>
        <v>0</v>
      </c>
    </row>
    <row r="59" customFormat="false" ht="15" hidden="false" customHeight="false" outlineLevel="0" collapsed="false">
      <c r="B59" s="41" t="s">
        <v>127</v>
      </c>
      <c r="C59" s="47" t="n">
        <f aca="false">'Marketing Machine'!$D$32</f>
        <v>0</v>
      </c>
    </row>
    <row r="60" customFormat="false" ht="15" hidden="false" customHeight="false" outlineLevel="0" collapsed="false">
      <c r="B60" s="41" t="s">
        <v>148</v>
      </c>
      <c r="C60" s="47" t="n">
        <f aca="false">'Marketing Machine'!$D$33</f>
        <v>0</v>
      </c>
    </row>
    <row r="61" customFormat="false" ht="15" hidden="false" customHeight="false" outlineLevel="0" collapsed="false">
      <c r="B61" s="41" t="s">
        <v>231</v>
      </c>
      <c r="C61" s="47" t="n">
        <f aca="false">'Marketing Machine'!$D$34</f>
        <v>0</v>
      </c>
    </row>
    <row r="62" customFormat="false" ht="22.35" hidden="false" customHeight="false" outlineLevel="0" collapsed="false">
      <c r="B62" s="41" t="s">
        <v>68</v>
      </c>
      <c r="C62" s="48" t="str">
        <f aca="false">IF(OR('Marketing Machine'!$D$36="",$C$6="not yet",'Lead Nurture'!$D$32="",'Lead Nurture'!$D$32=0,$C$6=0),"not yet",'Marketing Machine'!$D$36/$C$6/'Lead Nurture'!$D$32)</f>
        <v>not yet</v>
      </c>
      <c r="H62" s="43" t="s">
        <v>232</v>
      </c>
    </row>
    <row r="63" customFormat="false" ht="15" hidden="false" customHeight="false" outlineLevel="0" collapsed="false">
      <c r="B63" s="41" t="s">
        <v>233</v>
      </c>
      <c r="C63" s="48" t="str">
        <f aca="false">IF('Marketing Machine'!$D$35="","not yet",'Marketing Machine'!$D$35)</f>
        <v>not yet</v>
      </c>
      <c r="H63" s="43"/>
    </row>
    <row r="64" customFormat="false" ht="15" hidden="false" customHeight="false" outlineLevel="0" collapsed="false">
      <c r="B64" s="41" t="s">
        <v>234</v>
      </c>
      <c r="C64" s="51" t="str">
        <f aca="false">IF(OR('Marketing Machine'!$D$31="",'Marketing Machine'!$D$32="",'Marketing Machine'!$D$33="",'Marketing Machine'!$D$35="",('Marketing Machine'!$D$31+'Marketing Machine'!$D$32+'Marketing Machine'!$D$33)*4.33=0),"not yet",'Marketing Machine'!$D$35/(('Marketing Machine'!$D$31+'Marketing Machine'!$D$32+'Marketing Machine'!$D$33)*4.33))</f>
        <v>not yet</v>
      </c>
      <c r="H64" s="43"/>
    </row>
    <row r="65" customFormat="false" ht="15" hidden="false" customHeight="false" outlineLevel="0" collapsed="false">
      <c r="B65" s="41" t="s">
        <v>235</v>
      </c>
      <c r="C65" s="51" t="str">
        <f aca="false">IF(OR('Marketing Machine'!$D$68="",'Marketing Machine'!$D$67="",'Marketing Machine'!$D$67=0),"not yet",'Marketing Machine'!$D$68/'Marketing Machine'!$D$67)</f>
        <v>not yet</v>
      </c>
      <c r="H65" s="43"/>
    </row>
    <row r="67" customFormat="false" ht="15" hidden="false" customHeight="false" outlineLevel="0" collapsed="false">
      <c r="B67" s="52" t="s">
        <v>236</v>
      </c>
      <c r="C67" s="53"/>
      <c r="D67" s="53"/>
      <c r="E67" s="53"/>
      <c r="F67" s="53"/>
      <c r="G67" s="53"/>
      <c r="H67" s="53"/>
    </row>
    <row r="68" customFormat="false" ht="15" hidden="false" customHeight="false" outlineLevel="0" collapsed="false">
      <c r="B68" s="41" t="s">
        <v>237</v>
      </c>
      <c r="C68" s="51" t="str">
        <f aca="false">IF(OR(Hooks!$D$31="",Hooks!$D$30="",Hooks!$D$30=0),"not yet",Hooks!$D$31/Hooks!$D$30)</f>
        <v>not yet</v>
      </c>
      <c r="H68" s="43"/>
    </row>
    <row r="69" customFormat="false" ht="15" hidden="false" customHeight="false" outlineLevel="0" collapsed="false">
      <c r="B69" s="41" t="s">
        <v>238</v>
      </c>
      <c r="C69" s="51" t="str">
        <f aca="false">IF(OR(Hooks!$D$62="",Hooks!$D$61="",Hooks!$D$61=0),"not yet",Hooks!$D$62/Hooks!$D$61)</f>
        <v>not yet</v>
      </c>
      <c r="H69" s="43"/>
    </row>
    <row r="70" customFormat="false" ht="15" hidden="false" customHeight="false" outlineLevel="0" collapsed="false">
      <c r="B70" s="45" t="s">
        <v>239</v>
      </c>
    </row>
    <row r="71" customFormat="false" ht="15" hidden="false" customHeight="false" outlineLevel="0" collapsed="false">
      <c r="B71" s="46" t="s">
        <v>240</v>
      </c>
      <c r="C71" s="46" t="s">
        <v>196</v>
      </c>
    </row>
    <row r="72" customFormat="false" ht="15" hidden="false" customHeight="false" outlineLevel="0" collapsed="false">
      <c r="B72" s="41" t="str">
        <f aca="false">IF(Hooks!$C$65="","",Hooks!$C$65)</f>
        <v/>
      </c>
      <c r="C72" s="47" t="str">
        <f aca="false">IF(Hooks!$D$65="","",Hooks!$D$65)</f>
        <v/>
      </c>
    </row>
    <row r="73" customFormat="false" ht="15" hidden="false" customHeight="false" outlineLevel="0" collapsed="false">
      <c r="B73" s="41" t="str">
        <f aca="false">IF(Hooks!$C$66="","",Hooks!$C$66)</f>
        <v/>
      </c>
      <c r="C73" s="47" t="str">
        <f aca="false">IF(Hooks!$D$66="","",Hooks!$D$66)</f>
        <v/>
      </c>
    </row>
    <row r="74" customFormat="false" ht="15" hidden="false" customHeight="false" outlineLevel="0" collapsed="false">
      <c r="B74" s="41" t="str">
        <f aca="false">IF(Hooks!$C$67="","",Hooks!$C$67)</f>
        <v/>
      </c>
      <c r="C74" s="47" t="str">
        <f aca="false">IF(Hooks!$D$67="","",Hooks!$D$67)</f>
        <v/>
      </c>
    </row>
    <row r="75" customFormat="false" ht="15" hidden="false" customHeight="false" outlineLevel="0" collapsed="false">
      <c r="B75" s="41" t="str">
        <f aca="false">IF(Hooks!$C$68="","",Hooks!$C$68)</f>
        <v/>
      </c>
      <c r="C75" s="47" t="str">
        <f aca="false">IF(Hooks!$D$68="","",Hooks!$D$68)</f>
        <v/>
      </c>
    </row>
    <row r="76" customFormat="false" ht="15" hidden="false" customHeight="false" outlineLevel="0" collapsed="false">
      <c r="B76" s="41" t="str">
        <f aca="false">IF(Hooks!$C$69="","",Hooks!$C$69)</f>
        <v/>
      </c>
      <c r="C76" s="47" t="str">
        <f aca="false">IF(Hooks!$D$69="","",Hooks!$D$69)</f>
        <v/>
      </c>
    </row>
    <row r="77" customFormat="false" ht="15" hidden="false" customHeight="false" outlineLevel="0" collapsed="false">
      <c r="B77" s="41" t="str">
        <f aca="false">IF(Hooks!$C$70="","",Hooks!$C$70)</f>
        <v/>
      </c>
      <c r="C77" s="47" t="str">
        <f aca="false">IF(Hooks!$D$70="","",Hooks!$D$70)</f>
        <v/>
      </c>
    </row>
    <row r="78" customFormat="false" ht="15" hidden="false" customHeight="false" outlineLevel="0" collapsed="false">
      <c r="B78" s="41" t="str">
        <f aca="false">IF(Hooks!$C$71="","",Hooks!$C$71)</f>
        <v/>
      </c>
      <c r="C78" s="47" t="str">
        <f aca="false">IF(Hooks!$D$71="","",Hooks!$D$71)</f>
        <v/>
      </c>
    </row>
    <row r="79" customFormat="false" ht="15" hidden="false" customHeight="false" outlineLevel="0" collapsed="false">
      <c r="B79" s="41" t="str">
        <f aca="false">IF(Hooks!$C$72="","",Hooks!$C$72)</f>
        <v/>
      </c>
      <c r="C79" s="47" t="str">
        <f aca="false">IF(Hooks!$D$72="","",Hooks!$D$72)</f>
        <v/>
      </c>
    </row>
    <row r="81" customFormat="false" ht="15" hidden="false" customHeight="false" outlineLevel="0" collapsed="false">
      <c r="B81" s="52" t="s">
        <v>241</v>
      </c>
      <c r="C81" s="53"/>
      <c r="D81" s="53"/>
      <c r="E81" s="53"/>
      <c r="F81" s="53"/>
      <c r="G81" s="53"/>
      <c r="H81" s="53"/>
    </row>
    <row r="82" customFormat="false" ht="15" hidden="false" customHeight="false" outlineLevel="0" collapsed="false">
      <c r="B82" s="41" t="s">
        <v>242</v>
      </c>
      <c r="C82" s="48" t="str">
        <f aca="false">IF('Lead Nurture'!$D$30="","not yet",'Lead Nurture'!$D$30)</f>
        <v>not yet</v>
      </c>
      <c r="H82" s="43" t="s">
        <v>243</v>
      </c>
    </row>
    <row r="83" customFormat="false" ht="15" hidden="false" customHeight="false" outlineLevel="0" collapsed="false">
      <c r="B83" s="41" t="s">
        <v>244</v>
      </c>
      <c r="C83" s="48" t="str">
        <f aca="false">IF('Lead Nurture'!$D$65="","not yet",'Lead Nurture'!$D$65)</f>
        <v>not yet</v>
      </c>
      <c r="H83" s="43"/>
    </row>
    <row r="84" customFormat="false" ht="15" hidden="false" customHeight="false" outlineLevel="0" collapsed="false">
      <c r="B84" s="41" t="s">
        <v>245</v>
      </c>
      <c r="C84" s="42" t="str">
        <f aca="false">IF('Lead Nurture'!$D$32="","not yet",'Lead Nurture'!$D$32)</f>
        <v>not yet</v>
      </c>
      <c r="H84" s="43"/>
    </row>
    <row r="85" customFormat="false" ht="15" hidden="false" customHeight="false" outlineLevel="0" collapsed="false">
      <c r="B85" s="41" t="s">
        <v>246</v>
      </c>
      <c r="C85" s="42" t="str">
        <f aca="false">IF(OR('Lead Nurture'!$D$64="",'Lead Nurture'!$D$63="",'Lead Nurture'!$D$63=0),"not yet",'Lead Nurture'!$D$64/'Lead Nurture'!$D$63)</f>
        <v>not yet</v>
      </c>
      <c r="H85" s="43"/>
    </row>
    <row r="86" customFormat="false" ht="15" hidden="false" customHeight="false" outlineLevel="0" collapsed="false">
      <c r="B86" s="45" t="s">
        <v>247</v>
      </c>
    </row>
    <row r="87" customFormat="false" ht="15" hidden="false" customHeight="false" outlineLevel="0" collapsed="false">
      <c r="B87" s="46" t="s">
        <v>248</v>
      </c>
      <c r="C87" s="46" t="s">
        <v>249</v>
      </c>
      <c r="D87" s="46" t="s">
        <v>250</v>
      </c>
      <c r="E87" s="46" t="s">
        <v>251</v>
      </c>
    </row>
    <row r="88" customFormat="false" ht="15" hidden="false" customHeight="false" outlineLevel="0" collapsed="false">
      <c r="B88" s="41" t="str">
        <f aca="false">IF('Lead Nurture'!$C$68="","",'Lead Nurture'!$C$68)</f>
        <v/>
      </c>
      <c r="C88" s="47" t="str">
        <f aca="false">IF('Lead Nurture'!$D$68="","",'Lead Nurture'!$D$68)</f>
        <v/>
      </c>
      <c r="D88" s="47" t="str">
        <f aca="false">IF('Lead Nurture'!$E$68="","",'Lead Nurture'!$E$68)</f>
        <v/>
      </c>
      <c r="E88" s="54" t="str">
        <f aca="false">IF(OR(C88="",C88=0),"",D88/C88)</f>
        <v/>
      </c>
    </row>
    <row r="89" customFormat="false" ht="15" hidden="false" customHeight="false" outlineLevel="0" collapsed="false">
      <c r="B89" s="41" t="str">
        <f aca="false">IF('Lead Nurture'!$C$69="","",'Lead Nurture'!$C$69)</f>
        <v/>
      </c>
      <c r="C89" s="47" t="str">
        <f aca="false">IF('Lead Nurture'!$D$69="","",'Lead Nurture'!$D$69)</f>
        <v/>
      </c>
      <c r="D89" s="47" t="str">
        <f aca="false">IF('Lead Nurture'!$E$69="","",'Lead Nurture'!$E$69)</f>
        <v/>
      </c>
      <c r="E89" s="54" t="str">
        <f aca="false">IF(OR(C89="",C89=0),"",D89/C89)</f>
        <v/>
      </c>
    </row>
    <row r="90" customFormat="false" ht="15" hidden="false" customHeight="false" outlineLevel="0" collapsed="false">
      <c r="B90" s="41" t="str">
        <f aca="false">IF('Lead Nurture'!$C$70="","",'Lead Nurture'!$C$70)</f>
        <v/>
      </c>
      <c r="C90" s="47" t="str">
        <f aca="false">IF('Lead Nurture'!$D$70="","",'Lead Nurture'!$D$70)</f>
        <v/>
      </c>
      <c r="D90" s="47" t="str">
        <f aca="false">IF('Lead Nurture'!$E$70="","",'Lead Nurture'!$E$70)</f>
        <v/>
      </c>
      <c r="E90" s="54" t="str">
        <f aca="false">IF(OR(C90="",C90=0),"",D90/C90)</f>
        <v/>
      </c>
    </row>
    <row r="91" customFormat="false" ht="15" hidden="false" customHeight="false" outlineLevel="0" collapsed="false">
      <c r="B91" s="41" t="str">
        <f aca="false">IF('Lead Nurture'!$C$71="","",'Lead Nurture'!$C$71)</f>
        <v/>
      </c>
      <c r="C91" s="47" t="str">
        <f aca="false">IF('Lead Nurture'!$D$71="","",'Lead Nurture'!$D$71)</f>
        <v/>
      </c>
      <c r="D91" s="47" t="str">
        <f aca="false">IF('Lead Nurture'!$E$71="","",'Lead Nurture'!$E$71)</f>
        <v/>
      </c>
      <c r="E91" s="54" t="str">
        <f aca="false">IF(OR(C91="",C91=0),"",D91/C91)</f>
        <v/>
      </c>
    </row>
    <row r="92" customFormat="false" ht="15" hidden="false" customHeight="false" outlineLevel="0" collapsed="false">
      <c r="B92" s="41" t="str">
        <f aca="false">IF('Lead Nurture'!$C$72="","",'Lead Nurture'!$C$72)</f>
        <v/>
      </c>
      <c r="C92" s="47" t="str">
        <f aca="false">IF('Lead Nurture'!$D$72="","",'Lead Nurture'!$D$72)</f>
        <v/>
      </c>
      <c r="D92" s="47" t="str">
        <f aca="false">IF('Lead Nurture'!$E$72="","",'Lead Nurture'!$E$72)</f>
        <v/>
      </c>
      <c r="E92" s="54" t="str">
        <f aca="false">IF(OR(C92="",C92=0),"",D92/C92)</f>
        <v/>
      </c>
    </row>
    <row r="93" customFormat="false" ht="15" hidden="false" customHeight="false" outlineLevel="0" collapsed="false">
      <c r="B93" s="41" t="str">
        <f aca="false">IF('Lead Nurture'!$C$73="","",'Lead Nurture'!$C$73)</f>
        <v/>
      </c>
      <c r="C93" s="47" t="str">
        <f aca="false">IF('Lead Nurture'!$D$73="","",'Lead Nurture'!$D$73)</f>
        <v/>
      </c>
      <c r="D93" s="47" t="str">
        <f aca="false">IF('Lead Nurture'!$E$73="","",'Lead Nurture'!$E$73)</f>
        <v/>
      </c>
      <c r="E93" s="54" t="str">
        <f aca="false">IF(OR(C93="",C93=0),"",D93/C93)</f>
        <v/>
      </c>
    </row>
    <row r="94" customFormat="false" ht="15" hidden="false" customHeight="false" outlineLevel="0" collapsed="false">
      <c r="B94" s="41" t="str">
        <f aca="false">IF('Lead Nurture'!$C$74="","",'Lead Nurture'!$C$74)</f>
        <v/>
      </c>
      <c r="C94" s="47" t="str">
        <f aca="false">IF('Lead Nurture'!$D$74="","",'Lead Nurture'!$D$74)</f>
        <v/>
      </c>
      <c r="D94" s="47" t="str">
        <f aca="false">IF('Lead Nurture'!$E$74="","",'Lead Nurture'!$E$74)</f>
        <v/>
      </c>
      <c r="E94" s="54" t="str">
        <f aca="false">IF(OR(C94="",C94=0),"",D94/C94)</f>
        <v/>
      </c>
    </row>
    <row r="95" customFormat="false" ht="15" hidden="false" customHeight="false" outlineLevel="0" collapsed="false">
      <c r="B95" s="41" t="str">
        <f aca="false">IF('Lead Nurture'!$C$75="","",'Lead Nurture'!$C$75)</f>
        <v/>
      </c>
      <c r="C95" s="47" t="str">
        <f aca="false">IF('Lead Nurture'!$D$75="","",'Lead Nurture'!$D$75)</f>
        <v/>
      </c>
      <c r="D95" s="47" t="str">
        <f aca="false">IF('Lead Nurture'!$E$75="","",'Lead Nurture'!$E$75)</f>
        <v/>
      </c>
      <c r="E95" s="54" t="str">
        <f aca="false">IF(OR(C95="",C95=0),"",D95/C95)</f>
        <v/>
      </c>
    </row>
    <row r="97" customFormat="false" ht="15" hidden="false" customHeight="false" outlineLevel="0" collapsed="false">
      <c r="B97" s="55" t="s">
        <v>252</v>
      </c>
      <c r="C97" s="56"/>
      <c r="D97" s="56"/>
      <c r="E97" s="56"/>
      <c r="F97" s="56"/>
      <c r="G97" s="56"/>
      <c r="H97" s="56"/>
    </row>
    <row r="98" customFormat="false" ht="15" hidden="false" customHeight="false" outlineLevel="0" collapsed="false">
      <c r="B98" s="41" t="s">
        <v>73</v>
      </c>
      <c r="C98" s="44" t="str">
        <f aca="false">IF(OR('Lifetime Value'!$D$29="",'Lifetime Value'!$D$30="",'Lifetime Value'!$D$31=""),"not yet",'Lifetime Value'!$D$29*'Lifetime Value'!$D$30*'Lifetime Value'!$D$31)</f>
        <v>not yet</v>
      </c>
      <c r="H98" s="43" t="s">
        <v>253</v>
      </c>
    </row>
    <row r="99" customFormat="false" ht="15" hidden="false" customHeight="false" outlineLevel="0" collapsed="false">
      <c r="B99" s="41" t="s">
        <v>254</v>
      </c>
      <c r="C99" s="44" t="str">
        <f aca="false">IF(OR('Lifetime Value'!$D$61="",'Lifetime Value'!$D$62="",'Lifetime Value'!$D$63=""),"not yet",'Lifetime Value'!$D$61*'Lifetime Value'!$D$62*'Lifetime Value'!$D$63)</f>
        <v>not yet</v>
      </c>
      <c r="H99" s="43"/>
    </row>
    <row r="100" customFormat="false" ht="15" hidden="false" customHeight="false" outlineLevel="0" collapsed="false">
      <c r="B100" s="41" t="s">
        <v>74</v>
      </c>
      <c r="C100" s="57" t="str">
        <f aca="false">IF(OR($C$98="not yet",'Lifetime Value'!$D$32="",'Lifetime Value'!$D$32=0),"not yet",$C$98/'Lifetime Value'!$D$32)</f>
        <v>not yet</v>
      </c>
      <c r="H100" s="43" t="s">
        <v>255</v>
      </c>
    </row>
    <row r="101" customFormat="false" ht="15" hidden="false" customHeight="false" outlineLevel="0" collapsed="false">
      <c r="B101" s="41" t="s">
        <v>256</v>
      </c>
      <c r="C101" s="57" t="str">
        <f aca="false">IF(OR($C$99="not yet",'Lifetime Value'!$D$64="",'Lifetime Value'!$D$64=0),"not yet",$C$99/'Lifetime Value'!$D$64)</f>
        <v>not yet</v>
      </c>
      <c r="H101" s="43"/>
    </row>
    <row r="102" customFormat="false" ht="15" hidden="false" customHeight="false" outlineLevel="0" collapsed="false">
      <c r="B102" s="45" t="s">
        <v>257</v>
      </c>
    </row>
    <row r="103" customFormat="false" ht="15" hidden="false" customHeight="false" outlineLevel="0" collapsed="false">
      <c r="B103" s="46" t="s">
        <v>258</v>
      </c>
      <c r="C103" s="46" t="s">
        <v>259</v>
      </c>
    </row>
    <row r="104" customFormat="false" ht="15" hidden="false" customHeight="false" outlineLevel="0" collapsed="false">
      <c r="B104" s="41" t="s">
        <v>260</v>
      </c>
      <c r="C104" s="58" t="n">
        <f aca="false">IF($C$98="not yet",0,$C$98*100*1.1^0)</f>
        <v>0</v>
      </c>
    </row>
    <row r="105" customFormat="false" ht="15" hidden="false" customHeight="false" outlineLevel="0" collapsed="false">
      <c r="B105" s="41" t="s">
        <v>261</v>
      </c>
      <c r="C105" s="58" t="n">
        <f aca="false">IF($C$98="not yet",0,$C$98*100*1.1^1)</f>
        <v>0</v>
      </c>
    </row>
    <row r="106" customFormat="false" ht="15" hidden="false" customHeight="false" outlineLevel="0" collapsed="false">
      <c r="B106" s="41" t="s">
        <v>262</v>
      </c>
      <c r="C106" s="58" t="n">
        <f aca="false">IF($C$98="not yet",0,$C$98*100*1.1^2)</f>
        <v>0</v>
      </c>
    </row>
    <row r="107" customFormat="false" ht="15" hidden="false" customHeight="false" outlineLevel="0" collapsed="false">
      <c r="B107" s="41" t="s">
        <v>263</v>
      </c>
      <c r="C107" s="58" t="n">
        <f aca="false">IF($C$98="not yet",0,$C$98*100*1.1^3)</f>
        <v>0</v>
      </c>
    </row>
    <row r="108" customFormat="false" ht="15" hidden="false" customHeight="false" outlineLevel="0" collapsed="false">
      <c r="B108" s="41" t="s">
        <v>264</v>
      </c>
      <c r="C108" s="58" t="n">
        <f aca="false">IF($C$98="not yet",0,$C$98*100*1.1^4)</f>
        <v>0</v>
      </c>
    </row>
    <row r="110" customFormat="false" ht="15" hidden="false" customHeight="false" outlineLevel="0" collapsed="false">
      <c r="B110" s="55" t="s">
        <v>265</v>
      </c>
      <c r="C110" s="56"/>
      <c r="D110" s="56"/>
      <c r="E110" s="56"/>
      <c r="F110" s="56"/>
      <c r="G110" s="56"/>
      <c r="H110" s="56"/>
    </row>
    <row r="111" customFormat="false" ht="15" hidden="false" customHeight="false" outlineLevel="0" collapsed="false">
      <c r="B111" s="41" t="s">
        <v>76</v>
      </c>
      <c r="C111" s="51" t="str">
        <f aca="false">IF(OR(Retention!$D$31="",Retention!$D$30="",Retention!$D$30=0),"not yet",Retention!$D$31/Retention!$D$30)</f>
        <v>not yet</v>
      </c>
      <c r="H111" s="43"/>
    </row>
    <row r="112" customFormat="false" ht="15" hidden="false" customHeight="false" outlineLevel="0" collapsed="false">
      <c r="B112" s="41" t="s">
        <v>266</v>
      </c>
      <c r="C112" s="51" t="str">
        <f aca="false">IF(OR(Retention!$D$71="",Retention!$D$70="",Retention!$D$70=0),"not yet",Retention!$D$71/Retention!$D$70)</f>
        <v>not yet</v>
      </c>
      <c r="H112" s="43"/>
    </row>
    <row r="113" customFormat="false" ht="15" hidden="false" customHeight="false" outlineLevel="0" collapsed="false">
      <c r="B113" s="41" t="s">
        <v>267</v>
      </c>
      <c r="C113" s="49" t="str">
        <f aca="false">IF(OR($C$111="not yet",$C$111=0),"not yet",1/$C$111)</f>
        <v>not yet</v>
      </c>
      <c r="H113" s="43" t="s">
        <v>268</v>
      </c>
    </row>
    <row r="114" customFormat="false" ht="15" hidden="false" customHeight="false" outlineLevel="0" collapsed="false">
      <c r="B114" s="45" t="s">
        <v>269</v>
      </c>
    </row>
    <row r="115" customFormat="false" ht="15" hidden="false" customHeight="false" outlineLevel="0" collapsed="false">
      <c r="B115" s="46" t="s">
        <v>270</v>
      </c>
      <c r="C115" s="46" t="s">
        <v>271</v>
      </c>
    </row>
    <row r="116" customFormat="false" ht="15" hidden="false" customHeight="false" outlineLevel="0" collapsed="false">
      <c r="B116" s="41" t="n">
        <v>0</v>
      </c>
      <c r="C116" s="59" t="n">
        <f aca="false">IF($C$111="not yet",0,100*(1-$C$111)^0)</f>
        <v>0</v>
      </c>
    </row>
    <row r="117" customFormat="false" ht="15" hidden="false" customHeight="false" outlineLevel="0" collapsed="false">
      <c r="B117" s="41" t="n">
        <v>1</v>
      </c>
      <c r="C117" s="59" t="n">
        <f aca="false">IF($C$111="not yet",0,100*(1-$C$111)^1)</f>
        <v>0</v>
      </c>
    </row>
    <row r="118" customFormat="false" ht="15" hidden="false" customHeight="false" outlineLevel="0" collapsed="false">
      <c r="B118" s="41" t="n">
        <v>2</v>
      </c>
      <c r="C118" s="59" t="n">
        <f aca="false">IF($C$111="not yet",0,100*(1-$C$111)^2)</f>
        <v>0</v>
      </c>
    </row>
    <row r="119" customFormat="false" ht="15" hidden="false" customHeight="false" outlineLevel="0" collapsed="false">
      <c r="B119" s="41" t="n">
        <v>3</v>
      </c>
      <c r="C119" s="59" t="n">
        <f aca="false">IF($C$111="not yet",0,100*(1-$C$111)^3)</f>
        <v>0</v>
      </c>
    </row>
    <row r="120" customFormat="false" ht="15" hidden="false" customHeight="false" outlineLevel="0" collapsed="false">
      <c r="B120" s="41" t="n">
        <v>4</v>
      </c>
      <c r="C120" s="59" t="n">
        <f aca="false">IF($C$111="not yet",0,100*(1-$C$111)^4)</f>
        <v>0</v>
      </c>
    </row>
    <row r="121" customFormat="false" ht="15" hidden="false" customHeight="false" outlineLevel="0" collapsed="false">
      <c r="B121" s="41" t="n">
        <v>5</v>
      </c>
      <c r="C121" s="59" t="n">
        <f aca="false">IF($C$111="not yet",0,100*(1-$C$111)^5)</f>
        <v>0</v>
      </c>
    </row>
    <row r="122" customFormat="false" ht="15" hidden="false" customHeight="false" outlineLevel="0" collapsed="false">
      <c r="B122" s="41" t="n">
        <v>6</v>
      </c>
      <c r="C122" s="59" t="n">
        <f aca="false">IF($C$111="not yet",0,100*(1-$C$111)^6)</f>
        <v>0</v>
      </c>
    </row>
    <row r="123" customFormat="false" ht="15" hidden="false" customHeight="false" outlineLevel="0" collapsed="false">
      <c r="B123" s="41" t="n">
        <v>7</v>
      </c>
      <c r="C123" s="59" t="n">
        <f aca="false">IF($C$111="not yet",0,100*(1-$C$111)^7)</f>
        <v>0</v>
      </c>
    </row>
    <row r="124" customFormat="false" ht="15" hidden="false" customHeight="false" outlineLevel="0" collapsed="false">
      <c r="B124" s="41" t="n">
        <v>8</v>
      </c>
      <c r="C124" s="59" t="n">
        <f aca="false">IF($C$111="not yet",0,100*(1-$C$111)^8)</f>
        <v>0</v>
      </c>
    </row>
    <row r="125" customFormat="false" ht="15" hidden="false" customHeight="false" outlineLevel="0" collapsed="false">
      <c r="B125" s="41" t="n">
        <v>9</v>
      </c>
      <c r="C125" s="59" t="n">
        <f aca="false">IF($C$111="not yet",0,100*(1-$C$111)^9)</f>
        <v>0</v>
      </c>
    </row>
    <row r="126" customFormat="false" ht="15" hidden="false" customHeight="false" outlineLevel="0" collapsed="false">
      <c r="B126" s="41" t="n">
        <v>10</v>
      </c>
      <c r="C126" s="59" t="n">
        <f aca="false">IF($C$111="not yet",0,100*(1-$C$111)^10)</f>
        <v>0</v>
      </c>
    </row>
    <row r="127" customFormat="false" ht="15" hidden="false" customHeight="false" outlineLevel="0" collapsed="false">
      <c r="B127" s="41" t="n">
        <v>11</v>
      </c>
      <c r="C127" s="59" t="n">
        <f aca="false">IF($C$111="not yet",0,100*(1-$C$111)^11)</f>
        <v>0</v>
      </c>
    </row>
    <row r="128" customFormat="false" ht="15" hidden="false" customHeight="false" outlineLevel="0" collapsed="false">
      <c r="B128" s="41" t="n">
        <v>12</v>
      </c>
      <c r="C128" s="59" t="n">
        <f aca="false">IF($C$111="not yet",0,100*(1-$C$111)^12)</f>
        <v>0</v>
      </c>
    </row>
    <row r="129" customFormat="false" ht="15" hidden="false" customHeight="false" outlineLevel="0" collapsed="false">
      <c r="B129" s="45" t="s">
        <v>272</v>
      </c>
    </row>
    <row r="130" customFormat="false" ht="15" hidden="false" customHeight="false" outlineLevel="0" collapsed="false">
      <c r="B130" s="46" t="s">
        <v>270</v>
      </c>
      <c r="C130" s="46" t="s">
        <v>273</v>
      </c>
      <c r="D130" s="46" t="s">
        <v>271</v>
      </c>
      <c r="E130" s="46" t="s">
        <v>251</v>
      </c>
    </row>
    <row r="131" customFormat="false" ht="15" hidden="false" customHeight="false" outlineLevel="0" collapsed="false">
      <c r="B131" s="41" t="str">
        <f aca="false">IF(Retention!$C$74="","",Retention!$C$74)</f>
        <v/>
      </c>
      <c r="C131" s="47" t="str">
        <f aca="false">IF(Retention!$D$74="","",Retention!$D$74)</f>
        <v/>
      </c>
      <c r="D131" s="47" t="str">
        <f aca="false">IF(Retention!$E$74="","",Retention!$E$74)</f>
        <v/>
      </c>
      <c r="E131" s="54" t="str">
        <f aca="false">IF(OR(C131="",C131=0),"",D131/C131)</f>
        <v/>
      </c>
    </row>
    <row r="132" customFormat="false" ht="15" hidden="false" customHeight="false" outlineLevel="0" collapsed="false">
      <c r="B132" s="41" t="str">
        <f aca="false">IF(Retention!$C$75="","",Retention!$C$75)</f>
        <v/>
      </c>
      <c r="C132" s="47" t="str">
        <f aca="false">IF(Retention!$D$75="","",Retention!$D$75)</f>
        <v/>
      </c>
      <c r="D132" s="47" t="str">
        <f aca="false">IF(Retention!$E$75="","",Retention!$E$75)</f>
        <v/>
      </c>
      <c r="E132" s="54" t="str">
        <f aca="false">IF(OR(C132="",C132=0),"",D132/C132)</f>
        <v/>
      </c>
    </row>
    <row r="133" customFormat="false" ht="15" hidden="false" customHeight="false" outlineLevel="0" collapsed="false">
      <c r="B133" s="41" t="str">
        <f aca="false">IF(Retention!$C$76="","",Retention!$C$76)</f>
        <v/>
      </c>
      <c r="C133" s="47" t="str">
        <f aca="false">IF(Retention!$D$76="","",Retention!$D$76)</f>
        <v/>
      </c>
      <c r="D133" s="47" t="str">
        <f aca="false">IF(Retention!$E$76="","",Retention!$E$76)</f>
        <v/>
      </c>
      <c r="E133" s="54" t="str">
        <f aca="false">IF(OR(C133="",C133=0),"",D133/C133)</f>
        <v/>
      </c>
    </row>
    <row r="134" customFormat="false" ht="15" hidden="false" customHeight="false" outlineLevel="0" collapsed="false">
      <c r="B134" s="41" t="str">
        <f aca="false">IF(Retention!$C$77="","",Retention!$C$77)</f>
        <v/>
      </c>
      <c r="C134" s="47" t="str">
        <f aca="false">IF(Retention!$D$77="","",Retention!$D$77)</f>
        <v/>
      </c>
      <c r="D134" s="47" t="str">
        <f aca="false">IF(Retention!$E$77="","",Retention!$E$77)</f>
        <v/>
      </c>
      <c r="E134" s="54" t="str">
        <f aca="false">IF(OR(C134="",C134=0),"",D134/C134)</f>
        <v/>
      </c>
    </row>
    <row r="135" customFormat="false" ht="15" hidden="false" customHeight="false" outlineLevel="0" collapsed="false">
      <c r="B135" s="41" t="str">
        <f aca="false">IF(Retention!$C$78="","",Retention!$C$78)</f>
        <v/>
      </c>
      <c r="C135" s="47" t="str">
        <f aca="false">IF(Retention!$D$78="","",Retention!$D$78)</f>
        <v/>
      </c>
      <c r="D135" s="47" t="str">
        <f aca="false">IF(Retention!$E$78="","",Retention!$E$78)</f>
        <v/>
      </c>
      <c r="E135" s="54" t="str">
        <f aca="false">IF(OR(C135="",C135=0),"",D135/C135)</f>
        <v/>
      </c>
    </row>
    <row r="136" customFormat="false" ht="15" hidden="false" customHeight="false" outlineLevel="0" collapsed="false">
      <c r="B136" s="41" t="str">
        <f aca="false">IF(Retention!$C$79="","",Retention!$C$79)</f>
        <v/>
      </c>
      <c r="C136" s="47" t="str">
        <f aca="false">IF(Retention!$D$79="","",Retention!$D$79)</f>
        <v/>
      </c>
      <c r="D136" s="47" t="str">
        <f aca="false">IF(Retention!$E$79="","",Retention!$E$79)</f>
        <v/>
      </c>
      <c r="E136" s="54" t="str">
        <f aca="false">IF(OR(C136="",C136=0),"",D136/C136)</f>
        <v/>
      </c>
    </row>
    <row r="137" customFormat="false" ht="15" hidden="false" customHeight="false" outlineLevel="0" collapsed="false">
      <c r="B137" s="41" t="str">
        <f aca="false">IF(Retention!$C$80="","",Retention!$C$80)</f>
        <v/>
      </c>
      <c r="C137" s="47" t="str">
        <f aca="false">IF(Retention!$D$80="","",Retention!$D$80)</f>
        <v/>
      </c>
      <c r="D137" s="47" t="str">
        <f aca="false">IF(Retention!$E$80="","",Retention!$E$80)</f>
        <v/>
      </c>
      <c r="E137" s="54" t="str">
        <f aca="false">IF(OR(C137="",C137=0),"",D137/C137)</f>
        <v/>
      </c>
    </row>
    <row r="138" customFormat="false" ht="15" hidden="false" customHeight="false" outlineLevel="0" collapsed="false">
      <c r="B138" s="41" t="str">
        <f aca="false">IF(Retention!$C$81="","",Retention!$C$81)</f>
        <v/>
      </c>
      <c r="C138" s="47" t="str">
        <f aca="false">IF(Retention!$D$81="","",Retention!$D$81)</f>
        <v/>
      </c>
      <c r="D138" s="47" t="str">
        <f aca="false">IF(Retention!$E$81="","",Retention!$E$81)</f>
        <v/>
      </c>
      <c r="E138" s="54" t="str">
        <f aca="false">IF(OR(C138="",C138=0),"",D138/C138)</f>
        <v/>
      </c>
    </row>
    <row r="140" customFormat="false" ht="15" hidden="false" customHeight="false" outlineLevel="0" collapsed="false">
      <c r="B140" s="55" t="s">
        <v>274</v>
      </c>
      <c r="C140" s="56"/>
      <c r="D140" s="56"/>
      <c r="E140" s="56"/>
      <c r="F140" s="56"/>
      <c r="G140" s="56"/>
      <c r="H140" s="56"/>
    </row>
    <row r="141" customFormat="false" ht="15" hidden="false" customHeight="false" outlineLevel="0" collapsed="false">
      <c r="B141" s="41" t="s">
        <v>275</v>
      </c>
      <c r="C141" s="42" t="str">
        <f aca="false">IF(OR(Branding!$D$32="",Branding!$D$31="",Branding!$D$31=0),"not yet",Branding!$D$32/Branding!$D$31)</f>
        <v>not yet</v>
      </c>
      <c r="H141" s="43"/>
    </row>
    <row r="142" customFormat="false" ht="15" hidden="false" customHeight="false" outlineLevel="0" collapsed="false">
      <c r="B142" s="41" t="s">
        <v>276</v>
      </c>
      <c r="C142" s="42" t="str">
        <f aca="false">IF(OR(Branding!$D$62="",Branding!$D$61="",Branding!$D$61=0),"not yet",Branding!$D$62/Branding!$D$61)</f>
        <v>not yet</v>
      </c>
      <c r="H142" s="43"/>
    </row>
    <row r="143" customFormat="false" ht="15" hidden="false" customHeight="false" outlineLevel="0" collapsed="false">
      <c r="B143" s="45" t="s">
        <v>277</v>
      </c>
    </row>
    <row r="144" customFormat="false" ht="15" hidden="false" customHeight="false" outlineLevel="0" collapsed="false">
      <c r="B144" s="46" t="s">
        <v>278</v>
      </c>
      <c r="C144" s="46" t="s">
        <v>279</v>
      </c>
      <c r="D144" s="46" t="s">
        <v>280</v>
      </c>
    </row>
    <row r="145" customFormat="false" ht="15" hidden="false" customHeight="false" outlineLevel="0" collapsed="false">
      <c r="B145" s="41" t="s">
        <v>281</v>
      </c>
      <c r="C145" s="47" t="n">
        <f aca="false">IF(Branding!$D$39="",0,LEN(Branding!$D$39)-LEN(SUBSTITUTE(Branding!$D$39,CHAR(10),""))+1)</f>
        <v>0</v>
      </c>
      <c r="D145" s="47" t="n">
        <v>10</v>
      </c>
    </row>
    <row r="146" customFormat="false" ht="15" hidden="false" customHeight="false" outlineLevel="0" collapsed="false">
      <c r="B146" s="41" t="s">
        <v>282</v>
      </c>
      <c r="C146" s="47" t="n">
        <f aca="false">IF(Branding!$D$40="",0,LEN(Branding!$D$40)-LEN(SUBSTITUTE(Branding!$D$40,CHAR(10),""))+1)</f>
        <v>0</v>
      </c>
      <c r="D146" s="47" t="n">
        <v>5</v>
      </c>
    </row>
    <row r="147" customFormat="false" ht="15" hidden="false" customHeight="false" outlineLevel="0" collapsed="false">
      <c r="B147" s="41" t="s">
        <v>283</v>
      </c>
      <c r="C147" s="47" t="n">
        <f aca="false">IF(Branding!$D$41="",0,LEN(Branding!$D$41)-LEN(SUBSTITUTE(Branding!$D$41,CHAR(10),""))+1)</f>
        <v>0</v>
      </c>
      <c r="D147" s="47" t="n">
        <v>5</v>
      </c>
    </row>
    <row r="149" customFormat="false" ht="15" hidden="false" customHeight="false" outlineLevel="0" collapsed="false">
      <c r="B149" s="60" t="s">
        <v>284</v>
      </c>
      <c r="C149" s="61"/>
      <c r="D149" s="61"/>
      <c r="E149" s="61"/>
      <c r="F149" s="61"/>
      <c r="G149" s="61"/>
      <c r="H149" s="61"/>
    </row>
    <row r="150" customFormat="false" ht="15" hidden="false" customHeight="false" outlineLevel="0" collapsed="false">
      <c r="B150" s="41" t="s">
        <v>77</v>
      </c>
      <c r="C150" s="51" t="str">
        <f aca="false">IF(OR('Lifetime Value'!$D$30="",'Price Raise'!$D$33="",('Lifetime Value'!$D$30+'Price Raise'!$D$33)=0),"not yet",'Price Raise'!$D$33/('Lifetime Value'!$D$30+'Price Raise'!$D$33))</f>
        <v>not yet</v>
      </c>
      <c r="H150" s="43" t="s">
        <v>285</v>
      </c>
    </row>
    <row r="151" customFormat="false" ht="15" hidden="false" customHeight="false" outlineLevel="0" collapsed="false">
      <c r="B151" s="41" t="s">
        <v>286</v>
      </c>
      <c r="C151" s="44" t="str">
        <f aca="false">IF(OR('Lifetime Value'!$D$29="",'Lifetime Value'!$D$30="",'Price Raise'!$D$32=""),"not yet",'Price Raise'!$D$32*'Lifetime Value'!$D$29*'Lifetime Value'!$D$30)</f>
        <v>not yet</v>
      </c>
      <c r="H151" s="43"/>
    </row>
    <row r="152" customFormat="false" ht="15" hidden="false" customHeight="false" outlineLevel="0" collapsed="false">
      <c r="B152" s="41" t="s">
        <v>287</v>
      </c>
      <c r="C152" s="44" t="str">
        <f aca="false">IF(OR('Lifetime Value'!$D$29="",'Lifetime Value'!$D$30="",'Price Raise'!$D$62="",'Price Raise'!$D$63=""),"not yet",'Price Raise'!$D$62*('Price Raise'!$D$63-'Lifetime Value'!$D$29*(1-'Lifetime Value'!$D$30)))</f>
        <v>not yet</v>
      </c>
      <c r="H152" s="43"/>
    </row>
    <row r="153" customFormat="false" ht="15" hidden="false" customHeight="false" outlineLevel="0" collapsed="false">
      <c r="B153" s="45" t="s">
        <v>288</v>
      </c>
    </row>
    <row r="154" customFormat="false" ht="15" hidden="false" customHeight="false" outlineLevel="0" collapsed="false">
      <c r="B154" s="46" t="s">
        <v>289</v>
      </c>
      <c r="C154" s="46" t="s">
        <v>260</v>
      </c>
      <c r="D154" s="46" t="s">
        <v>290</v>
      </c>
    </row>
    <row r="155" customFormat="false" ht="15" hidden="false" customHeight="false" outlineLevel="0" collapsed="false">
      <c r="B155" s="54" t="n">
        <v>0.5</v>
      </c>
      <c r="C155" s="58" t="n">
        <f aca="false">IF($C$151="not yet",0,$C$151)</f>
        <v>0</v>
      </c>
      <c r="D155" s="58" t="n">
        <f aca="false">IF(OR($C$151="not yet",'Price Raise'!$D$33=""),0,'Price Raise'!$D$32*0.5*'Lifetime Value'!$D$29*('Lifetime Value'!$D$30+'Price Raise'!$D$33))</f>
        <v>0</v>
      </c>
    </row>
    <row r="156" customFormat="false" ht="15" hidden="false" customHeight="false" outlineLevel="0" collapsed="false">
      <c r="B156" s="54" t="n">
        <v>0.55</v>
      </c>
      <c r="C156" s="58" t="n">
        <f aca="false">IF($C$151="not yet",0,$C$151)</f>
        <v>0</v>
      </c>
      <c r="D156" s="58" t="n">
        <f aca="false">IF(OR($C$151="not yet",'Price Raise'!$D$33=""),0,'Price Raise'!$D$32*0.55*'Lifetime Value'!$D$29*('Lifetime Value'!$D$30+'Price Raise'!$D$33))</f>
        <v>0</v>
      </c>
    </row>
    <row r="157" customFormat="false" ht="15" hidden="false" customHeight="false" outlineLevel="0" collapsed="false">
      <c r="B157" s="54" t="n">
        <v>0.6</v>
      </c>
      <c r="C157" s="58" t="n">
        <f aca="false">IF($C$151="not yet",0,$C$151)</f>
        <v>0</v>
      </c>
      <c r="D157" s="58" t="n">
        <f aca="false">IF(OR($C$151="not yet",'Price Raise'!$D$33=""),0,'Price Raise'!$D$32*0.6*'Lifetime Value'!$D$29*('Lifetime Value'!$D$30+'Price Raise'!$D$33))</f>
        <v>0</v>
      </c>
    </row>
    <row r="158" customFormat="false" ht="15" hidden="false" customHeight="false" outlineLevel="0" collapsed="false">
      <c r="B158" s="54" t="n">
        <v>0.65</v>
      </c>
      <c r="C158" s="58" t="n">
        <f aca="false">IF($C$151="not yet",0,$C$151)</f>
        <v>0</v>
      </c>
      <c r="D158" s="58" t="n">
        <f aca="false">IF(OR($C$151="not yet",'Price Raise'!$D$33=""),0,'Price Raise'!$D$32*0.65*'Lifetime Value'!$D$29*('Lifetime Value'!$D$30+'Price Raise'!$D$33))</f>
        <v>0</v>
      </c>
    </row>
    <row r="159" customFormat="false" ht="15" hidden="false" customHeight="false" outlineLevel="0" collapsed="false">
      <c r="B159" s="54" t="n">
        <v>0.7</v>
      </c>
      <c r="C159" s="58" t="n">
        <f aca="false">IF($C$151="not yet",0,$C$151)</f>
        <v>0</v>
      </c>
      <c r="D159" s="58" t="n">
        <f aca="false">IF(OR($C$151="not yet",'Price Raise'!$D$33=""),0,'Price Raise'!$D$32*0.7*'Lifetime Value'!$D$29*('Lifetime Value'!$D$30+'Price Raise'!$D$33))</f>
        <v>0</v>
      </c>
    </row>
    <row r="160" customFormat="false" ht="15" hidden="false" customHeight="false" outlineLevel="0" collapsed="false">
      <c r="B160" s="54" t="n">
        <v>0.75</v>
      </c>
      <c r="C160" s="58" t="n">
        <f aca="false">IF($C$151="not yet",0,$C$151)</f>
        <v>0</v>
      </c>
      <c r="D160" s="58" t="n">
        <f aca="false">IF(OR($C$151="not yet",'Price Raise'!$D$33=""),0,'Price Raise'!$D$32*0.75*'Lifetime Value'!$D$29*('Lifetime Value'!$D$30+'Price Raise'!$D$33))</f>
        <v>0</v>
      </c>
    </row>
    <row r="161" customFormat="false" ht="15" hidden="false" customHeight="false" outlineLevel="0" collapsed="false">
      <c r="B161" s="54" t="n">
        <v>0.8</v>
      </c>
      <c r="C161" s="58" t="n">
        <f aca="false">IF($C$151="not yet",0,$C$151)</f>
        <v>0</v>
      </c>
      <c r="D161" s="58" t="n">
        <f aca="false">IF(OR($C$151="not yet",'Price Raise'!$D$33=""),0,'Price Raise'!$D$32*0.8*'Lifetime Value'!$D$29*('Lifetime Value'!$D$30+'Price Raise'!$D$33))</f>
        <v>0</v>
      </c>
    </row>
    <row r="162" customFormat="false" ht="15" hidden="false" customHeight="false" outlineLevel="0" collapsed="false">
      <c r="B162" s="54" t="n">
        <v>0.85</v>
      </c>
      <c r="C162" s="58" t="n">
        <f aca="false">IF($C$151="not yet",0,$C$151)</f>
        <v>0</v>
      </c>
      <c r="D162" s="58" t="n">
        <f aca="false">IF(OR($C$151="not yet",'Price Raise'!$D$33=""),0,'Price Raise'!$D$32*0.85*'Lifetime Value'!$D$29*('Lifetime Value'!$D$30+'Price Raise'!$D$33))</f>
        <v>0</v>
      </c>
    </row>
    <row r="163" customFormat="false" ht="15" hidden="false" customHeight="false" outlineLevel="0" collapsed="false">
      <c r="B163" s="54" t="n">
        <v>0.9</v>
      </c>
      <c r="C163" s="58" t="n">
        <f aca="false">IF($C$151="not yet",0,$C$151)</f>
        <v>0</v>
      </c>
      <c r="D163" s="58" t="n">
        <f aca="false">IF(OR($C$151="not yet",'Price Raise'!$D$33=""),0,'Price Raise'!$D$32*0.9*'Lifetime Value'!$D$29*('Lifetime Value'!$D$30+'Price Raise'!$D$33))</f>
        <v>0</v>
      </c>
    </row>
    <row r="164" customFormat="false" ht="15" hidden="false" customHeight="false" outlineLevel="0" collapsed="false">
      <c r="B164" s="54" t="n">
        <v>0.95</v>
      </c>
      <c r="C164" s="58" t="n">
        <f aca="false">IF($C$151="not yet",0,$C$151)</f>
        <v>0</v>
      </c>
      <c r="D164" s="58" t="n">
        <f aca="false">IF(OR($C$151="not yet",'Price Raise'!$D$33=""),0,'Price Raise'!$D$32*0.95*'Lifetime Value'!$D$29*('Lifetime Value'!$D$30+'Price Raise'!$D$33))</f>
        <v>0</v>
      </c>
    </row>
    <row r="165" customFormat="false" ht="15" hidden="false" customHeight="false" outlineLevel="0" collapsed="false">
      <c r="B165" s="54" t="n">
        <v>1</v>
      </c>
      <c r="C165" s="58" t="n">
        <f aca="false">IF($C$151="not yet",0,$C$151)</f>
        <v>0</v>
      </c>
      <c r="D165" s="58" t="n">
        <f aca="false">IF(OR($C$151="not yet",'Price Raise'!$D$33=""),0,'Price Raise'!$D$32*1*'Lifetime Value'!$D$29*('Lifetime Value'!$D$30+'Price Raise'!$D$33))</f>
        <v>0</v>
      </c>
    </row>
    <row r="167" customFormat="false" ht="15" hidden="false" customHeight="false" outlineLevel="0" collapsed="false">
      <c r="B167" s="60" t="s">
        <v>291</v>
      </c>
      <c r="C167" s="61"/>
      <c r="D167" s="61"/>
      <c r="E167" s="61"/>
      <c r="F167" s="61"/>
      <c r="G167" s="61"/>
      <c r="H167" s="61"/>
    </row>
    <row r="168" customFormat="false" ht="15" hidden="false" customHeight="false" outlineLevel="0" collapsed="false">
      <c r="B168" s="41" t="s">
        <v>292</v>
      </c>
      <c r="C168" s="44" t="str">
        <f aca="false">IF('Promo Cash'!$D$30="","not yet",'Promo Cash'!$D$30+IF('Promo Cash'!$D$51="",0,IF('Promo Cash'!$D$52&lt;&gt;"",'Promo Cash'!$D$52,IF('Promo Cash'!$D$32&lt;&gt;"",'Promo Cash'!$D$32,0))*'Promo Cash'!$D$51))</f>
        <v>not yet</v>
      </c>
      <c r="H168" s="43" t="s">
        <v>293</v>
      </c>
    </row>
    <row r="169" customFormat="false" ht="15" hidden="false" customHeight="false" outlineLevel="0" collapsed="false">
      <c r="B169" s="41" t="s">
        <v>294</v>
      </c>
      <c r="C169" s="44" t="str">
        <f aca="false">IF(OR('Lifetime Value'!$D$32="",'Promo Cash'!$D$31=""),"not yet",'Lifetime Value'!$D$32+'Promo Cash'!$D$31)</f>
        <v>not yet</v>
      </c>
      <c r="H169" s="43" t="s">
        <v>295</v>
      </c>
    </row>
    <row r="170" customFormat="false" ht="15" hidden="false" customHeight="false" outlineLevel="0" collapsed="false">
      <c r="B170" s="41" t="s">
        <v>79</v>
      </c>
      <c r="C170" s="62" t="str">
        <f aca="false">IF(OR($C$168="not yet",$C$169="not yet",$C$169=0),"not yet",$C$168/$C$169)</f>
        <v>not yet</v>
      </c>
      <c r="H170" s="43" t="s">
        <v>296</v>
      </c>
    </row>
    <row r="171" customFormat="false" ht="15" hidden="false" customHeight="false" outlineLevel="0" collapsed="false">
      <c r="B171" s="41" t="s">
        <v>297</v>
      </c>
      <c r="C171" s="62" t="str">
        <f aca="false">IF(OR('Promo Cash'!$D$64="",'Promo Cash'!$D$65="",'Promo Cash'!$D$65=0),"not yet",'Promo Cash'!$D$64/'Promo Cash'!$D$65)</f>
        <v>not yet</v>
      </c>
      <c r="H171" s="43"/>
    </row>
    <row r="172" customFormat="false" ht="15" hidden="false" customHeight="false" outlineLevel="0" collapsed="false">
      <c r="B172" s="45" t="s">
        <v>298</v>
      </c>
    </row>
    <row r="173" customFormat="false" ht="15" hidden="false" customHeight="false" outlineLevel="0" collapsed="false">
      <c r="B173" s="46" t="s">
        <v>299</v>
      </c>
      <c r="C173" s="46" t="s">
        <v>300</v>
      </c>
      <c r="D173" s="46" t="s">
        <v>301</v>
      </c>
      <c r="E173" s="46" t="s">
        <v>302</v>
      </c>
      <c r="F173" s="46" t="s">
        <v>303</v>
      </c>
    </row>
    <row r="174" customFormat="false" ht="15" hidden="false" customHeight="false" outlineLevel="0" collapsed="false">
      <c r="B174" s="41" t="s">
        <v>304</v>
      </c>
      <c r="C174" s="58" t="n">
        <f aca="false">IF('Promo Cash'!$D$30="",0,'Promo Cash'!$D$30)</f>
        <v>0</v>
      </c>
      <c r="D174" s="58" t="n">
        <f aca="false">IF('Promo Cash'!$D$51="",0,IF('Promo Cash'!$D$52&lt;&gt;"",'Promo Cash'!$D$52,IF('Promo Cash'!$D$32&lt;&gt;"",'Promo Cash'!$D$32,0))*'Promo Cash'!$D$51)</f>
        <v>0</v>
      </c>
      <c r="E174" s="58" t="n">
        <v>0</v>
      </c>
      <c r="F174" s="58" t="n">
        <v>0</v>
      </c>
    </row>
    <row r="175" customFormat="false" ht="15" hidden="false" customHeight="false" outlineLevel="0" collapsed="false">
      <c r="B175" s="41" t="s">
        <v>305</v>
      </c>
      <c r="C175" s="58" t="n">
        <v>0</v>
      </c>
      <c r="D175" s="58" t="n">
        <v>0</v>
      </c>
      <c r="E175" s="58" t="n">
        <f aca="false">IF('Lifetime Value'!$D$32="",0,'Lifetime Value'!$D$32)</f>
        <v>0</v>
      </c>
      <c r="F175" s="58" t="n">
        <f aca="false">IF('Promo Cash'!$D$31="",0,'Promo Cash'!$D$31)</f>
        <v>0</v>
      </c>
    </row>
    <row r="177" customFormat="false" ht="15" hidden="false" customHeight="false" outlineLevel="0" collapsed="false">
      <c r="B177" s="60" t="s">
        <v>306</v>
      </c>
      <c r="C177" s="61"/>
      <c r="D177" s="61"/>
      <c r="E177" s="61"/>
      <c r="F177" s="61"/>
      <c r="G177" s="61"/>
      <c r="H177" s="61"/>
    </row>
    <row r="178" customFormat="false" ht="15" hidden="false" customHeight="false" outlineLevel="0" collapsed="false">
      <c r="B178" s="41" t="s">
        <v>83</v>
      </c>
      <c r="C178" s="42" t="str">
        <f aca="false">IF(OR('Implementation SOPs'!$D$30="",'Implementation SOPs'!$D$29="",'Implementation SOPs'!$D$29=0),"not yet",'Implementation SOPs'!$D$30/'Implementation SOPs'!$D$29)</f>
        <v>not yet</v>
      </c>
      <c r="H178" s="43"/>
    </row>
    <row r="179" customFormat="false" ht="15" hidden="false" customHeight="false" outlineLevel="0" collapsed="false">
      <c r="B179" s="41" t="s">
        <v>307</v>
      </c>
      <c r="C179" s="49" t="str">
        <f aca="false">IF('Implementation SOPs'!$D$31="","not yet",'Implementation SOPs'!$D$31)</f>
        <v>not yet</v>
      </c>
      <c r="H179" s="43"/>
    </row>
    <row r="180" customFormat="false" ht="15" hidden="false" customHeight="false" outlineLevel="0" collapsed="false">
      <c r="B180" s="41" t="s">
        <v>308</v>
      </c>
      <c r="C180" s="49" t="str">
        <f aca="false">IF('Implementation SOPs'!$D$87="","not yet",'Implementation SOPs'!$D$87)</f>
        <v>not yet</v>
      </c>
      <c r="H180" s="43"/>
    </row>
    <row r="181" customFormat="false" ht="15" hidden="false" customHeight="false" outlineLevel="0" collapsed="false">
      <c r="B181" s="45" t="s">
        <v>309</v>
      </c>
    </row>
    <row r="182" customFormat="false" ht="15" hidden="false" customHeight="false" outlineLevel="0" collapsed="false">
      <c r="B182" s="46" t="s">
        <v>310</v>
      </c>
      <c r="C182" s="46" t="s">
        <v>44</v>
      </c>
      <c r="D182" s="46" t="s">
        <v>48</v>
      </c>
      <c r="E182" s="46" t="s">
        <v>289</v>
      </c>
      <c r="F182" s="46" t="s">
        <v>311</v>
      </c>
    </row>
    <row r="183" customFormat="false" ht="15" hidden="false" customHeight="false" outlineLevel="0" collapsed="false">
      <c r="B183" s="41" t="str">
        <f aca="false">IF('Implementation SOPs'!$C$79="","",'Implementation SOPs'!$C$79)</f>
        <v/>
      </c>
      <c r="C183" s="47" t="str">
        <f aca="false">IF('Implementation SOPs'!$D$79="","",'Implementation SOPs'!$D$79)</f>
        <v/>
      </c>
      <c r="D183" s="47" t="str">
        <f aca="false">IF('Implementation SOPs'!$E$79="","",'Implementation SOPs'!$E$79)</f>
        <v/>
      </c>
      <c r="E183" s="47" t="str">
        <f aca="false">IF('Implementation SOPs'!$F$79="","",'Implementation SOPs'!$F$79)</f>
        <v/>
      </c>
      <c r="F183" s="58" t="str">
        <f aca="false">IF('Implementation SOPs'!$G$79="","",'Implementation SOPs'!$G$79)</f>
        <v/>
      </c>
    </row>
    <row r="184" customFormat="false" ht="15" hidden="false" customHeight="false" outlineLevel="0" collapsed="false">
      <c r="B184" s="41" t="str">
        <f aca="false">IF('Implementation SOPs'!$C$80="","",'Implementation SOPs'!$C$80)</f>
        <v/>
      </c>
      <c r="C184" s="47" t="str">
        <f aca="false">IF('Implementation SOPs'!$D$80="","",'Implementation SOPs'!$D$80)</f>
        <v/>
      </c>
      <c r="D184" s="47" t="str">
        <f aca="false">IF('Implementation SOPs'!$E$80="","",'Implementation SOPs'!$E$80)</f>
        <v/>
      </c>
      <c r="E184" s="47" t="str">
        <f aca="false">IF('Implementation SOPs'!$F$80="","",'Implementation SOPs'!$F$80)</f>
        <v/>
      </c>
      <c r="F184" s="58" t="str">
        <f aca="false">IF('Implementation SOPs'!$G$80="","",'Implementation SOPs'!$G$80)</f>
        <v/>
      </c>
    </row>
    <row r="185" customFormat="false" ht="15" hidden="false" customHeight="false" outlineLevel="0" collapsed="false">
      <c r="B185" s="41" t="str">
        <f aca="false">IF('Implementation SOPs'!$C$81="","",'Implementation SOPs'!$C$81)</f>
        <v/>
      </c>
      <c r="C185" s="47" t="str">
        <f aca="false">IF('Implementation SOPs'!$D$81="","",'Implementation SOPs'!$D$81)</f>
        <v/>
      </c>
      <c r="D185" s="47" t="str">
        <f aca="false">IF('Implementation SOPs'!$E$81="","",'Implementation SOPs'!$E$81)</f>
        <v/>
      </c>
      <c r="E185" s="47" t="str">
        <f aca="false">IF('Implementation SOPs'!$F$81="","",'Implementation SOPs'!$F$81)</f>
        <v/>
      </c>
      <c r="F185" s="58" t="str">
        <f aca="false">IF('Implementation SOPs'!$G$81="","",'Implementation SOPs'!$G$81)</f>
        <v/>
      </c>
    </row>
    <row r="186" customFormat="false" ht="15" hidden="false" customHeight="false" outlineLevel="0" collapsed="false">
      <c r="B186" s="41" t="str">
        <f aca="false">IF('Implementation SOPs'!$C$82="","",'Implementation SOPs'!$C$82)</f>
        <v/>
      </c>
      <c r="C186" s="47" t="str">
        <f aca="false">IF('Implementation SOPs'!$D$82="","",'Implementation SOPs'!$D$82)</f>
        <v/>
      </c>
      <c r="D186" s="47" t="str">
        <f aca="false">IF('Implementation SOPs'!$E$82="","",'Implementation SOPs'!$E$82)</f>
        <v/>
      </c>
      <c r="E186" s="47" t="str">
        <f aca="false">IF('Implementation SOPs'!$F$82="","",'Implementation SOPs'!$F$82)</f>
        <v/>
      </c>
      <c r="F186" s="58" t="str">
        <f aca="false">IF('Implementation SOPs'!$G$82="","",'Implementation SOPs'!$G$82)</f>
        <v/>
      </c>
    </row>
    <row r="187" customFormat="false" ht="15" hidden="false" customHeight="false" outlineLevel="0" collapsed="false">
      <c r="B187" s="41" t="str">
        <f aca="false">IF('Implementation SOPs'!$C$83="","",'Implementation SOPs'!$C$83)</f>
        <v/>
      </c>
      <c r="C187" s="47" t="str">
        <f aca="false">IF('Implementation SOPs'!$D$83="","",'Implementation SOPs'!$D$83)</f>
        <v/>
      </c>
      <c r="D187" s="47" t="str">
        <f aca="false">IF('Implementation SOPs'!$E$83="","",'Implementation SOPs'!$E$83)</f>
        <v/>
      </c>
      <c r="E187" s="47" t="str">
        <f aca="false">IF('Implementation SOPs'!$F$83="","",'Implementation SOPs'!$F$83)</f>
        <v/>
      </c>
      <c r="F187" s="58" t="str">
        <f aca="false">IF('Implementation SOPs'!$G$83="","",'Implementation SOPs'!$G$83)</f>
        <v/>
      </c>
    </row>
    <row r="188" customFormat="false" ht="15" hidden="false" customHeight="false" outlineLevel="0" collapsed="false">
      <c r="B188" s="41" t="str">
        <f aca="false">IF('Implementation SOPs'!$C$84="","",'Implementation SOPs'!$C$84)</f>
        <v/>
      </c>
      <c r="C188" s="47" t="str">
        <f aca="false">IF('Implementation SOPs'!$D$84="","",'Implementation SOPs'!$D$84)</f>
        <v/>
      </c>
      <c r="D188" s="47" t="str">
        <f aca="false">IF('Implementation SOPs'!$E$84="","",'Implementation SOPs'!$E$84)</f>
        <v/>
      </c>
      <c r="E188" s="47" t="str">
        <f aca="false">IF('Implementation SOPs'!$F$84="","",'Implementation SOPs'!$F$84)</f>
        <v/>
      </c>
      <c r="F188" s="58" t="str">
        <f aca="false">IF('Implementation SOPs'!$G$84="","",'Implementation SOPs'!$G$84)</f>
        <v/>
      </c>
    </row>
    <row r="189" customFormat="false" ht="15" hidden="false" customHeight="false" outlineLevel="0" collapsed="false">
      <c r="B189" s="41" t="str">
        <f aca="false">IF('Implementation SOPs'!$C$85="","",'Implementation SOPs'!$C$85)</f>
        <v/>
      </c>
      <c r="C189" s="47" t="str">
        <f aca="false">IF('Implementation SOPs'!$D$85="","",'Implementation SOPs'!$D$85)</f>
        <v/>
      </c>
      <c r="D189" s="47" t="str">
        <f aca="false">IF('Implementation SOPs'!$E$85="","",'Implementation SOPs'!$E$85)</f>
        <v/>
      </c>
      <c r="E189" s="47" t="str">
        <f aca="false">IF('Implementation SOPs'!$F$85="","",'Implementation SOPs'!$F$85)</f>
        <v/>
      </c>
      <c r="F189" s="58" t="str">
        <f aca="false">IF('Implementation SOPs'!$G$85="","",'Implementation SOPs'!$G$85)</f>
        <v/>
      </c>
    </row>
    <row r="190" customFormat="false" ht="15" hidden="false" customHeight="false" outlineLevel="0" collapsed="false">
      <c r="B190" s="41" t="str">
        <f aca="false">IF('Implementation SOPs'!$C$86="","",'Implementation SOPs'!$C$86)</f>
        <v/>
      </c>
      <c r="C190" s="47" t="str">
        <f aca="false">IF('Implementation SOPs'!$D$86="","",'Implementation SOPs'!$D$86)</f>
        <v/>
      </c>
      <c r="D190" s="47" t="str">
        <f aca="false">IF('Implementation SOPs'!$E$86="","",'Implementation SOPs'!$E$86)</f>
        <v/>
      </c>
      <c r="E190" s="47" t="str">
        <f aca="false">IF('Implementation SOPs'!$F$86="","",'Implementation SOPs'!$F$86)</f>
        <v/>
      </c>
      <c r="F190" s="58" t="str">
        <f aca="false">IF('Implementation SOPs'!$G$86="","",'Implementation SOPs'!$G$86)</f>
        <v/>
      </c>
    </row>
  </sheetData>
  <mergeCells count="1">
    <mergeCell ref="B2:H2"/>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A1: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45</v>
      </c>
      <c r="D1" s="64" t="s">
        <v>312</v>
      </c>
    </row>
    <row r="2" customFormat="false" ht="15" hidden="false" customHeight="false" outlineLevel="0" collapsed="false">
      <c r="C2" s="65" t="s">
        <v>313</v>
      </c>
      <c r="D2" s="65"/>
      <c r="E2" s="65"/>
      <c r="F2" s="65"/>
      <c r="G2" s="65"/>
    </row>
    <row r="3" customFormat="false" ht="78" hidden="false" customHeight="true" outlineLevel="0" collapsed="false">
      <c r="C3" s="66" t="s">
        <v>314</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3</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6</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4</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4</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70" t="n">
        <v>1</v>
      </c>
      <c r="B19" s="71" t="s">
        <v>333</v>
      </c>
      <c r="C19" s="72" t="s">
        <v>334</v>
      </c>
      <c r="D19" s="72"/>
      <c r="E19" s="72"/>
      <c r="F19" s="72"/>
      <c r="G19" s="72"/>
    </row>
    <row r="20" customFormat="false" ht="30" hidden="false" customHeight="true" outlineLevel="0" collapsed="false">
      <c r="B20" s="73" t="s">
        <v>335</v>
      </c>
      <c r="C20" s="74" t="s">
        <v>336</v>
      </c>
      <c r="D20" s="74"/>
      <c r="E20" s="74"/>
      <c r="F20" s="74"/>
      <c r="G20" s="74"/>
    </row>
    <row r="21" customFormat="false" ht="15" hidden="false" customHeight="false" outlineLevel="0" collapsed="false">
      <c r="A21" s="75" t="n">
        <v>1</v>
      </c>
      <c r="B21" s="73" t="s">
        <v>337</v>
      </c>
      <c r="C21" s="4" t="s">
        <v>338</v>
      </c>
      <c r="D21" s="76"/>
      <c r="E21" s="73" t="n">
        <f aca="false">IF(D21&lt;&gt;"",1,0)</f>
        <v>0</v>
      </c>
      <c r="F21" s="77" t="n">
        <v>2</v>
      </c>
      <c r="G21" s="43" t="s">
        <v>339</v>
      </c>
    </row>
    <row r="22" customFormat="false" ht="48" hidden="false" customHeight="true" outlineLevel="0" collapsed="false">
      <c r="A22" s="75" t="n">
        <v>1</v>
      </c>
      <c r="B22" s="73" t="s">
        <v>337</v>
      </c>
      <c r="C22" s="4" t="s">
        <v>340</v>
      </c>
      <c r="D22" s="76"/>
      <c r="E22" s="73" t="n">
        <f aca="false">IF(D22&lt;&gt;"",1,0)</f>
        <v>0</v>
      </c>
      <c r="F22" s="77" t="s">
        <v>341</v>
      </c>
      <c r="G22" s="43" t="s">
        <v>342</v>
      </c>
    </row>
    <row r="23" customFormat="false" ht="15" hidden="false" customHeight="false" outlineLevel="0" collapsed="false">
      <c r="A23" s="75" t="n">
        <v>1</v>
      </c>
      <c r="B23" s="73" t="s">
        <v>337</v>
      </c>
      <c r="C23" s="4" t="s">
        <v>343</v>
      </c>
      <c r="D23" s="76"/>
      <c r="E23" s="73" t="n">
        <f aca="false">IF(D23&lt;&gt;"",1,0)</f>
        <v>0</v>
      </c>
      <c r="F23" s="77" t="s">
        <v>105</v>
      </c>
      <c r="G23" s="43" t="s">
        <v>344</v>
      </c>
    </row>
    <row r="24" customFormat="false" ht="15" hidden="false" customHeight="false" outlineLevel="0" collapsed="false">
      <c r="B24" s="73" t="s">
        <v>345</v>
      </c>
      <c r="C24" s="78" t="s">
        <v>346</v>
      </c>
    </row>
    <row r="25" customFormat="false" ht="15" hidden="false" customHeight="false" outlineLevel="0" collapsed="false">
      <c r="A25" s="75" t="n">
        <v>1</v>
      </c>
      <c r="B25" s="73" t="s">
        <v>347</v>
      </c>
      <c r="C25" s="4" t="s">
        <v>348</v>
      </c>
      <c r="D25" s="79"/>
      <c r="E25" s="73" t="n">
        <f aca="false">IF(D25="Y",1,0)</f>
        <v>0</v>
      </c>
      <c r="G25" s="80" t="s">
        <v>349</v>
      </c>
    </row>
    <row r="26" customFormat="false" ht="15" hidden="false" customHeight="false" outlineLevel="0" collapsed="false">
      <c r="A26" s="75" t="n">
        <v>1</v>
      </c>
      <c r="B26" s="73" t="s">
        <v>347</v>
      </c>
      <c r="C26" s="4" t="s">
        <v>350</v>
      </c>
      <c r="D26" s="79"/>
      <c r="E26" s="73" t="n">
        <f aca="false">IF(D26="Y",1,0)</f>
        <v>0</v>
      </c>
      <c r="G26" s="80" t="s">
        <v>349</v>
      </c>
    </row>
    <row r="27" customFormat="false" ht="15" hidden="false" customHeight="false" outlineLevel="0" collapsed="false">
      <c r="B27" s="73" t="s">
        <v>351</v>
      </c>
      <c r="C27" s="81" t="s">
        <v>352</v>
      </c>
      <c r="D27" s="81"/>
      <c r="E27" s="81"/>
      <c r="F27" s="81"/>
      <c r="G27" s="81"/>
    </row>
    <row r="29" customFormat="false" ht="15" hidden="false" customHeight="false" outlineLevel="0" collapsed="false">
      <c r="A29" s="70" t="n">
        <v>2</v>
      </c>
      <c r="B29" s="71" t="s">
        <v>333</v>
      </c>
      <c r="C29" s="72" t="s">
        <v>353</v>
      </c>
      <c r="D29" s="72"/>
      <c r="E29" s="72"/>
      <c r="F29" s="72"/>
      <c r="G29" s="72"/>
    </row>
    <row r="30" customFormat="false" ht="30" hidden="false" customHeight="true" outlineLevel="0" collapsed="false">
      <c r="B30" s="73" t="s">
        <v>335</v>
      </c>
      <c r="C30" s="74" t="s">
        <v>354</v>
      </c>
      <c r="D30" s="74"/>
      <c r="E30" s="74"/>
      <c r="F30" s="74"/>
      <c r="G30" s="74"/>
    </row>
    <row r="31" customFormat="false" ht="22.35" hidden="false" customHeight="false" outlineLevel="0" collapsed="false">
      <c r="A31" s="75" t="n">
        <v>2</v>
      </c>
      <c r="B31" s="73" t="s">
        <v>337</v>
      </c>
      <c r="C31" s="4" t="s">
        <v>355</v>
      </c>
      <c r="D31" s="76"/>
      <c r="E31" s="73" t="n">
        <f aca="false">IF(D31&lt;&gt;"",1,0)</f>
        <v>0</v>
      </c>
      <c r="F31" s="77" t="n">
        <v>30</v>
      </c>
      <c r="G31" s="43" t="s">
        <v>356</v>
      </c>
    </row>
    <row r="32" customFormat="false" ht="15" hidden="false" customHeight="false" outlineLevel="0" collapsed="false">
      <c r="A32" s="75" t="n">
        <v>2</v>
      </c>
      <c r="B32" s="73" t="s">
        <v>337</v>
      </c>
      <c r="C32" s="4" t="s">
        <v>357</v>
      </c>
      <c r="D32" s="76"/>
      <c r="E32" s="73" t="n">
        <f aca="false">IF(D32&lt;&gt;"",1,0)</f>
        <v>0</v>
      </c>
      <c r="F32" s="77" t="n">
        <v>5</v>
      </c>
      <c r="G32" s="43" t="s">
        <v>358</v>
      </c>
    </row>
    <row r="33" customFormat="false" ht="15" hidden="false" customHeight="false" outlineLevel="0" collapsed="false">
      <c r="A33" s="75" t="n">
        <v>2</v>
      </c>
      <c r="B33" s="73" t="s">
        <v>337</v>
      </c>
      <c r="C33" s="4" t="s">
        <v>359</v>
      </c>
      <c r="D33" s="76"/>
      <c r="E33" s="73" t="n">
        <f aca="false">IF(D33&lt;&gt;"",1,0)</f>
        <v>0</v>
      </c>
      <c r="F33" s="77" t="n">
        <v>20</v>
      </c>
      <c r="G33" s="43" t="s">
        <v>360</v>
      </c>
    </row>
    <row r="34" customFormat="false" ht="22.35" hidden="false" customHeight="false" outlineLevel="0" collapsed="false">
      <c r="A34" s="75" t="n">
        <v>2</v>
      </c>
      <c r="B34" s="73" t="s">
        <v>337</v>
      </c>
      <c r="C34" s="4" t="s">
        <v>361</v>
      </c>
      <c r="D34" s="82"/>
      <c r="E34" s="73" t="n">
        <f aca="false">IF(D34&lt;&gt;"",1,0)</f>
        <v>0</v>
      </c>
      <c r="F34" s="83" t="n">
        <v>100</v>
      </c>
      <c r="G34" s="43" t="s">
        <v>362</v>
      </c>
    </row>
    <row r="35" customFormat="false" ht="15" hidden="false" customHeight="false" outlineLevel="0" collapsed="false">
      <c r="A35" s="75" t="n">
        <v>2</v>
      </c>
      <c r="B35" s="73" t="s">
        <v>337</v>
      </c>
      <c r="C35" s="4" t="s">
        <v>363</v>
      </c>
      <c r="D35" s="76"/>
      <c r="E35" s="73" t="n">
        <f aca="false">IF(D35&lt;&gt;"",1,0)</f>
        <v>0</v>
      </c>
      <c r="F35" s="77" t="n">
        <v>25</v>
      </c>
      <c r="G35" s="43" t="s">
        <v>364</v>
      </c>
    </row>
    <row r="36" customFormat="false" ht="15" hidden="false" customHeight="false" outlineLevel="0" collapsed="false">
      <c r="A36" s="75" t="n">
        <v>2</v>
      </c>
      <c r="B36" s="73" t="s">
        <v>337</v>
      </c>
      <c r="C36" s="4" t="s">
        <v>365</v>
      </c>
      <c r="D36" s="76"/>
      <c r="E36" s="73" t="n">
        <f aca="false">IF(D36&lt;&gt;"",1,0)</f>
        <v>0</v>
      </c>
      <c r="F36" s="77" t="n">
        <v>8</v>
      </c>
      <c r="G36" s="43" t="s">
        <v>366</v>
      </c>
    </row>
    <row r="37" customFormat="false" ht="15" hidden="false" customHeight="false" outlineLevel="0" collapsed="false">
      <c r="B37" s="73" t="s">
        <v>345</v>
      </c>
      <c r="C37" s="78" t="s">
        <v>346</v>
      </c>
    </row>
    <row r="38" customFormat="false" ht="23.85" hidden="false" customHeight="false" outlineLevel="0" collapsed="false">
      <c r="A38" s="75" t="n">
        <v>2</v>
      </c>
      <c r="B38" s="73" t="s">
        <v>347</v>
      </c>
      <c r="C38" s="4" t="s">
        <v>367</v>
      </c>
      <c r="D38" s="79"/>
      <c r="E38" s="73" t="n">
        <f aca="false">IF(D38="Y",1,0)</f>
        <v>0</v>
      </c>
      <c r="G38" s="80" t="s">
        <v>349</v>
      </c>
    </row>
    <row r="39" customFormat="false" ht="15" hidden="false" customHeight="false" outlineLevel="0" collapsed="false">
      <c r="B39" s="73" t="s">
        <v>351</v>
      </c>
      <c r="C39" s="81" t="s">
        <v>368</v>
      </c>
      <c r="D39" s="81"/>
      <c r="E39" s="81"/>
      <c r="F39" s="81"/>
      <c r="G39" s="81"/>
    </row>
    <row r="41" customFormat="false" ht="15" hidden="false" customHeight="false" outlineLevel="0" collapsed="false">
      <c r="A41" s="70" t="n">
        <v>3</v>
      </c>
      <c r="B41" s="71" t="s">
        <v>333</v>
      </c>
      <c r="C41" s="72" t="s">
        <v>369</v>
      </c>
      <c r="D41" s="72"/>
      <c r="E41" s="72"/>
      <c r="F41" s="72"/>
      <c r="G41" s="72"/>
    </row>
    <row r="42" customFormat="false" ht="30" hidden="false" customHeight="true" outlineLevel="0" collapsed="false">
      <c r="B42" s="73" t="s">
        <v>335</v>
      </c>
      <c r="C42" s="74" t="s">
        <v>370</v>
      </c>
      <c r="D42" s="74"/>
      <c r="E42" s="74"/>
      <c r="F42" s="74"/>
      <c r="G42" s="74"/>
    </row>
    <row r="43" customFormat="false" ht="60" hidden="false" customHeight="true" outlineLevel="0" collapsed="false">
      <c r="A43" s="75" t="n">
        <v>3</v>
      </c>
      <c r="B43" s="73" t="s">
        <v>337</v>
      </c>
      <c r="C43" s="4" t="s">
        <v>371</v>
      </c>
      <c r="D43" s="76"/>
      <c r="E43" s="73" t="n">
        <f aca="false">IF(D43&lt;&gt;"",1,0)</f>
        <v>0</v>
      </c>
      <c r="F43" s="77" t="s">
        <v>372</v>
      </c>
      <c r="G43" s="43" t="s">
        <v>373</v>
      </c>
    </row>
    <row r="44" customFormat="false" ht="60" hidden="false" customHeight="true" outlineLevel="0" collapsed="false">
      <c r="A44" s="75" t="n">
        <v>3</v>
      </c>
      <c r="B44" s="73" t="s">
        <v>337</v>
      </c>
      <c r="C44" s="4" t="s">
        <v>374</v>
      </c>
      <c r="D44" s="76"/>
      <c r="E44" s="73" t="n">
        <f aca="false">IF(D44&lt;&gt;"",1,0)</f>
        <v>0</v>
      </c>
      <c r="F44" s="77" t="s">
        <v>375</v>
      </c>
      <c r="G44" s="43" t="s">
        <v>376</v>
      </c>
    </row>
    <row r="45" customFormat="false" ht="60" hidden="false" customHeight="true" outlineLevel="0" collapsed="false">
      <c r="A45" s="75" t="n">
        <v>3</v>
      </c>
      <c r="B45" s="73" t="s">
        <v>337</v>
      </c>
      <c r="C45" s="4" t="s">
        <v>377</v>
      </c>
      <c r="D45" s="76"/>
      <c r="E45" s="73" t="n">
        <f aca="false">IF(D45&lt;&gt;"",1,0)</f>
        <v>0</v>
      </c>
      <c r="F45" s="77"/>
      <c r="G45" s="43" t="s">
        <v>378</v>
      </c>
    </row>
    <row r="46" customFormat="false" ht="22.35" hidden="false" customHeight="false" outlineLevel="0" collapsed="false">
      <c r="A46" s="75" t="n">
        <v>3</v>
      </c>
      <c r="B46" s="73" t="s">
        <v>337</v>
      </c>
      <c r="C46" s="4" t="s">
        <v>379</v>
      </c>
      <c r="D46" s="76"/>
      <c r="E46" s="73" t="n">
        <f aca="false">IF(D46&lt;&gt;"",1,0)</f>
        <v>0</v>
      </c>
      <c r="F46" s="77"/>
      <c r="G46" s="43" t="s">
        <v>380</v>
      </c>
    </row>
    <row r="47" customFormat="false" ht="15" hidden="false" customHeight="false" outlineLevel="0" collapsed="false">
      <c r="B47" s="73" t="s">
        <v>345</v>
      </c>
      <c r="C47" s="78" t="s">
        <v>346</v>
      </c>
    </row>
    <row r="48" customFormat="false" ht="15" hidden="false" customHeight="false" outlineLevel="0" collapsed="false">
      <c r="A48" s="75" t="n">
        <v>3</v>
      </c>
      <c r="B48" s="73" t="s">
        <v>347</v>
      </c>
      <c r="C48" s="4" t="s">
        <v>381</v>
      </c>
      <c r="D48" s="79"/>
      <c r="E48" s="73" t="n">
        <f aca="false">IF(D48="Y",1,0)</f>
        <v>0</v>
      </c>
      <c r="G48" s="80" t="s">
        <v>349</v>
      </c>
    </row>
    <row r="49" customFormat="false" ht="15" hidden="false" customHeight="false" outlineLevel="0" collapsed="false">
      <c r="A49" s="75" t="n">
        <v>3</v>
      </c>
      <c r="B49" s="73" t="s">
        <v>347</v>
      </c>
      <c r="C49" s="4" t="s">
        <v>382</v>
      </c>
      <c r="D49" s="79"/>
      <c r="E49" s="73" t="n">
        <f aca="false">IF(D49="Y",1,0)</f>
        <v>0</v>
      </c>
      <c r="G49" s="80" t="s">
        <v>349</v>
      </c>
    </row>
    <row r="50" customFormat="false" ht="15" hidden="false" customHeight="false" outlineLevel="0" collapsed="false">
      <c r="B50" s="73" t="s">
        <v>351</v>
      </c>
      <c r="C50" s="81" t="s">
        <v>383</v>
      </c>
      <c r="D50" s="81"/>
      <c r="E50" s="81"/>
      <c r="F50" s="81"/>
      <c r="G50" s="81"/>
    </row>
    <row r="52" customFormat="false" ht="15" hidden="false" customHeight="false" outlineLevel="0" collapsed="false">
      <c r="A52" s="70" t="n">
        <v>4</v>
      </c>
      <c r="B52" s="71" t="s">
        <v>333</v>
      </c>
      <c r="C52" s="72" t="s">
        <v>384</v>
      </c>
      <c r="D52" s="72"/>
      <c r="E52" s="72"/>
      <c r="F52" s="72"/>
      <c r="G52" s="72"/>
    </row>
    <row r="53" customFormat="false" ht="30" hidden="false" customHeight="true" outlineLevel="0" collapsed="false">
      <c r="B53" s="73" t="s">
        <v>335</v>
      </c>
      <c r="C53" s="74" t="s">
        <v>385</v>
      </c>
      <c r="D53" s="74"/>
      <c r="E53" s="74"/>
      <c r="F53" s="74"/>
      <c r="G53" s="74"/>
    </row>
    <row r="54" customFormat="false" ht="48" hidden="false" customHeight="true" outlineLevel="0" collapsed="false">
      <c r="A54" s="75" t="n">
        <v>4</v>
      </c>
      <c r="B54" s="73" t="s">
        <v>337</v>
      </c>
      <c r="C54" s="4" t="s">
        <v>386</v>
      </c>
      <c r="D54" s="76"/>
      <c r="E54" s="73" t="n">
        <f aca="false">IF(D54&lt;&gt;"",1,0)</f>
        <v>0</v>
      </c>
      <c r="F54" s="77"/>
      <c r="G54" s="43" t="s">
        <v>387</v>
      </c>
    </row>
    <row r="55" customFormat="false" ht="15" hidden="false" customHeight="false" outlineLevel="0" collapsed="false">
      <c r="A55" s="75" t="n">
        <v>4</v>
      </c>
      <c r="B55" s="73" t="s">
        <v>337</v>
      </c>
      <c r="C55" s="4" t="s">
        <v>388</v>
      </c>
      <c r="D55" s="76"/>
      <c r="E55" s="73" t="n">
        <f aca="false">IF(D55&lt;&gt;"",1,0)</f>
        <v>0</v>
      </c>
      <c r="F55" s="77"/>
      <c r="G55" s="43" t="s">
        <v>389</v>
      </c>
    </row>
    <row r="56" customFormat="false" ht="15" hidden="false" customHeight="false" outlineLevel="0" collapsed="false">
      <c r="B56" s="73" t="s">
        <v>345</v>
      </c>
      <c r="C56" s="78" t="s">
        <v>346</v>
      </c>
    </row>
    <row r="57" customFormat="false" ht="15" hidden="false" customHeight="false" outlineLevel="0" collapsed="false">
      <c r="A57" s="75" t="n">
        <v>4</v>
      </c>
      <c r="B57" s="73" t="s">
        <v>347</v>
      </c>
      <c r="C57" s="4" t="s">
        <v>390</v>
      </c>
      <c r="D57" s="79"/>
      <c r="E57" s="73" t="n">
        <f aca="false">IF(D57="Y",1,0)</f>
        <v>0</v>
      </c>
      <c r="G57" s="80" t="s">
        <v>349</v>
      </c>
    </row>
    <row r="58" customFormat="false" ht="15" hidden="false" customHeight="false" outlineLevel="0" collapsed="false">
      <c r="A58" s="75" t="n">
        <v>4</v>
      </c>
      <c r="B58" s="73" t="s">
        <v>347</v>
      </c>
      <c r="C58" s="4" t="s">
        <v>391</v>
      </c>
      <c r="D58" s="79"/>
      <c r="E58" s="73" t="n">
        <f aca="false">IF(D58="Y",1,0)</f>
        <v>0</v>
      </c>
      <c r="G58" s="80" t="s">
        <v>349</v>
      </c>
    </row>
    <row r="59" customFormat="false" ht="15" hidden="false" customHeight="false" outlineLevel="0" collapsed="false">
      <c r="A59" s="75" t="n">
        <v>4</v>
      </c>
      <c r="B59" s="73" t="s">
        <v>347</v>
      </c>
      <c r="C59" s="4" t="s">
        <v>392</v>
      </c>
      <c r="D59" s="79"/>
      <c r="E59" s="73" t="n">
        <f aca="false">IF(D59="Y",1,0)</f>
        <v>0</v>
      </c>
      <c r="G59" s="80" t="s">
        <v>349</v>
      </c>
    </row>
    <row r="60" customFormat="false" ht="15" hidden="false" customHeight="false" outlineLevel="0" collapsed="false">
      <c r="A60" s="75" t="n">
        <v>4</v>
      </c>
      <c r="B60" s="73" t="s">
        <v>347</v>
      </c>
      <c r="C60" s="4" t="s">
        <v>393</v>
      </c>
      <c r="D60" s="79"/>
      <c r="E60" s="73" t="n">
        <f aca="false">IF(D60="Y",1,0)</f>
        <v>0</v>
      </c>
      <c r="G60" s="80" t="s">
        <v>349</v>
      </c>
    </row>
    <row r="61" customFormat="false" ht="15" hidden="false" customHeight="false" outlineLevel="0" collapsed="false">
      <c r="A61" s="75" t="n">
        <v>4</v>
      </c>
      <c r="B61" s="73" t="s">
        <v>347</v>
      </c>
      <c r="C61" s="4" t="s">
        <v>394</v>
      </c>
      <c r="D61" s="79"/>
      <c r="E61" s="73" t="n">
        <f aca="false">IF(D61="Y",1,0)</f>
        <v>0</v>
      </c>
      <c r="G61" s="80" t="s">
        <v>349</v>
      </c>
    </row>
    <row r="62" customFormat="false" ht="15" hidden="false" customHeight="false" outlineLevel="0" collapsed="false">
      <c r="B62" s="73" t="s">
        <v>351</v>
      </c>
      <c r="C62" s="81" t="s">
        <v>395</v>
      </c>
      <c r="D62" s="81"/>
      <c r="E62" s="81"/>
      <c r="F62" s="81"/>
      <c r="G62" s="81"/>
    </row>
    <row r="64" customFormat="false" ht="15" hidden="false" customHeight="false" outlineLevel="0" collapsed="false">
      <c r="A64" s="70" t="n">
        <v>5</v>
      </c>
      <c r="B64" s="71" t="s">
        <v>333</v>
      </c>
      <c r="C64" s="72" t="s">
        <v>396</v>
      </c>
      <c r="D64" s="72"/>
      <c r="E64" s="72"/>
      <c r="F64" s="72"/>
      <c r="G64" s="72"/>
    </row>
    <row r="65" customFormat="false" ht="30" hidden="false" customHeight="true" outlineLevel="0" collapsed="false">
      <c r="B65" s="73" t="s">
        <v>335</v>
      </c>
      <c r="C65" s="74" t="s">
        <v>397</v>
      </c>
      <c r="D65" s="74"/>
      <c r="E65" s="74"/>
      <c r="F65" s="74"/>
      <c r="G65" s="74"/>
    </row>
    <row r="66" customFormat="false" ht="15" hidden="false" customHeight="false" outlineLevel="0" collapsed="false">
      <c r="A66" s="75" t="n">
        <v>5</v>
      </c>
      <c r="B66" s="73" t="s">
        <v>337</v>
      </c>
      <c r="C66" s="4" t="s">
        <v>398</v>
      </c>
      <c r="D66" s="76"/>
      <c r="E66" s="73" t="n">
        <f aca="false">IF(D66&lt;&gt;"",1,0)</f>
        <v>0</v>
      </c>
      <c r="F66" s="77"/>
      <c r="G66" s="43"/>
    </row>
    <row r="67" customFormat="false" ht="22.35" hidden="false" customHeight="false" outlineLevel="0" collapsed="false">
      <c r="A67" s="75" t="n">
        <v>5</v>
      </c>
      <c r="B67" s="73" t="s">
        <v>337</v>
      </c>
      <c r="C67" s="4" t="s">
        <v>399</v>
      </c>
      <c r="D67" s="76"/>
      <c r="E67" s="73" t="n">
        <f aca="false">IF(D67&lt;&gt;"",1,0)</f>
        <v>0</v>
      </c>
      <c r="F67" s="77"/>
      <c r="G67" s="43" t="s">
        <v>400</v>
      </c>
    </row>
    <row r="68" customFormat="false" ht="15" hidden="false" customHeight="false" outlineLevel="0" collapsed="false">
      <c r="A68" s="75" t="n">
        <v>5</v>
      </c>
      <c r="B68" s="73" t="s">
        <v>337</v>
      </c>
      <c r="C68" s="4" t="s">
        <v>401</v>
      </c>
      <c r="D68" s="76"/>
      <c r="E68" s="73" t="n">
        <f aca="false">IF(D68&lt;&gt;"",1,0)</f>
        <v>0</v>
      </c>
      <c r="F68" s="77"/>
      <c r="G68" s="43" t="s">
        <v>402</v>
      </c>
    </row>
    <row r="69" customFormat="false" ht="15" hidden="false" customHeight="false" outlineLevel="0" collapsed="false">
      <c r="A69" s="75" t="n">
        <v>5</v>
      </c>
      <c r="B69" s="73" t="s">
        <v>337</v>
      </c>
      <c r="C69" s="4" t="s">
        <v>403</v>
      </c>
      <c r="D69" s="76"/>
      <c r="E69" s="73" t="n">
        <f aca="false">IF(D69&lt;&gt;"",1,0)</f>
        <v>0</v>
      </c>
      <c r="F69" s="77"/>
      <c r="G69" s="43"/>
    </row>
    <row r="70" customFormat="false" ht="15" hidden="false" customHeight="false" outlineLevel="0" collapsed="false">
      <c r="B70" s="73" t="s">
        <v>345</v>
      </c>
      <c r="C70" s="78" t="s">
        <v>346</v>
      </c>
    </row>
    <row r="71" customFormat="false" ht="15" hidden="false" customHeight="false" outlineLevel="0" collapsed="false">
      <c r="A71" s="75" t="n">
        <v>5</v>
      </c>
      <c r="B71" s="73" t="s">
        <v>347</v>
      </c>
      <c r="C71" s="4" t="s">
        <v>404</v>
      </c>
      <c r="D71" s="79"/>
      <c r="E71" s="73" t="n">
        <f aca="false">IF(D71="Y",1,0)</f>
        <v>0</v>
      </c>
      <c r="G71" s="80" t="s">
        <v>349</v>
      </c>
    </row>
    <row r="72" customFormat="false" ht="15" hidden="false" customHeight="false" outlineLevel="0" collapsed="false">
      <c r="B72" s="73" t="s">
        <v>351</v>
      </c>
      <c r="C72" s="81" t="s">
        <v>405</v>
      </c>
      <c r="D72" s="81"/>
      <c r="E72" s="81"/>
      <c r="F72" s="81"/>
      <c r="G72" s="81"/>
    </row>
    <row r="74" customFormat="false" ht="15" hidden="false" customHeight="false" outlineLevel="0" collapsed="false">
      <c r="A74" s="70" t="n">
        <v>6</v>
      </c>
      <c r="B74" s="71" t="s">
        <v>333</v>
      </c>
      <c r="C74" s="72" t="s">
        <v>406</v>
      </c>
      <c r="D74" s="72"/>
      <c r="E74" s="72"/>
      <c r="F74" s="72"/>
      <c r="G74" s="72"/>
    </row>
    <row r="75" customFormat="false" ht="30" hidden="false" customHeight="true" outlineLevel="0" collapsed="false">
      <c r="B75" s="73" t="s">
        <v>335</v>
      </c>
      <c r="C75" s="74" t="s">
        <v>407</v>
      </c>
      <c r="D75" s="74"/>
      <c r="E75" s="74"/>
      <c r="F75" s="74"/>
      <c r="G75" s="74"/>
    </row>
    <row r="76" customFormat="false" ht="22.35" hidden="false" customHeight="false" outlineLevel="0" collapsed="false">
      <c r="A76" s="75" t="n">
        <v>6</v>
      </c>
      <c r="B76" s="73" t="s">
        <v>337</v>
      </c>
      <c r="C76" s="4" t="s">
        <v>408</v>
      </c>
      <c r="D76" s="76"/>
      <c r="E76" s="73" t="n">
        <f aca="false">IF(D76&lt;&gt;"",1,0)</f>
        <v>0</v>
      </c>
      <c r="F76" s="77"/>
      <c r="G76" s="43" t="s">
        <v>409</v>
      </c>
    </row>
    <row r="77" customFormat="false" ht="60" hidden="false" customHeight="true" outlineLevel="0" collapsed="false">
      <c r="A77" s="75" t="n">
        <v>6</v>
      </c>
      <c r="B77" s="73" t="s">
        <v>337</v>
      </c>
      <c r="C77" s="4" t="s">
        <v>410</v>
      </c>
      <c r="D77" s="76"/>
      <c r="E77" s="73" t="n">
        <f aca="false">IF(D77&lt;&gt;"",1,0)</f>
        <v>0</v>
      </c>
      <c r="F77" s="77"/>
      <c r="G77" s="43" t="s">
        <v>411</v>
      </c>
    </row>
    <row r="78" customFormat="false" ht="15" hidden="false" customHeight="false" outlineLevel="0" collapsed="false">
      <c r="B78" s="73" t="s">
        <v>345</v>
      </c>
      <c r="C78" s="78" t="s">
        <v>346</v>
      </c>
    </row>
    <row r="79" customFormat="false" ht="15" hidden="false" customHeight="false" outlineLevel="0" collapsed="false">
      <c r="A79" s="75" t="n">
        <v>6</v>
      </c>
      <c r="B79" s="73" t="s">
        <v>347</v>
      </c>
      <c r="C79" s="4" t="s">
        <v>412</v>
      </c>
      <c r="D79" s="79"/>
      <c r="E79" s="73" t="n">
        <f aca="false">IF(D79="Y",1,0)</f>
        <v>0</v>
      </c>
      <c r="G79" s="80" t="s">
        <v>349</v>
      </c>
    </row>
    <row r="80" customFormat="false" ht="15" hidden="false" customHeight="false" outlineLevel="0" collapsed="false">
      <c r="A80" s="75" t="n">
        <v>6</v>
      </c>
      <c r="B80" s="73" t="s">
        <v>347</v>
      </c>
      <c r="C80" s="4" t="s">
        <v>413</v>
      </c>
      <c r="D80" s="79"/>
      <c r="E80" s="73" t="n">
        <f aca="false">IF(D80="Y",1,0)</f>
        <v>0</v>
      </c>
      <c r="G80" s="80" t="s">
        <v>349</v>
      </c>
    </row>
    <row r="81" customFormat="false" ht="15" hidden="false" customHeight="false" outlineLevel="0" collapsed="false">
      <c r="A81" s="75" t="n">
        <v>6</v>
      </c>
      <c r="B81" s="73" t="s">
        <v>347</v>
      </c>
      <c r="C81" s="4" t="s">
        <v>414</v>
      </c>
      <c r="D81" s="79"/>
      <c r="E81" s="73" t="n">
        <f aca="false">IF(D81="Y",1,0)</f>
        <v>0</v>
      </c>
      <c r="G81" s="80" t="s">
        <v>349</v>
      </c>
    </row>
    <row r="82" customFormat="false" ht="15" hidden="false" customHeight="false" outlineLevel="0" collapsed="false">
      <c r="B82" s="73" t="s">
        <v>351</v>
      </c>
      <c r="C82" s="81" t="s">
        <v>415</v>
      </c>
      <c r="D82" s="81"/>
      <c r="E82" s="81"/>
      <c r="F82" s="81"/>
      <c r="G82" s="81"/>
    </row>
  </sheetData>
  <mergeCells count="21">
    <mergeCell ref="C2:G2"/>
    <mergeCell ref="C3:G3"/>
    <mergeCell ref="F13:G15"/>
    <mergeCell ref="C19:G19"/>
    <mergeCell ref="C20:G20"/>
    <mergeCell ref="C27:G27"/>
    <mergeCell ref="C29:G29"/>
    <mergeCell ref="C30:G30"/>
    <mergeCell ref="C39:G39"/>
    <mergeCell ref="C41:G41"/>
    <mergeCell ref="C42:G42"/>
    <mergeCell ref="C50:G50"/>
    <mergeCell ref="C52:G52"/>
    <mergeCell ref="C53:G53"/>
    <mergeCell ref="C62:G62"/>
    <mergeCell ref="C64:G64"/>
    <mergeCell ref="C65:G65"/>
    <mergeCell ref="C72:G72"/>
    <mergeCell ref="C74:G74"/>
    <mergeCell ref="C75:G75"/>
    <mergeCell ref="C82:G82"/>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8">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3" type="list">
      <formula1>Lists!$A$2:$A$6</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26" type="list">
      <formula1>Lists!$U$2:$U$3</formula1>
      <formula2>0</formula2>
    </dataValidation>
    <dataValidation allowBlank="true" errorStyle="stop" operator="between" showDropDown="false" showErrorMessage="false" showInputMessage="false" sqref="D38" type="list">
      <formula1>Lists!$U$2:$U$3</formula1>
      <formula2>0</formula2>
    </dataValidation>
    <dataValidation allowBlank="true" errorStyle="stop" operator="between" showDropDown="false" showErrorMessage="false" showInputMessage="false" sqref="D46" type="list">
      <formula1>Lists!$B$2:$B$5</formula1>
      <formula2>0</formula2>
    </dataValidation>
    <dataValidation allowBlank="true" errorStyle="stop" operator="between" showDropDown="false" showErrorMessage="false" showInputMessage="false" sqref="D48" type="list">
      <formula1>Lists!$U$2:$U$3</formula1>
      <formula2>0</formula2>
    </dataValidation>
    <dataValidation allowBlank="true" errorStyle="stop" operator="between" showDropDown="false" showErrorMessage="false" showInputMessage="false" sqref="D49" type="list">
      <formula1>Lists!$U$2:$U$3</formula1>
      <formula2>0</formula2>
    </dataValidation>
    <dataValidation allowBlank="true" errorStyle="stop" operator="between" showDropDown="false" showErrorMessage="false" showInputMessage="false" sqref="D57" type="list">
      <formula1>Lists!$U$2:$U$3</formula1>
      <formula2>0</formula2>
    </dataValidation>
    <dataValidation allowBlank="true" errorStyle="stop" operator="between" showDropDown="false" showErrorMessage="false" showInputMessage="false" sqref="D58" type="list">
      <formula1>Lists!$U$2:$U$3</formula1>
      <formula2>0</formula2>
    </dataValidation>
    <dataValidation allowBlank="true" errorStyle="stop" operator="between" showDropDown="false" showErrorMessage="false" showInputMessage="false" sqref="D59" type="list">
      <formula1>Lists!$U$2:$U$3</formula1>
      <formula2>0</formula2>
    </dataValidation>
    <dataValidation allowBlank="true" errorStyle="stop" operator="between" showDropDown="false" showErrorMessage="false" showInputMessage="false" sqref="D60" type="list">
      <formula1>Lists!$U$2:$U$3</formula1>
      <formula2>0</formula2>
    </dataValidation>
    <dataValidation allowBlank="true" errorStyle="stop" operator="between" showDropDown="false" showErrorMessage="false" showInputMessage="false" sqref="D61" type="list">
      <formula1>Lists!$U$2:$U$3</formula1>
      <formula2>0</formula2>
    </dataValidation>
    <dataValidation allowBlank="true" errorStyle="stop" operator="between" showDropDown="false" showErrorMessage="false" showInputMessage="false" sqref="D71" type="list">
      <formula1>Lists!$U$2:$U$3</formula1>
      <formula2>0</formula2>
    </dataValidation>
    <dataValidation allowBlank="true" errorStyle="stop" operator="between" showDropDown="false" showErrorMessage="false" showInputMessage="false" sqref="D76" type="list">
      <formula1>Lists!$C$2:$C$4</formula1>
      <formula2>0</formula2>
    </dataValidation>
    <dataValidation allowBlank="true" errorStyle="stop" operator="between" showDropDown="false" showErrorMessage="false" showInputMessage="false" sqref="D79" type="list">
      <formula1>Lists!$U$2:$U$3</formula1>
      <formula2>0</formula2>
    </dataValidation>
    <dataValidation allowBlank="true" errorStyle="stop" operator="between" showDropDown="false" showErrorMessage="false" showInputMessage="false" sqref="D80" type="list">
      <formula1>Lists!$U$2:$U$3</formula1>
      <formula2>0</formula2>
    </dataValidation>
    <dataValidation allowBlank="true" errorStyle="stop" operator="between" showDropDown="false" showErrorMessage="false" showInputMessage="false" sqref="D81"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A1:I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46</v>
      </c>
      <c r="D1" s="64" t="s">
        <v>312</v>
      </c>
    </row>
    <row r="2" customFormat="false" ht="15" hidden="false" customHeight="false" outlineLevel="0" collapsed="false">
      <c r="C2" s="65" t="s">
        <v>416</v>
      </c>
      <c r="D2" s="65"/>
      <c r="E2" s="65"/>
      <c r="F2" s="65"/>
      <c r="G2" s="65"/>
    </row>
    <row r="3" customFormat="false" ht="78" hidden="false" customHeight="true" outlineLevel="0" collapsed="false">
      <c r="C3" s="66" t="s">
        <v>417</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3</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3</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4</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3</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70" t="n">
        <v>1</v>
      </c>
      <c r="B19" s="71" t="s">
        <v>333</v>
      </c>
      <c r="C19" s="72" t="s">
        <v>418</v>
      </c>
      <c r="D19" s="72"/>
      <c r="E19" s="72"/>
      <c r="F19" s="72"/>
      <c r="G19" s="72"/>
    </row>
    <row r="20" customFormat="false" ht="30" hidden="false" customHeight="true" outlineLevel="0" collapsed="false">
      <c r="B20" s="73" t="s">
        <v>335</v>
      </c>
      <c r="C20" s="74" t="s">
        <v>419</v>
      </c>
      <c r="D20" s="74"/>
      <c r="E20" s="74"/>
      <c r="F20" s="74"/>
      <c r="G20" s="74"/>
    </row>
    <row r="21" customFormat="false" ht="15" hidden="false" customHeight="false" outlineLevel="0" collapsed="false">
      <c r="A21" s="75" t="n">
        <v>1</v>
      </c>
      <c r="B21" s="73" t="s">
        <v>337</v>
      </c>
      <c r="C21" s="4" t="s">
        <v>420</v>
      </c>
      <c r="D21" s="76"/>
      <c r="E21" s="73" t="n">
        <f aca="false">IF(D21&lt;&gt;"",1,0)</f>
        <v>0</v>
      </c>
      <c r="F21" s="77" t="n">
        <v>2</v>
      </c>
      <c r="G21" s="43" t="s">
        <v>339</v>
      </c>
    </row>
    <row r="22" customFormat="false" ht="48" hidden="false" customHeight="true" outlineLevel="0" collapsed="false">
      <c r="A22" s="75" t="n">
        <v>1</v>
      </c>
      <c r="B22" s="73" t="s">
        <v>337</v>
      </c>
      <c r="C22" s="4" t="s">
        <v>421</v>
      </c>
      <c r="D22" s="76"/>
      <c r="E22" s="73" t="n">
        <f aca="false">IF(D22&lt;&gt;"",1,0)</f>
        <v>0</v>
      </c>
      <c r="F22" s="77"/>
      <c r="G22" s="43" t="s">
        <v>422</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423</v>
      </c>
      <c r="D24" s="79"/>
      <c r="E24" s="73" t="n">
        <f aca="false">IF(D24="Y",1,0)</f>
        <v>0</v>
      </c>
      <c r="G24" s="80" t="s">
        <v>349</v>
      </c>
    </row>
    <row r="25" customFormat="false" ht="15" hidden="false" customHeight="false" outlineLevel="0" collapsed="false">
      <c r="A25" s="75" t="n">
        <v>1</v>
      </c>
      <c r="B25" s="73" t="s">
        <v>347</v>
      </c>
      <c r="C25" s="4" t="s">
        <v>424</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70" t="n">
        <v>2</v>
      </c>
      <c r="B28" s="71" t="s">
        <v>333</v>
      </c>
      <c r="C28" s="72" t="s">
        <v>426</v>
      </c>
      <c r="D28" s="72"/>
      <c r="E28" s="72"/>
      <c r="F28" s="72"/>
      <c r="G28" s="72"/>
    </row>
    <row r="29" customFormat="false" ht="30" hidden="false" customHeight="true" outlineLevel="0" collapsed="false">
      <c r="B29" s="73" t="s">
        <v>335</v>
      </c>
      <c r="C29" s="74" t="s">
        <v>427</v>
      </c>
      <c r="D29" s="74"/>
      <c r="E29" s="74"/>
      <c r="F29" s="74"/>
      <c r="G29" s="74"/>
    </row>
    <row r="30" customFormat="false" ht="15" hidden="false" customHeight="false" outlineLevel="0" collapsed="false">
      <c r="A30" s="75" t="n">
        <v>2</v>
      </c>
      <c r="B30" s="73" t="s">
        <v>337</v>
      </c>
      <c r="C30" s="4" t="s">
        <v>428</v>
      </c>
      <c r="D30" s="76"/>
      <c r="E30" s="73" t="n">
        <f aca="false">IF(D30&lt;&gt;"",1,0)</f>
        <v>0</v>
      </c>
      <c r="F30" s="77" t="n">
        <v>4000</v>
      </c>
      <c r="G30" s="43" t="s">
        <v>429</v>
      </c>
    </row>
    <row r="31" customFormat="false" ht="15" hidden="false" customHeight="false" outlineLevel="0" collapsed="false">
      <c r="A31" s="75" t="n">
        <v>2</v>
      </c>
      <c r="B31" s="73" t="s">
        <v>337</v>
      </c>
      <c r="C31" s="4" t="s">
        <v>430</v>
      </c>
      <c r="D31" s="76"/>
      <c r="E31" s="73" t="n">
        <f aca="false">IF(D31&lt;&gt;"",1,0)</f>
        <v>0</v>
      </c>
      <c r="F31" s="77" t="n">
        <v>90</v>
      </c>
      <c r="G31" s="43"/>
    </row>
    <row r="32" customFormat="false" ht="15" hidden="false" customHeight="false" outlineLevel="0" collapsed="false">
      <c r="A32" s="75" t="n">
        <v>2</v>
      </c>
      <c r="B32" s="73" t="s">
        <v>337</v>
      </c>
      <c r="C32" s="4" t="s">
        <v>431</v>
      </c>
      <c r="D32" s="76"/>
      <c r="E32" s="73" t="n">
        <f aca="false">IF(D32&lt;&gt;"",1,0)</f>
        <v>0</v>
      </c>
      <c r="F32" s="77" t="n">
        <v>3</v>
      </c>
      <c r="G32" s="43" t="s">
        <v>432</v>
      </c>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433</v>
      </c>
      <c r="D34" s="79"/>
      <c r="E34" s="73" t="n">
        <f aca="false">IF(D34="Y",1,0)</f>
        <v>0</v>
      </c>
      <c r="G34" s="80" t="s">
        <v>349</v>
      </c>
    </row>
    <row r="35" customFormat="false" ht="15" hidden="false" customHeight="false" outlineLevel="0" collapsed="false">
      <c r="B35" s="73" t="s">
        <v>351</v>
      </c>
      <c r="C35" s="81" t="s">
        <v>434</v>
      </c>
      <c r="D35" s="81"/>
      <c r="E35" s="81"/>
      <c r="F35" s="81"/>
      <c r="G35" s="81"/>
    </row>
    <row r="37" customFormat="false" ht="15" hidden="false" customHeight="false" outlineLevel="0" collapsed="false">
      <c r="A37" s="70" t="n">
        <v>3</v>
      </c>
      <c r="B37" s="71" t="s">
        <v>333</v>
      </c>
      <c r="C37" s="72" t="s">
        <v>435</v>
      </c>
      <c r="D37" s="72"/>
      <c r="E37" s="72"/>
      <c r="F37" s="72"/>
      <c r="G37" s="72"/>
    </row>
    <row r="38" customFormat="false" ht="30" hidden="false" customHeight="true" outlineLevel="0" collapsed="false">
      <c r="B38" s="73" t="s">
        <v>335</v>
      </c>
      <c r="C38" s="74" t="s">
        <v>436</v>
      </c>
      <c r="D38" s="74"/>
      <c r="E38" s="74"/>
      <c r="F38" s="74"/>
      <c r="G38" s="74"/>
    </row>
    <row r="39" customFormat="false" ht="15" hidden="false" customHeight="false" outlineLevel="0" collapsed="false">
      <c r="A39" s="75" t="n">
        <v>3</v>
      </c>
      <c r="B39" s="73" t="s">
        <v>337</v>
      </c>
      <c r="C39" s="4" t="s">
        <v>437</v>
      </c>
      <c r="D39" s="76"/>
      <c r="E39" s="73" t="n">
        <f aca="false">IF(D39&lt;&gt;"",1,0)</f>
        <v>0</v>
      </c>
      <c r="F39" s="77"/>
      <c r="G39" s="43"/>
    </row>
    <row r="40" customFormat="false" ht="15" hidden="false" customHeight="false" outlineLevel="0" collapsed="false">
      <c r="A40" s="75" t="n">
        <v>3</v>
      </c>
      <c r="B40" s="73" t="s">
        <v>337</v>
      </c>
      <c r="C40" s="4" t="s">
        <v>438</v>
      </c>
      <c r="D40" s="76"/>
      <c r="E40" s="73" t="n">
        <f aca="false">IF(D40&lt;&gt;"",1,0)</f>
        <v>0</v>
      </c>
      <c r="F40" s="77"/>
      <c r="G40" s="43" t="s">
        <v>439</v>
      </c>
    </row>
    <row r="41" customFormat="false" ht="60" hidden="false" customHeight="true" outlineLevel="0" collapsed="false">
      <c r="A41" s="75" t="n">
        <v>3</v>
      </c>
      <c r="B41" s="73" t="s">
        <v>337</v>
      </c>
      <c r="C41" s="4" t="s">
        <v>440</v>
      </c>
      <c r="D41" s="76"/>
      <c r="E41" s="73" t="n">
        <f aca="false">IF(D41&lt;&gt;"",1,0)</f>
        <v>0</v>
      </c>
      <c r="F41" s="77"/>
      <c r="G41" s="43" t="s">
        <v>441</v>
      </c>
    </row>
    <row r="42" customFormat="false" ht="15" hidden="false" customHeight="false" outlineLevel="0" collapsed="false">
      <c r="B42" s="73" t="s">
        <v>345</v>
      </c>
      <c r="C42" s="78" t="s">
        <v>346</v>
      </c>
    </row>
    <row r="43" customFormat="false" ht="15" hidden="false" customHeight="false" outlineLevel="0" collapsed="false">
      <c r="A43" s="75" t="n">
        <v>3</v>
      </c>
      <c r="B43" s="73" t="s">
        <v>347</v>
      </c>
      <c r="C43" s="4" t="s">
        <v>442</v>
      </c>
      <c r="D43" s="79"/>
      <c r="E43" s="73" t="n">
        <f aca="false">IF(D43="Y",1,0)</f>
        <v>0</v>
      </c>
      <c r="G43" s="80" t="s">
        <v>349</v>
      </c>
    </row>
    <row r="44" customFormat="false" ht="15" hidden="false" customHeight="false" outlineLevel="0" collapsed="false">
      <c r="A44" s="75" t="n">
        <v>3</v>
      </c>
      <c r="B44" s="73" t="s">
        <v>347</v>
      </c>
      <c r="C44" s="4" t="s">
        <v>443</v>
      </c>
      <c r="D44" s="79"/>
      <c r="E44" s="73" t="n">
        <f aca="false">IF(D44="Y",1,0)</f>
        <v>0</v>
      </c>
      <c r="G44" s="80" t="s">
        <v>349</v>
      </c>
    </row>
    <row r="45" customFormat="false" ht="15" hidden="false" customHeight="false" outlineLevel="0" collapsed="false">
      <c r="A45" s="75" t="n">
        <v>3</v>
      </c>
      <c r="B45" s="73" t="s">
        <v>347</v>
      </c>
      <c r="C45" s="4" t="s">
        <v>444</v>
      </c>
      <c r="D45" s="79"/>
      <c r="E45" s="73" t="n">
        <f aca="false">IF(D45="Y",1,0)</f>
        <v>0</v>
      </c>
      <c r="G45" s="80" t="s">
        <v>349</v>
      </c>
    </row>
    <row r="46" customFormat="false" ht="15" hidden="false" customHeight="false" outlineLevel="0" collapsed="false">
      <c r="B46" s="73" t="s">
        <v>351</v>
      </c>
      <c r="C46" s="81" t="s">
        <v>445</v>
      </c>
      <c r="D46" s="81"/>
      <c r="E46" s="81"/>
      <c r="F46" s="81"/>
      <c r="G46" s="81"/>
    </row>
    <row r="48" customFormat="false" ht="15" hidden="false" customHeight="false" outlineLevel="0" collapsed="false">
      <c r="A48" s="70" t="n">
        <v>4</v>
      </c>
      <c r="B48" s="71" t="s">
        <v>333</v>
      </c>
      <c r="C48" s="72" t="s">
        <v>446</v>
      </c>
      <c r="D48" s="72"/>
      <c r="E48" s="72"/>
      <c r="F48" s="72"/>
      <c r="G48" s="72"/>
    </row>
    <row r="49" customFormat="false" ht="30" hidden="false" customHeight="true" outlineLevel="0" collapsed="false">
      <c r="B49" s="73" t="s">
        <v>335</v>
      </c>
      <c r="C49" s="74" t="s">
        <v>447</v>
      </c>
      <c r="D49" s="74"/>
      <c r="E49" s="74"/>
      <c r="F49" s="74"/>
      <c r="G49" s="74"/>
    </row>
    <row r="50" customFormat="false" ht="60" hidden="false" customHeight="true" outlineLevel="0" collapsed="false">
      <c r="A50" s="75" t="n">
        <v>4</v>
      </c>
      <c r="B50" s="73" t="s">
        <v>337</v>
      </c>
      <c r="C50" s="4" t="s">
        <v>448</v>
      </c>
      <c r="D50" s="76"/>
      <c r="E50" s="73" t="n">
        <f aca="false">IF(D50&lt;&gt;"",1,0)</f>
        <v>0</v>
      </c>
      <c r="F50" s="77"/>
      <c r="G50" s="43" t="s">
        <v>449</v>
      </c>
    </row>
    <row r="51" customFormat="false" ht="15" hidden="false" customHeight="false" outlineLevel="0" collapsed="false">
      <c r="A51" s="75" t="n">
        <v>4</v>
      </c>
      <c r="B51" s="73" t="s">
        <v>337</v>
      </c>
      <c r="C51" s="4" t="s">
        <v>450</v>
      </c>
      <c r="D51" s="76"/>
      <c r="E51" s="73" t="n">
        <f aca="false">IF(D51&lt;&gt;"",1,0)</f>
        <v>0</v>
      </c>
      <c r="F51" s="77"/>
      <c r="G51" s="43" t="s">
        <v>344</v>
      </c>
    </row>
    <row r="52" customFormat="false" ht="15" hidden="false" customHeight="false" outlineLevel="0" collapsed="false">
      <c r="B52" s="73" t="s">
        <v>345</v>
      </c>
      <c r="C52" s="78" t="s">
        <v>346</v>
      </c>
    </row>
    <row r="53" customFormat="false" ht="23.85" hidden="false" customHeight="false" outlineLevel="0" collapsed="false">
      <c r="A53" s="75" t="n">
        <v>4</v>
      </c>
      <c r="B53" s="73" t="s">
        <v>347</v>
      </c>
      <c r="C53" s="4" t="s">
        <v>451</v>
      </c>
      <c r="D53" s="79"/>
      <c r="E53" s="73" t="n">
        <f aca="false">IF(D53="Y",1,0)</f>
        <v>0</v>
      </c>
      <c r="G53" s="80" t="s">
        <v>349</v>
      </c>
    </row>
    <row r="54" customFormat="false" ht="15" hidden="false" customHeight="false" outlineLevel="0" collapsed="false">
      <c r="A54" s="75" t="n">
        <v>4</v>
      </c>
      <c r="B54" s="73" t="s">
        <v>347</v>
      </c>
      <c r="C54" s="4" t="s">
        <v>452</v>
      </c>
      <c r="D54" s="79"/>
      <c r="E54" s="73" t="n">
        <f aca="false">IF(D54="Y",1,0)</f>
        <v>0</v>
      </c>
      <c r="G54" s="80" t="s">
        <v>349</v>
      </c>
    </row>
    <row r="55" customFormat="false" ht="15" hidden="false" customHeight="false" outlineLevel="0" collapsed="false">
      <c r="A55" s="75" t="n">
        <v>4</v>
      </c>
      <c r="B55" s="73" t="s">
        <v>347</v>
      </c>
      <c r="C55" s="4" t="s">
        <v>453</v>
      </c>
      <c r="D55" s="79"/>
      <c r="E55" s="73" t="n">
        <f aca="false">IF(D55="Y",1,0)</f>
        <v>0</v>
      </c>
      <c r="G55" s="80" t="s">
        <v>349</v>
      </c>
    </row>
    <row r="56" customFormat="false" ht="15" hidden="false" customHeight="false" outlineLevel="0" collapsed="false">
      <c r="A56" s="75" t="n">
        <v>4</v>
      </c>
      <c r="B56" s="73" t="s">
        <v>347</v>
      </c>
      <c r="C56" s="4" t="s">
        <v>454</v>
      </c>
      <c r="D56" s="79"/>
      <c r="E56" s="73" t="n">
        <f aca="false">IF(D56="Y",1,0)</f>
        <v>0</v>
      </c>
      <c r="G56" s="80" t="s">
        <v>349</v>
      </c>
    </row>
    <row r="57" customFormat="false" ht="15" hidden="false" customHeight="false" outlineLevel="0" collapsed="false">
      <c r="B57" s="73" t="s">
        <v>351</v>
      </c>
      <c r="C57" s="81" t="s">
        <v>455</v>
      </c>
      <c r="D57" s="81"/>
      <c r="E57" s="81"/>
      <c r="F57" s="81"/>
      <c r="G57" s="81"/>
    </row>
    <row r="59" customFormat="false" ht="15" hidden="false" customHeight="false" outlineLevel="0" collapsed="false">
      <c r="A59" s="70" t="n">
        <v>5</v>
      </c>
      <c r="B59" s="71" t="s">
        <v>333</v>
      </c>
      <c r="C59" s="72" t="s">
        <v>456</v>
      </c>
      <c r="D59" s="72"/>
      <c r="E59" s="72"/>
      <c r="F59" s="72"/>
      <c r="G59" s="72"/>
    </row>
    <row r="60" customFormat="false" ht="30" hidden="false" customHeight="true" outlineLevel="0" collapsed="false">
      <c r="B60" s="73" t="s">
        <v>335</v>
      </c>
      <c r="C60" s="74" t="s">
        <v>457</v>
      </c>
      <c r="D60" s="74"/>
      <c r="E60" s="74"/>
      <c r="F60" s="74"/>
      <c r="G60" s="74"/>
    </row>
    <row r="61" customFormat="false" ht="15" hidden="false" customHeight="false" outlineLevel="0" collapsed="false">
      <c r="A61" s="75" t="n">
        <v>5</v>
      </c>
      <c r="B61" s="73" t="s">
        <v>337</v>
      </c>
      <c r="C61" s="4" t="s">
        <v>458</v>
      </c>
      <c r="D61" s="76"/>
      <c r="E61" s="73" t="n">
        <f aca="false">IF(D61&lt;&gt;"",1,0)</f>
        <v>0</v>
      </c>
      <c r="F61" s="77" t="n">
        <v>9</v>
      </c>
      <c r="G61" s="43" t="s">
        <v>459</v>
      </c>
    </row>
    <row r="62" customFormat="false" ht="15" hidden="false" customHeight="false" outlineLevel="0" collapsed="false">
      <c r="A62" s="75" t="n">
        <v>5</v>
      </c>
      <c r="B62" s="73" t="s">
        <v>337</v>
      </c>
      <c r="C62" s="4" t="s">
        <v>460</v>
      </c>
      <c r="D62" s="76"/>
      <c r="E62" s="73" t="n">
        <f aca="false">IF(D62&lt;&gt;"",1,0)</f>
        <v>0</v>
      </c>
      <c r="F62" s="77" t="n">
        <v>80</v>
      </c>
      <c r="G62" s="43"/>
    </row>
    <row r="63" customFormat="false" ht="22.35" hidden="false" customHeight="false" outlineLevel="0" collapsed="false">
      <c r="A63" s="75" t="n">
        <v>5</v>
      </c>
      <c r="B63" s="73" t="s">
        <v>337</v>
      </c>
      <c r="C63" s="4" t="s">
        <v>461</v>
      </c>
      <c r="D63" s="84" t="str">
        <f aca="false">IF(COUNTA(C65:D72)&gt;0,"logged","")</f>
        <v/>
      </c>
      <c r="E63" s="73" t="n">
        <f aca="false">IF(COUNTA(C65:D72)&gt;0,1,0)</f>
        <v>0</v>
      </c>
      <c r="F63" s="7" t="s">
        <v>462</v>
      </c>
      <c r="G63" s="43" t="s">
        <v>463</v>
      </c>
    </row>
    <row r="64" customFormat="false" ht="15" hidden="false" customHeight="false" outlineLevel="0" collapsed="false">
      <c r="B64" s="73" t="s">
        <v>464</v>
      </c>
      <c r="C64" s="85" t="s">
        <v>240</v>
      </c>
      <c r="D64" s="85" t="s">
        <v>196</v>
      </c>
    </row>
    <row r="65" customFormat="false" ht="15" hidden="false" customHeight="false" outlineLevel="0" collapsed="false">
      <c r="B65" s="73" t="s">
        <v>464</v>
      </c>
      <c r="C65" s="6"/>
      <c r="D65" s="6"/>
    </row>
    <row r="66" customFormat="false" ht="15" hidden="false" customHeight="false" outlineLevel="0" collapsed="false">
      <c r="B66" s="73" t="s">
        <v>464</v>
      </c>
      <c r="C66" s="6"/>
      <c r="D66" s="6"/>
    </row>
    <row r="67" customFormat="false" ht="15" hidden="false" customHeight="false" outlineLevel="0" collapsed="false">
      <c r="B67" s="73" t="s">
        <v>464</v>
      </c>
      <c r="C67" s="6"/>
      <c r="D67" s="6"/>
    </row>
    <row r="68" customFormat="false" ht="15" hidden="false" customHeight="false" outlineLevel="0" collapsed="false">
      <c r="B68" s="73" t="s">
        <v>464</v>
      </c>
      <c r="C68" s="6"/>
      <c r="D68" s="6"/>
    </row>
    <row r="69" customFormat="false" ht="15" hidden="false" customHeight="false" outlineLevel="0" collapsed="false">
      <c r="B69" s="73" t="s">
        <v>464</v>
      </c>
      <c r="C69" s="6"/>
      <c r="D69" s="6"/>
    </row>
    <row r="70" customFormat="false" ht="15" hidden="false" customHeight="false" outlineLevel="0" collapsed="false">
      <c r="B70" s="73" t="s">
        <v>464</v>
      </c>
      <c r="C70" s="6"/>
      <c r="D70" s="6"/>
    </row>
    <row r="71" customFormat="false" ht="15" hidden="false" customHeight="false" outlineLevel="0" collapsed="false">
      <c r="B71" s="73" t="s">
        <v>464</v>
      </c>
      <c r="C71" s="6"/>
      <c r="D71" s="6"/>
    </row>
    <row r="72" customFormat="false" ht="15" hidden="false" customHeight="false" outlineLevel="0" collapsed="false">
      <c r="B72" s="73" t="s">
        <v>464</v>
      </c>
      <c r="C72" s="6"/>
      <c r="D72" s="6"/>
    </row>
    <row r="73" customFormat="false" ht="15" hidden="false" customHeight="false" outlineLevel="0" collapsed="false">
      <c r="B73" s="73" t="s">
        <v>345</v>
      </c>
      <c r="C73" s="78" t="s">
        <v>346</v>
      </c>
    </row>
    <row r="74" customFormat="false" ht="15" hidden="false" customHeight="false" outlineLevel="0" collapsed="false">
      <c r="A74" s="75" t="n">
        <v>5</v>
      </c>
      <c r="B74" s="73" t="s">
        <v>347</v>
      </c>
      <c r="C74" s="4" t="s">
        <v>465</v>
      </c>
      <c r="D74" s="79"/>
      <c r="E74" s="73" t="n">
        <f aca="false">IF(D74="Y",1,0)</f>
        <v>0</v>
      </c>
      <c r="G74" s="80" t="s">
        <v>349</v>
      </c>
    </row>
    <row r="75" customFormat="false" ht="15" hidden="false" customHeight="false" outlineLevel="0" collapsed="false">
      <c r="B75" s="73" t="s">
        <v>351</v>
      </c>
      <c r="C75" s="81" t="s">
        <v>466</v>
      </c>
      <c r="D75" s="81"/>
      <c r="E75" s="81"/>
      <c r="F75" s="81"/>
      <c r="G75" s="81"/>
    </row>
    <row r="77" customFormat="false" ht="15" hidden="false" customHeight="false" outlineLevel="0" collapsed="false">
      <c r="A77" s="70" t="n">
        <v>6</v>
      </c>
      <c r="B77" s="71" t="s">
        <v>333</v>
      </c>
      <c r="C77" s="72" t="s">
        <v>467</v>
      </c>
      <c r="D77" s="72"/>
      <c r="E77" s="72"/>
      <c r="F77" s="72"/>
      <c r="G77" s="72"/>
    </row>
    <row r="78" customFormat="false" ht="30" hidden="false" customHeight="true" outlineLevel="0" collapsed="false">
      <c r="B78" s="73" t="s">
        <v>335</v>
      </c>
      <c r="C78" s="74" t="s">
        <v>468</v>
      </c>
      <c r="D78" s="74"/>
      <c r="E78" s="74"/>
      <c r="F78" s="74"/>
      <c r="G78" s="74"/>
    </row>
    <row r="79" customFormat="false" ht="60" hidden="false" customHeight="true" outlineLevel="0" collapsed="false">
      <c r="A79" s="75" t="n">
        <v>6</v>
      </c>
      <c r="B79" s="73" t="s">
        <v>337</v>
      </c>
      <c r="C79" s="4" t="s">
        <v>469</v>
      </c>
      <c r="D79" s="76"/>
      <c r="E79" s="73" t="n">
        <f aca="false">IF(D79&lt;&gt;"",1,0)</f>
        <v>0</v>
      </c>
      <c r="F79" s="77"/>
      <c r="G79" s="43" t="s">
        <v>470</v>
      </c>
    </row>
    <row r="80" customFormat="false" ht="15" hidden="false" customHeight="false" outlineLevel="0" collapsed="false">
      <c r="A80" s="75" t="n">
        <v>6</v>
      </c>
      <c r="B80" s="73" t="s">
        <v>337</v>
      </c>
      <c r="C80" s="4" t="s">
        <v>471</v>
      </c>
      <c r="D80" s="76"/>
      <c r="E80" s="73" t="n">
        <f aca="false">IF(D80&lt;&gt;"",1,0)</f>
        <v>0</v>
      </c>
      <c r="F80" s="77"/>
      <c r="G80" s="43" t="s">
        <v>344</v>
      </c>
    </row>
    <row r="81" customFormat="false" ht="15" hidden="false" customHeight="false" outlineLevel="0" collapsed="false">
      <c r="B81" s="73" t="s">
        <v>345</v>
      </c>
      <c r="C81" s="78" t="s">
        <v>346</v>
      </c>
    </row>
    <row r="82" customFormat="false" ht="15" hidden="false" customHeight="false" outlineLevel="0" collapsed="false">
      <c r="A82" s="75" t="n">
        <v>6</v>
      </c>
      <c r="B82" s="73" t="s">
        <v>347</v>
      </c>
      <c r="C82" s="4" t="s">
        <v>472</v>
      </c>
      <c r="D82" s="79"/>
      <c r="E82" s="73" t="n">
        <f aca="false">IF(D82="Y",1,0)</f>
        <v>0</v>
      </c>
      <c r="G82" s="80" t="s">
        <v>349</v>
      </c>
    </row>
    <row r="83" customFormat="false" ht="15" hidden="false" customHeight="false" outlineLevel="0" collapsed="false">
      <c r="A83" s="75" t="n">
        <v>6</v>
      </c>
      <c r="B83" s="73" t="s">
        <v>347</v>
      </c>
      <c r="C83" s="4" t="s">
        <v>473</v>
      </c>
      <c r="D83" s="79"/>
      <c r="E83" s="73" t="n">
        <f aca="false">IF(D83="Y",1,0)</f>
        <v>0</v>
      </c>
      <c r="G83" s="80" t="s">
        <v>349</v>
      </c>
    </row>
    <row r="84" customFormat="false" ht="15" hidden="false" customHeight="false" outlineLevel="0" collapsed="false">
      <c r="A84" s="75" t="n">
        <v>6</v>
      </c>
      <c r="B84" s="73" t="s">
        <v>347</v>
      </c>
      <c r="C84" s="4" t="s">
        <v>474</v>
      </c>
      <c r="D84" s="79"/>
      <c r="E84" s="73" t="n">
        <f aca="false">IF(D84="Y",1,0)</f>
        <v>0</v>
      </c>
      <c r="G84" s="80" t="s">
        <v>349</v>
      </c>
    </row>
    <row r="85" customFormat="false" ht="15" hidden="false" customHeight="false" outlineLevel="0" collapsed="false">
      <c r="B85" s="73" t="s">
        <v>351</v>
      </c>
      <c r="C85" s="81" t="s">
        <v>475</v>
      </c>
      <c r="D85" s="81"/>
      <c r="E85" s="81"/>
      <c r="F85" s="81"/>
      <c r="G85" s="81"/>
    </row>
  </sheetData>
  <mergeCells count="21">
    <mergeCell ref="C2:G2"/>
    <mergeCell ref="C3:G3"/>
    <mergeCell ref="F13:G15"/>
    <mergeCell ref="C19:G19"/>
    <mergeCell ref="C20:G20"/>
    <mergeCell ref="C26:G26"/>
    <mergeCell ref="C28:G28"/>
    <mergeCell ref="C29:G29"/>
    <mergeCell ref="C35:G35"/>
    <mergeCell ref="C37:G37"/>
    <mergeCell ref="C38:G38"/>
    <mergeCell ref="C46:G46"/>
    <mergeCell ref="C48:G48"/>
    <mergeCell ref="C49:G49"/>
    <mergeCell ref="C57:G57"/>
    <mergeCell ref="C59:G59"/>
    <mergeCell ref="C60:G60"/>
    <mergeCell ref="C75:G75"/>
    <mergeCell ref="C77:G77"/>
    <mergeCell ref="C78:G78"/>
    <mergeCell ref="C85:G85"/>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7">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43" type="list">
      <formula1>Lists!$U$2:$U$3</formula1>
      <formula2>0</formula2>
    </dataValidation>
    <dataValidation allowBlank="true" errorStyle="stop" operator="between" showDropDown="false" showErrorMessage="false" showInputMessage="false" sqref="D44" type="list">
      <formula1>Lists!$U$2:$U$3</formula1>
      <formula2>0</formula2>
    </dataValidation>
    <dataValidation allowBlank="true" errorStyle="stop" operator="between" showDropDown="false" showErrorMessage="false" showInputMessage="false" sqref="D45" type="list">
      <formula1>Lists!$U$2:$U$3</formula1>
      <formula2>0</formula2>
    </dataValidation>
    <dataValidation allowBlank="true" errorStyle="stop" operator="between" showDropDown="false" showErrorMessage="false" showInputMessage="false" sqref="D51" type="list">
      <formula1>Lists!$D$2:$D$6</formula1>
      <formula2>0</formula2>
    </dataValidation>
    <dataValidation allowBlank="true" errorStyle="stop" operator="between" showDropDown="false" showErrorMessage="false" showInputMessage="false" sqref="D53"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74" type="list">
      <formula1>Lists!$U$2:$U$3</formula1>
      <formula2>0</formula2>
    </dataValidation>
    <dataValidation allowBlank="true" errorStyle="stop" operator="between" showDropDown="false" showErrorMessage="false" showInputMessage="false" sqref="D80" type="list">
      <formula1>Lists!$E$2:$E$5</formula1>
      <formula2>0</formula2>
    </dataValidation>
    <dataValidation allowBlank="true" errorStyle="stop" operator="between" showDropDown="false" showErrorMessage="false" showInputMessage="false" sqref="D82" type="list">
      <formula1>Lists!$U$2:$U$3</formula1>
      <formula2>0</formula2>
    </dataValidation>
    <dataValidation allowBlank="true" errorStyle="stop" operator="between" showDropDown="false" showErrorMessage="false" showInputMessage="false" sqref="D83" type="list">
      <formula1>Lists!$U$2:$U$3</formula1>
      <formula2>0</formula2>
    </dataValidation>
    <dataValidation allowBlank="true" errorStyle="stop" operator="between" showDropDown="false" showErrorMessage="false" showInputMessage="false" sqref="D84"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A1:I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47</v>
      </c>
      <c r="D1" s="64" t="s">
        <v>312</v>
      </c>
    </row>
    <row r="2" customFormat="false" ht="15" hidden="false" customHeight="false" outlineLevel="0" collapsed="false">
      <c r="C2" s="65" t="s">
        <v>476</v>
      </c>
      <c r="D2" s="65"/>
      <c r="E2" s="65"/>
      <c r="F2" s="65"/>
      <c r="G2" s="65"/>
    </row>
    <row r="3" customFormat="false" ht="78" hidden="false" customHeight="true" outlineLevel="0" collapsed="false">
      <c r="C3" s="66" t="s">
        <v>477</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3</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4</v>
      </c>
      <c r="F9" s="8" t="n">
        <f aca="false">SUMIFS($E$19:$E$400,$A$19:$A$400,B9,$B$19:$B$400,"check")</f>
        <v>0</v>
      </c>
      <c r="G9" s="8" t="n">
        <f aca="false">COUNTIFS($A$19:$A$400,B9,$B$19:$B$400,"check")</f>
        <v>3</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4</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70" t="n">
        <v>1</v>
      </c>
      <c r="B19" s="71" t="s">
        <v>333</v>
      </c>
      <c r="C19" s="72" t="s">
        <v>478</v>
      </c>
      <c r="D19" s="72"/>
      <c r="E19" s="72"/>
      <c r="F19" s="72"/>
      <c r="G19" s="72"/>
    </row>
    <row r="20" customFormat="false" ht="30" hidden="false" customHeight="true" outlineLevel="0" collapsed="false">
      <c r="B20" s="73" t="s">
        <v>335</v>
      </c>
      <c r="C20" s="74" t="s">
        <v>479</v>
      </c>
      <c r="D20" s="74"/>
      <c r="E20" s="74"/>
      <c r="F20" s="74"/>
      <c r="G20" s="74"/>
    </row>
    <row r="21" customFormat="false" ht="15" hidden="false" customHeight="false" outlineLevel="0" collapsed="false">
      <c r="A21" s="75" t="n">
        <v>1</v>
      </c>
      <c r="B21" s="73" t="s">
        <v>337</v>
      </c>
      <c r="C21" s="4" t="s">
        <v>480</v>
      </c>
      <c r="D21" s="76"/>
      <c r="E21" s="73" t="n">
        <f aca="false">IF(D21&lt;&gt;"",1,0)</f>
        <v>0</v>
      </c>
      <c r="F21" s="77" t="n">
        <v>2</v>
      </c>
      <c r="G21" s="43" t="s">
        <v>339</v>
      </c>
    </row>
    <row r="22" customFormat="false" ht="48" hidden="false" customHeight="true" outlineLevel="0" collapsed="false">
      <c r="A22" s="75" t="n">
        <v>1</v>
      </c>
      <c r="B22" s="73" t="s">
        <v>337</v>
      </c>
      <c r="C22" s="4" t="s">
        <v>481</v>
      </c>
      <c r="D22" s="76"/>
      <c r="E22" s="73" t="n">
        <f aca="false">IF(D22&lt;&gt;"",1,0)</f>
        <v>0</v>
      </c>
      <c r="F22" s="77"/>
      <c r="G22" s="43" t="s">
        <v>482</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483</v>
      </c>
      <c r="D24" s="79"/>
      <c r="E24" s="73" t="n">
        <f aca="false">IF(D24="Y",1,0)</f>
        <v>0</v>
      </c>
      <c r="G24" s="80" t="s">
        <v>349</v>
      </c>
    </row>
    <row r="25" customFormat="false" ht="15" hidden="false" customHeight="false" outlineLevel="0" collapsed="false">
      <c r="A25" s="75" t="n">
        <v>1</v>
      </c>
      <c r="B25" s="73" t="s">
        <v>347</v>
      </c>
      <c r="C25" s="4" t="s">
        <v>484</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70" t="n">
        <v>2</v>
      </c>
      <c r="B28" s="71" t="s">
        <v>333</v>
      </c>
      <c r="C28" s="72" t="s">
        <v>485</v>
      </c>
      <c r="D28" s="72"/>
      <c r="E28" s="72"/>
      <c r="F28" s="72"/>
      <c r="G28" s="72"/>
    </row>
    <row r="29" customFormat="false" ht="30" hidden="false" customHeight="true" outlineLevel="0" collapsed="false">
      <c r="B29" s="73" t="s">
        <v>335</v>
      </c>
      <c r="C29" s="74" t="s">
        <v>486</v>
      </c>
      <c r="D29" s="74"/>
      <c r="E29" s="74"/>
      <c r="F29" s="74"/>
      <c r="G29" s="74"/>
    </row>
    <row r="30" customFormat="false" ht="15" hidden="false" customHeight="false" outlineLevel="0" collapsed="false">
      <c r="A30" s="75" t="n">
        <v>2</v>
      </c>
      <c r="B30" s="73" t="s">
        <v>337</v>
      </c>
      <c r="C30" s="4" t="s">
        <v>487</v>
      </c>
      <c r="D30" s="76"/>
      <c r="E30" s="73" t="n">
        <f aca="false">IF(D30&lt;&gt;"",1,0)</f>
        <v>0</v>
      </c>
      <c r="F30" s="77" t="n">
        <v>90</v>
      </c>
      <c r="G30" s="43" t="s">
        <v>488</v>
      </c>
    </row>
    <row r="31" customFormat="false" ht="15" hidden="false" customHeight="false" outlineLevel="0" collapsed="false">
      <c r="A31" s="75" t="n">
        <v>2</v>
      </c>
      <c r="B31" s="73" t="s">
        <v>337</v>
      </c>
      <c r="C31" s="4" t="s">
        <v>489</v>
      </c>
      <c r="D31" s="76"/>
      <c r="E31" s="73" t="n">
        <f aca="false">IF(D31&lt;&gt;"",1,0)</f>
        <v>0</v>
      </c>
      <c r="F31" s="77" t="n">
        <v>3</v>
      </c>
      <c r="G31" s="43" t="s">
        <v>490</v>
      </c>
    </row>
    <row r="32" customFormat="false" ht="23.85" hidden="false" customHeight="false" outlineLevel="0" collapsed="false">
      <c r="A32" s="75" t="n">
        <v>2</v>
      </c>
      <c r="B32" s="73" t="s">
        <v>337</v>
      </c>
      <c r="C32" s="86" t="s">
        <v>491</v>
      </c>
      <c r="D32" s="87"/>
      <c r="E32" s="73" t="n">
        <f aca="false">IF(D32&lt;&gt;"",1,0)</f>
        <v>0</v>
      </c>
      <c r="F32" s="88" t="n">
        <v>0.4</v>
      </c>
      <c r="G32" s="43" t="s">
        <v>492</v>
      </c>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493</v>
      </c>
      <c r="D34" s="79"/>
      <c r="E34" s="73" t="n">
        <f aca="false">IF(D34="Y",1,0)</f>
        <v>0</v>
      </c>
      <c r="G34" s="80" t="s">
        <v>349</v>
      </c>
    </row>
    <row r="35" customFormat="false" ht="15" hidden="false" customHeight="false" outlineLevel="0" collapsed="false">
      <c r="B35" s="73" t="s">
        <v>351</v>
      </c>
      <c r="C35" s="81" t="s">
        <v>494</v>
      </c>
      <c r="D35" s="81"/>
      <c r="E35" s="81"/>
      <c r="F35" s="81"/>
      <c r="G35" s="81"/>
    </row>
    <row r="37" customFormat="false" ht="15" hidden="false" customHeight="false" outlineLevel="0" collapsed="false">
      <c r="A37" s="70" t="n">
        <v>3</v>
      </c>
      <c r="B37" s="71" t="s">
        <v>333</v>
      </c>
      <c r="C37" s="72" t="s">
        <v>495</v>
      </c>
      <c r="D37" s="72"/>
      <c r="E37" s="72"/>
      <c r="F37" s="72"/>
      <c r="G37" s="72"/>
    </row>
    <row r="38" customFormat="false" ht="45" hidden="false" customHeight="true" outlineLevel="0" collapsed="false">
      <c r="B38" s="73" t="s">
        <v>335</v>
      </c>
      <c r="C38" s="74" t="s">
        <v>496</v>
      </c>
      <c r="D38" s="74"/>
      <c r="E38" s="74"/>
      <c r="F38" s="74"/>
      <c r="G38" s="74"/>
    </row>
    <row r="39" customFormat="false" ht="15" hidden="false" customHeight="false" outlineLevel="0" collapsed="false">
      <c r="A39" s="75" t="n">
        <v>3</v>
      </c>
      <c r="B39" s="73" t="s">
        <v>337</v>
      </c>
      <c r="C39" s="4" t="s">
        <v>497</v>
      </c>
      <c r="D39" s="76"/>
      <c r="E39" s="73" t="n">
        <f aca="false">IF(D39&lt;&gt;"",1,0)</f>
        <v>0</v>
      </c>
      <c r="F39" s="77"/>
      <c r="G39" s="43" t="s">
        <v>344</v>
      </c>
    </row>
    <row r="40" customFormat="false" ht="15" hidden="false" customHeight="false" outlineLevel="0" collapsed="false">
      <c r="A40" s="75" t="n">
        <v>3</v>
      </c>
      <c r="B40" s="73" t="s">
        <v>337</v>
      </c>
      <c r="C40" s="4" t="s">
        <v>498</v>
      </c>
      <c r="D40" s="76"/>
      <c r="E40" s="73" t="n">
        <f aca="false">IF(D40&lt;&gt;"",1,0)</f>
        <v>0</v>
      </c>
      <c r="F40" s="77"/>
      <c r="G40" s="43" t="s">
        <v>499</v>
      </c>
    </row>
    <row r="41" customFormat="false" ht="60" hidden="false" customHeight="true" outlineLevel="0" collapsed="false">
      <c r="A41" s="75" t="n">
        <v>3</v>
      </c>
      <c r="B41" s="73" t="s">
        <v>337</v>
      </c>
      <c r="C41" s="4" t="s">
        <v>500</v>
      </c>
      <c r="D41" s="76"/>
      <c r="E41" s="73" t="n">
        <f aca="false">IF(D41&lt;&gt;"",1,0)</f>
        <v>0</v>
      </c>
      <c r="F41" s="77"/>
      <c r="G41" s="43" t="s">
        <v>501</v>
      </c>
    </row>
    <row r="42" customFormat="false" ht="48" hidden="false" customHeight="true" outlineLevel="0" collapsed="false">
      <c r="A42" s="75" t="n">
        <v>3</v>
      </c>
      <c r="B42" s="73" t="s">
        <v>337</v>
      </c>
      <c r="C42" s="4" t="s">
        <v>502</v>
      </c>
      <c r="D42" s="76"/>
      <c r="E42" s="73" t="n">
        <f aca="false">IF(D42&lt;&gt;"",1,0)</f>
        <v>0</v>
      </c>
      <c r="F42" s="77"/>
      <c r="G42" s="43" t="s">
        <v>503</v>
      </c>
    </row>
    <row r="43" customFormat="false" ht="15" hidden="false" customHeight="false" outlineLevel="0" collapsed="false">
      <c r="B43" s="73" t="s">
        <v>345</v>
      </c>
      <c r="C43" s="78" t="s">
        <v>346</v>
      </c>
    </row>
    <row r="44" customFormat="false" ht="15" hidden="false" customHeight="false" outlineLevel="0" collapsed="false">
      <c r="A44" s="75" t="n">
        <v>3</v>
      </c>
      <c r="B44" s="73" t="s">
        <v>347</v>
      </c>
      <c r="C44" s="4" t="s">
        <v>504</v>
      </c>
      <c r="D44" s="79"/>
      <c r="E44" s="73" t="n">
        <f aca="false">IF(D44="Y",1,0)</f>
        <v>0</v>
      </c>
      <c r="G44" s="80" t="s">
        <v>349</v>
      </c>
    </row>
    <row r="45" customFormat="false" ht="15" hidden="false" customHeight="false" outlineLevel="0" collapsed="false">
      <c r="A45" s="75" t="n">
        <v>3</v>
      </c>
      <c r="B45" s="73" t="s">
        <v>347</v>
      </c>
      <c r="C45" s="4" t="s">
        <v>505</v>
      </c>
      <c r="D45" s="79"/>
      <c r="E45" s="73" t="n">
        <f aca="false">IF(D45="Y",1,0)</f>
        <v>0</v>
      </c>
      <c r="G45" s="80" t="s">
        <v>349</v>
      </c>
    </row>
    <row r="46" customFormat="false" ht="15" hidden="false" customHeight="false" outlineLevel="0" collapsed="false">
      <c r="A46" s="75" t="n">
        <v>3</v>
      </c>
      <c r="B46" s="73" t="s">
        <v>347</v>
      </c>
      <c r="C46" s="4" t="s">
        <v>506</v>
      </c>
      <c r="D46" s="79"/>
      <c r="E46" s="73" t="n">
        <f aca="false">IF(D46="Y",1,0)</f>
        <v>0</v>
      </c>
      <c r="G46" s="80" t="s">
        <v>349</v>
      </c>
    </row>
    <row r="47" customFormat="false" ht="15" hidden="false" customHeight="false" outlineLevel="0" collapsed="false">
      <c r="B47" s="73" t="s">
        <v>351</v>
      </c>
      <c r="C47" s="81" t="s">
        <v>507</v>
      </c>
      <c r="D47" s="81"/>
      <c r="E47" s="81"/>
      <c r="F47" s="81"/>
      <c r="G47" s="81"/>
    </row>
    <row r="49" customFormat="false" ht="15" hidden="false" customHeight="false" outlineLevel="0" collapsed="false">
      <c r="A49" s="70" t="n">
        <v>4</v>
      </c>
      <c r="B49" s="71" t="s">
        <v>333</v>
      </c>
      <c r="C49" s="72" t="s">
        <v>508</v>
      </c>
      <c r="D49" s="72"/>
      <c r="E49" s="72"/>
      <c r="F49" s="72"/>
      <c r="G49" s="72"/>
    </row>
    <row r="50" customFormat="false" ht="30" hidden="false" customHeight="true" outlineLevel="0" collapsed="false">
      <c r="B50" s="73" t="s">
        <v>335</v>
      </c>
      <c r="C50" s="74" t="s">
        <v>509</v>
      </c>
      <c r="D50" s="74"/>
      <c r="E50" s="74"/>
      <c r="F50" s="74"/>
      <c r="G50" s="74"/>
    </row>
    <row r="51" customFormat="false" ht="15" hidden="false" customHeight="false" outlineLevel="0" collapsed="false">
      <c r="A51" s="75" t="n">
        <v>4</v>
      </c>
      <c r="B51" s="73" t="s">
        <v>337</v>
      </c>
      <c r="C51" s="4" t="s">
        <v>510</v>
      </c>
      <c r="D51" s="76"/>
      <c r="E51" s="73" t="n">
        <f aca="false">IF(D51&lt;&gt;"",1,0)</f>
        <v>0</v>
      </c>
      <c r="F51" s="77"/>
      <c r="G51" s="43" t="s">
        <v>511</v>
      </c>
    </row>
    <row r="52" customFormat="false" ht="15" hidden="false" customHeight="false" outlineLevel="0" collapsed="false">
      <c r="A52" s="75" t="n">
        <v>4</v>
      </c>
      <c r="B52" s="73" t="s">
        <v>337</v>
      </c>
      <c r="C52" s="4" t="s">
        <v>512</v>
      </c>
      <c r="D52" s="76"/>
      <c r="E52" s="73" t="n">
        <f aca="false">IF(D52&lt;&gt;"",1,0)</f>
        <v>0</v>
      </c>
      <c r="F52" s="77"/>
      <c r="G52" s="43" t="s">
        <v>513</v>
      </c>
    </row>
    <row r="53" customFormat="false" ht="15" hidden="false" customHeight="false" outlineLevel="0" collapsed="false">
      <c r="B53" s="73" t="s">
        <v>345</v>
      </c>
      <c r="C53" s="78" t="s">
        <v>346</v>
      </c>
    </row>
    <row r="54" customFormat="false" ht="15" hidden="false" customHeight="false" outlineLevel="0" collapsed="false">
      <c r="A54" s="75" t="n">
        <v>4</v>
      </c>
      <c r="B54" s="73" t="s">
        <v>347</v>
      </c>
      <c r="C54" s="4" t="s">
        <v>514</v>
      </c>
      <c r="D54" s="79"/>
      <c r="E54" s="73" t="n">
        <f aca="false">IF(D54="Y",1,0)</f>
        <v>0</v>
      </c>
      <c r="G54" s="80" t="s">
        <v>349</v>
      </c>
    </row>
    <row r="55" customFormat="false" ht="15" hidden="false" customHeight="false" outlineLevel="0" collapsed="false">
      <c r="A55" s="75" t="n">
        <v>4</v>
      </c>
      <c r="B55" s="73" t="s">
        <v>347</v>
      </c>
      <c r="C55" s="4" t="s">
        <v>515</v>
      </c>
      <c r="D55" s="79"/>
      <c r="E55" s="73" t="n">
        <f aca="false">IF(D55="Y",1,0)</f>
        <v>0</v>
      </c>
      <c r="G55" s="80" t="s">
        <v>349</v>
      </c>
    </row>
    <row r="56" customFormat="false" ht="15" hidden="false" customHeight="false" outlineLevel="0" collapsed="false">
      <c r="A56" s="75" t="n">
        <v>4</v>
      </c>
      <c r="B56" s="73" t="s">
        <v>347</v>
      </c>
      <c r="C56" s="4" t="s">
        <v>516</v>
      </c>
      <c r="D56" s="79"/>
      <c r="E56" s="73" t="n">
        <f aca="false">IF(D56="Y",1,0)</f>
        <v>0</v>
      </c>
      <c r="G56" s="80" t="s">
        <v>349</v>
      </c>
    </row>
    <row r="57" customFormat="false" ht="15" hidden="false" customHeight="false" outlineLevel="0" collapsed="false">
      <c r="A57" s="75" t="n">
        <v>4</v>
      </c>
      <c r="B57" s="73" t="s">
        <v>347</v>
      </c>
      <c r="C57" s="4" t="s">
        <v>517</v>
      </c>
      <c r="D57" s="79"/>
      <c r="E57" s="73" t="n">
        <f aca="false">IF(D57="Y",1,0)</f>
        <v>0</v>
      </c>
      <c r="G57" s="80" t="s">
        <v>349</v>
      </c>
    </row>
    <row r="58" customFormat="false" ht="15" hidden="false" customHeight="false" outlineLevel="0" collapsed="false">
      <c r="A58" s="75" t="n">
        <v>4</v>
      </c>
      <c r="B58" s="73" t="s">
        <v>347</v>
      </c>
      <c r="C58" s="4" t="s">
        <v>518</v>
      </c>
      <c r="D58" s="79"/>
      <c r="E58" s="73" t="n">
        <f aca="false">IF(D58="Y",1,0)</f>
        <v>0</v>
      </c>
      <c r="G58" s="80" t="s">
        <v>349</v>
      </c>
    </row>
    <row r="59" customFormat="false" ht="15" hidden="false" customHeight="false" outlineLevel="0" collapsed="false">
      <c r="B59" s="73" t="s">
        <v>351</v>
      </c>
      <c r="C59" s="81" t="s">
        <v>519</v>
      </c>
      <c r="D59" s="81"/>
      <c r="E59" s="81"/>
      <c r="F59" s="81"/>
      <c r="G59" s="81"/>
    </row>
    <row r="61" customFormat="false" ht="15" hidden="false" customHeight="false" outlineLevel="0" collapsed="false">
      <c r="A61" s="70" t="n">
        <v>5</v>
      </c>
      <c r="B61" s="71" t="s">
        <v>333</v>
      </c>
      <c r="C61" s="72" t="s">
        <v>520</v>
      </c>
      <c r="D61" s="72"/>
      <c r="E61" s="72"/>
      <c r="F61" s="72"/>
      <c r="G61" s="72"/>
    </row>
    <row r="62" customFormat="false" ht="30" hidden="false" customHeight="true" outlineLevel="0" collapsed="false">
      <c r="B62" s="73" t="s">
        <v>335</v>
      </c>
      <c r="C62" s="74" t="s">
        <v>521</v>
      </c>
      <c r="D62" s="74"/>
      <c r="E62" s="74"/>
      <c r="F62" s="74"/>
      <c r="G62" s="74"/>
    </row>
    <row r="63" customFormat="false" ht="15" hidden="false" customHeight="false" outlineLevel="0" collapsed="false">
      <c r="A63" s="75" t="n">
        <v>5</v>
      </c>
      <c r="B63" s="73" t="s">
        <v>337</v>
      </c>
      <c r="C63" s="4" t="s">
        <v>522</v>
      </c>
      <c r="D63" s="76"/>
      <c r="E63" s="73" t="n">
        <f aca="false">IF(D63&lt;&gt;"",1,0)</f>
        <v>0</v>
      </c>
      <c r="F63" s="77" t="n">
        <v>30</v>
      </c>
      <c r="G63" s="43"/>
    </row>
    <row r="64" customFormat="false" ht="15" hidden="false" customHeight="false" outlineLevel="0" collapsed="false">
      <c r="A64" s="75" t="n">
        <v>5</v>
      </c>
      <c r="B64" s="73" t="s">
        <v>337</v>
      </c>
      <c r="C64" s="4" t="s">
        <v>523</v>
      </c>
      <c r="D64" s="76"/>
      <c r="E64" s="73" t="n">
        <f aca="false">IF(D64&lt;&gt;"",1,0)</f>
        <v>0</v>
      </c>
      <c r="F64" s="77" t="n">
        <v>16</v>
      </c>
      <c r="G64" s="43"/>
    </row>
    <row r="65" customFormat="false" ht="15" hidden="false" customHeight="false" outlineLevel="0" collapsed="false">
      <c r="A65" s="75" t="n">
        <v>5</v>
      </c>
      <c r="B65" s="73" t="s">
        <v>337</v>
      </c>
      <c r="C65" s="4" t="s">
        <v>524</v>
      </c>
      <c r="D65" s="76"/>
      <c r="E65" s="73" t="n">
        <f aca="false">IF(D65&lt;&gt;"",1,0)</f>
        <v>0</v>
      </c>
      <c r="F65" s="77" t="n">
        <v>8</v>
      </c>
      <c r="G65" s="43"/>
    </row>
    <row r="66" customFormat="false" ht="22.35" hidden="false" customHeight="false" outlineLevel="0" collapsed="false">
      <c r="A66" s="75" t="n">
        <v>5</v>
      </c>
      <c r="B66" s="73" t="s">
        <v>337</v>
      </c>
      <c r="C66" s="4" t="s">
        <v>247</v>
      </c>
      <c r="D66" s="84" t="str">
        <f aca="false">IF(COUNTA(C68:E75)&gt;0,"logged","")</f>
        <v/>
      </c>
      <c r="E66" s="73" t="n">
        <f aca="false">IF(COUNTA(C68:E75)&gt;0,1,0)</f>
        <v>0</v>
      </c>
      <c r="F66" s="7" t="s">
        <v>525</v>
      </c>
      <c r="G66" s="43" t="s">
        <v>526</v>
      </c>
    </row>
    <row r="67" customFormat="false" ht="15" hidden="false" customHeight="false" outlineLevel="0" collapsed="false">
      <c r="B67" s="73" t="s">
        <v>464</v>
      </c>
      <c r="C67" s="85" t="s">
        <v>527</v>
      </c>
      <c r="D67" s="85" t="s">
        <v>528</v>
      </c>
      <c r="E67" s="85" t="s">
        <v>529</v>
      </c>
    </row>
    <row r="68" customFormat="false" ht="15" hidden="false" customHeight="false" outlineLevel="0" collapsed="false">
      <c r="B68" s="73" t="s">
        <v>464</v>
      </c>
      <c r="C68" s="6"/>
      <c r="D68" s="6"/>
      <c r="E68" s="6"/>
    </row>
    <row r="69" customFormat="false" ht="15" hidden="false" customHeight="false" outlineLevel="0" collapsed="false">
      <c r="B69" s="73" t="s">
        <v>464</v>
      </c>
      <c r="C69" s="6"/>
      <c r="D69" s="6"/>
      <c r="E69" s="6"/>
    </row>
    <row r="70" customFormat="false" ht="15" hidden="false" customHeight="false" outlineLevel="0" collapsed="false">
      <c r="B70" s="73" t="s">
        <v>464</v>
      </c>
      <c r="C70" s="6"/>
      <c r="D70" s="6"/>
      <c r="E70" s="6"/>
    </row>
    <row r="71" customFormat="false" ht="15" hidden="false" customHeight="false" outlineLevel="0" collapsed="false">
      <c r="B71" s="73" t="s">
        <v>464</v>
      </c>
      <c r="C71" s="6"/>
      <c r="D71" s="6"/>
      <c r="E71" s="6"/>
    </row>
    <row r="72" customFormat="false" ht="15" hidden="false" customHeight="false" outlineLevel="0" collapsed="false">
      <c r="B72" s="73" t="s">
        <v>464</v>
      </c>
      <c r="C72" s="6"/>
      <c r="D72" s="6"/>
      <c r="E72" s="6"/>
    </row>
    <row r="73" customFormat="false" ht="15" hidden="false" customHeight="false" outlineLevel="0" collapsed="false">
      <c r="B73" s="73" t="s">
        <v>464</v>
      </c>
      <c r="C73" s="6"/>
      <c r="D73" s="6"/>
      <c r="E73" s="6"/>
    </row>
    <row r="74" customFormat="false" ht="15" hidden="false" customHeight="false" outlineLevel="0" collapsed="false">
      <c r="B74" s="73" t="s">
        <v>464</v>
      </c>
      <c r="C74" s="6"/>
      <c r="D74" s="6"/>
      <c r="E74" s="6"/>
    </row>
    <row r="75" customFormat="false" ht="15" hidden="false" customHeight="false" outlineLevel="0" collapsed="false">
      <c r="B75" s="73" t="s">
        <v>464</v>
      </c>
      <c r="C75" s="6"/>
      <c r="D75" s="6"/>
      <c r="E75" s="6"/>
    </row>
    <row r="76" customFormat="false" ht="15" hidden="false" customHeight="false" outlineLevel="0" collapsed="false">
      <c r="B76" s="73" t="s">
        <v>345</v>
      </c>
      <c r="C76" s="78" t="s">
        <v>346</v>
      </c>
    </row>
    <row r="77" customFormat="false" ht="23.85" hidden="false" customHeight="false" outlineLevel="0" collapsed="false">
      <c r="A77" s="75" t="n">
        <v>5</v>
      </c>
      <c r="B77" s="73" t="s">
        <v>347</v>
      </c>
      <c r="C77" s="4" t="s">
        <v>530</v>
      </c>
      <c r="D77" s="79"/>
      <c r="E77" s="73" t="n">
        <f aca="false">IF(D77="Y",1,0)</f>
        <v>0</v>
      </c>
      <c r="G77" s="80" t="s">
        <v>349</v>
      </c>
    </row>
    <row r="78" customFormat="false" ht="15" hidden="false" customHeight="false" outlineLevel="0" collapsed="false">
      <c r="B78" s="73" t="s">
        <v>351</v>
      </c>
      <c r="C78" s="81" t="s">
        <v>531</v>
      </c>
      <c r="D78" s="81"/>
      <c r="E78" s="81"/>
      <c r="F78" s="81"/>
      <c r="G78" s="81"/>
    </row>
    <row r="80" customFormat="false" ht="15" hidden="false" customHeight="false" outlineLevel="0" collapsed="false">
      <c r="A80" s="70" t="n">
        <v>6</v>
      </c>
      <c r="B80" s="71" t="s">
        <v>333</v>
      </c>
      <c r="C80" s="72" t="s">
        <v>532</v>
      </c>
      <c r="D80" s="72"/>
      <c r="E80" s="72"/>
      <c r="F80" s="72"/>
      <c r="G80" s="72"/>
    </row>
    <row r="81" customFormat="false" ht="30" hidden="false" customHeight="true" outlineLevel="0" collapsed="false">
      <c r="B81" s="73" t="s">
        <v>335</v>
      </c>
      <c r="C81" s="74" t="s">
        <v>533</v>
      </c>
      <c r="D81" s="74"/>
      <c r="E81" s="74"/>
      <c r="F81" s="74"/>
      <c r="G81" s="74"/>
    </row>
    <row r="82" customFormat="false" ht="15" hidden="false" customHeight="false" outlineLevel="0" collapsed="false">
      <c r="A82" s="75" t="n">
        <v>6</v>
      </c>
      <c r="B82" s="73" t="s">
        <v>337</v>
      </c>
      <c r="C82" s="4" t="s">
        <v>408</v>
      </c>
      <c r="D82" s="76"/>
      <c r="E82" s="73" t="n">
        <f aca="false">IF(D82&lt;&gt;"",1,0)</f>
        <v>0</v>
      </c>
      <c r="F82" s="77"/>
      <c r="G82" s="43" t="s">
        <v>344</v>
      </c>
    </row>
    <row r="83" customFormat="false" ht="15" hidden="false" customHeight="false" outlineLevel="0" collapsed="false">
      <c r="A83" s="75" t="n">
        <v>6</v>
      </c>
      <c r="B83" s="73" t="s">
        <v>337</v>
      </c>
      <c r="C83" s="4" t="s">
        <v>534</v>
      </c>
      <c r="D83" s="76"/>
      <c r="E83" s="73" t="n">
        <f aca="false">IF(D83&lt;&gt;"",1,0)</f>
        <v>0</v>
      </c>
      <c r="F83" s="77"/>
      <c r="G83" s="43" t="s">
        <v>535</v>
      </c>
    </row>
    <row r="84" customFormat="false" ht="15" hidden="false" customHeight="false" outlineLevel="0" collapsed="false">
      <c r="B84" s="73" t="s">
        <v>345</v>
      </c>
      <c r="C84" s="78" t="s">
        <v>346</v>
      </c>
    </row>
    <row r="85" customFormat="false" ht="15" hidden="false" customHeight="false" outlineLevel="0" collapsed="false">
      <c r="A85" s="75" t="n">
        <v>6</v>
      </c>
      <c r="B85" s="73" t="s">
        <v>347</v>
      </c>
      <c r="C85" s="4" t="s">
        <v>536</v>
      </c>
      <c r="D85" s="79"/>
      <c r="E85" s="73" t="n">
        <f aca="false">IF(D85="Y",1,0)</f>
        <v>0</v>
      </c>
      <c r="G85" s="80" t="s">
        <v>349</v>
      </c>
    </row>
    <row r="86" customFormat="false" ht="15" hidden="false" customHeight="false" outlineLevel="0" collapsed="false">
      <c r="A86" s="75" t="n">
        <v>6</v>
      </c>
      <c r="B86" s="73" t="s">
        <v>347</v>
      </c>
      <c r="C86" s="4" t="s">
        <v>537</v>
      </c>
      <c r="D86" s="79"/>
      <c r="E86" s="73" t="n">
        <f aca="false">IF(D86="Y",1,0)</f>
        <v>0</v>
      </c>
      <c r="G86" s="80" t="s">
        <v>349</v>
      </c>
    </row>
    <row r="87" customFormat="false" ht="15" hidden="false" customHeight="false" outlineLevel="0" collapsed="false">
      <c r="A87" s="75" t="n">
        <v>6</v>
      </c>
      <c r="B87" s="73" t="s">
        <v>347</v>
      </c>
      <c r="C87" s="4" t="s">
        <v>538</v>
      </c>
      <c r="D87" s="79"/>
      <c r="E87" s="73" t="n">
        <f aca="false">IF(D87="Y",1,0)</f>
        <v>0</v>
      </c>
      <c r="G87" s="80" t="s">
        <v>349</v>
      </c>
    </row>
    <row r="88" customFormat="false" ht="15" hidden="false" customHeight="false" outlineLevel="0" collapsed="false">
      <c r="B88" s="73" t="s">
        <v>351</v>
      </c>
      <c r="C88" s="81" t="s">
        <v>539</v>
      </c>
      <c r="D88" s="81"/>
      <c r="E88" s="81"/>
      <c r="F88" s="81"/>
      <c r="G88" s="81"/>
    </row>
  </sheetData>
  <mergeCells count="21">
    <mergeCell ref="C2:G2"/>
    <mergeCell ref="C3:G3"/>
    <mergeCell ref="F13:G15"/>
    <mergeCell ref="C19:G19"/>
    <mergeCell ref="C20:G20"/>
    <mergeCell ref="C26:G26"/>
    <mergeCell ref="C28:G28"/>
    <mergeCell ref="C29:G29"/>
    <mergeCell ref="C35:G35"/>
    <mergeCell ref="C37:G37"/>
    <mergeCell ref="C38:G38"/>
    <mergeCell ref="C47:G47"/>
    <mergeCell ref="C49:G49"/>
    <mergeCell ref="C50:G50"/>
    <mergeCell ref="C59:G59"/>
    <mergeCell ref="C61:G61"/>
    <mergeCell ref="C62:G62"/>
    <mergeCell ref="C78:G78"/>
    <mergeCell ref="C80:G80"/>
    <mergeCell ref="C81:G81"/>
    <mergeCell ref="C88:G88"/>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8">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39" type="list">
      <formula1>Lists!$F$2:$F$4</formula1>
      <formula2>0</formula2>
    </dataValidation>
    <dataValidation allowBlank="true" errorStyle="stop" operator="between" showDropDown="false" showErrorMessage="false" showInputMessage="false" sqref="D44" type="list">
      <formula1>Lists!$U$2:$U$3</formula1>
      <formula2>0</formula2>
    </dataValidation>
    <dataValidation allowBlank="true" errorStyle="stop" operator="between" showDropDown="false" showErrorMessage="false" showInputMessage="false" sqref="D45" type="list">
      <formula1>Lists!$U$2:$U$3</formula1>
      <formula2>0</formula2>
    </dataValidation>
    <dataValidation allowBlank="true" errorStyle="stop" operator="between" showDropDown="false" showErrorMessage="false" showInputMessage="false" sqref="D46"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57" type="list">
      <formula1>Lists!$U$2:$U$3</formula1>
      <formula2>0</formula2>
    </dataValidation>
    <dataValidation allowBlank="true" errorStyle="stop" operator="between" showDropDown="false" showErrorMessage="false" showInputMessage="false" sqref="D58" type="list">
      <formula1>Lists!$U$2:$U$3</formula1>
      <formula2>0</formula2>
    </dataValidation>
    <dataValidation allowBlank="true" errorStyle="stop" operator="between" showDropDown="false" showErrorMessage="false" showInputMessage="false" sqref="D77" type="list">
      <formula1>Lists!$U$2:$U$3</formula1>
      <formula2>0</formula2>
    </dataValidation>
    <dataValidation allowBlank="true" errorStyle="stop" operator="between" showDropDown="false" showErrorMessage="false" showInputMessage="false" sqref="D82" type="list">
      <formula1>Lists!$G$2:$G$5</formula1>
      <formula2>0</formula2>
    </dataValidation>
    <dataValidation allowBlank="true" errorStyle="stop" operator="between" showDropDown="false" showErrorMessage="false" showInputMessage="false" sqref="D85" type="list">
      <formula1>Lists!$U$2:$U$3</formula1>
      <formula2>0</formula2>
    </dataValidation>
    <dataValidation allowBlank="true" errorStyle="stop" operator="between" showDropDown="false" showErrorMessage="false" showInputMessage="false" sqref="D86" type="list">
      <formula1>Lists!$U$2:$U$3</formula1>
      <formula2>0</formula2>
    </dataValidation>
    <dataValidation allowBlank="true" errorStyle="stop" operator="between" showDropDown="false" showErrorMessage="false" showInputMessage="false" sqref="D87"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9E70"/>
    <pageSetUpPr fitToPage="true"/>
  </sheetPr>
  <dimension ref="A1:I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49</v>
      </c>
      <c r="D1" s="64" t="s">
        <v>540</v>
      </c>
    </row>
    <row r="2" customFormat="false" ht="15" hidden="false" customHeight="false" outlineLevel="0" collapsed="false">
      <c r="C2" s="65" t="s">
        <v>541</v>
      </c>
      <c r="D2" s="65"/>
      <c r="E2" s="65"/>
      <c r="F2" s="65"/>
      <c r="G2" s="65"/>
    </row>
    <row r="3" customFormat="false" ht="78" hidden="false" customHeight="true" outlineLevel="0" collapsed="false">
      <c r="C3" s="66" t="s">
        <v>542</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4</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6</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1</v>
      </c>
      <c r="F10" s="8" t="n">
        <f aca="false">SUMIFS($E$19:$E$400,$A$19:$A$400,B10,$B$19:$B$400,"check")</f>
        <v>0</v>
      </c>
      <c r="G10" s="8" t="n">
        <f aca="false">COUNTIFS($A$19:$A$400,B10,$B$19:$B$400,"check")</f>
        <v>6</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4</v>
      </c>
      <c r="F11" s="8" t="n">
        <f aca="false">SUMIFS($E$19:$E$400,$A$19:$A$400,B11,$B$19:$B$400,"check")</f>
        <v>0</v>
      </c>
      <c r="G11" s="8" t="n">
        <f aca="false">COUNTIFS($A$19:$A$400,B11,$B$19:$B$400,"check")</f>
        <v>2</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4</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89" t="n">
        <v>1</v>
      </c>
      <c r="B19" s="90" t="s">
        <v>333</v>
      </c>
      <c r="C19" s="91" t="s">
        <v>543</v>
      </c>
      <c r="D19" s="91"/>
      <c r="E19" s="91"/>
      <c r="F19" s="91"/>
      <c r="G19" s="91"/>
    </row>
    <row r="20" customFormat="false" ht="30" hidden="false" customHeight="true" outlineLevel="0" collapsed="false">
      <c r="B20" s="73" t="s">
        <v>335</v>
      </c>
      <c r="C20" s="74" t="s">
        <v>544</v>
      </c>
      <c r="D20" s="74"/>
      <c r="E20" s="74"/>
      <c r="F20" s="74"/>
      <c r="G20" s="74"/>
    </row>
    <row r="21" customFormat="false" ht="15" hidden="false" customHeight="false" outlineLevel="0" collapsed="false">
      <c r="A21" s="75" t="n">
        <v>1</v>
      </c>
      <c r="B21" s="73" t="s">
        <v>337</v>
      </c>
      <c r="C21" s="4" t="s">
        <v>545</v>
      </c>
      <c r="D21" s="76"/>
      <c r="E21" s="73" t="n">
        <f aca="false">IF(D21&lt;&gt;"",1,0)</f>
        <v>0</v>
      </c>
      <c r="F21" s="77" t="n">
        <v>3</v>
      </c>
      <c r="G21" s="43" t="s">
        <v>339</v>
      </c>
    </row>
    <row r="22" customFormat="false" ht="48" hidden="false" customHeight="true" outlineLevel="0" collapsed="false">
      <c r="A22" s="75" t="n">
        <v>1</v>
      </c>
      <c r="B22" s="73" t="s">
        <v>337</v>
      </c>
      <c r="C22" s="4" t="s">
        <v>546</v>
      </c>
      <c r="D22" s="76"/>
      <c r="E22" s="73" t="n">
        <f aca="false">IF(D22&lt;&gt;"",1,0)</f>
        <v>0</v>
      </c>
      <c r="F22" s="77" t="s">
        <v>547</v>
      </c>
      <c r="G22" s="43" t="s">
        <v>548</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549</v>
      </c>
      <c r="D24" s="79"/>
      <c r="E24" s="73" t="n">
        <f aca="false">IF(D24="Y",1,0)</f>
        <v>0</v>
      </c>
      <c r="G24" s="80" t="s">
        <v>349</v>
      </c>
    </row>
    <row r="25" customFormat="false" ht="15" hidden="false" customHeight="false" outlineLevel="0" collapsed="false">
      <c r="A25" s="75" t="n">
        <v>1</v>
      </c>
      <c r="B25" s="73" t="s">
        <v>347</v>
      </c>
      <c r="C25" s="4" t="s">
        <v>550</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89" t="n">
        <v>2</v>
      </c>
      <c r="B28" s="90" t="s">
        <v>333</v>
      </c>
      <c r="C28" s="91" t="s">
        <v>551</v>
      </c>
      <c r="D28" s="91"/>
      <c r="E28" s="91"/>
      <c r="F28" s="91"/>
      <c r="G28" s="91"/>
    </row>
    <row r="29" customFormat="false" ht="30" hidden="false" customHeight="true" outlineLevel="0" collapsed="false">
      <c r="B29" s="73" t="s">
        <v>335</v>
      </c>
      <c r="C29" s="74" t="s">
        <v>552</v>
      </c>
      <c r="D29" s="74"/>
      <c r="E29" s="74"/>
      <c r="F29" s="74"/>
      <c r="G29" s="74"/>
    </row>
    <row r="30" customFormat="false" ht="15" hidden="false" customHeight="false" outlineLevel="0" collapsed="false">
      <c r="A30" s="75" t="n">
        <v>2</v>
      </c>
      <c r="B30" s="73" t="s">
        <v>337</v>
      </c>
      <c r="C30" s="4" t="s">
        <v>553</v>
      </c>
      <c r="D30" s="76"/>
      <c r="E30" s="73" t="n">
        <f aca="false">IF(D30&lt;&gt;"",1,0)</f>
        <v>0</v>
      </c>
      <c r="F30" s="77" t="n">
        <v>20</v>
      </c>
      <c r="G30" s="43"/>
    </row>
    <row r="31" customFormat="false" ht="15" hidden="false" customHeight="false" outlineLevel="0" collapsed="false">
      <c r="A31" s="75" t="n">
        <v>2</v>
      </c>
      <c r="B31" s="73" t="s">
        <v>337</v>
      </c>
      <c r="C31" s="4" t="s">
        <v>554</v>
      </c>
      <c r="D31" s="76"/>
      <c r="E31" s="73" t="n">
        <f aca="false">IF(D31&lt;&gt;"",1,0)</f>
        <v>0</v>
      </c>
      <c r="F31" s="77" t="n">
        <v>14</v>
      </c>
      <c r="G31" s="43"/>
    </row>
    <row r="32" customFormat="false" ht="15" hidden="false" customHeight="false" outlineLevel="0" collapsed="false">
      <c r="A32" s="75" t="n">
        <v>2</v>
      </c>
      <c r="B32" s="73" t="s">
        <v>337</v>
      </c>
      <c r="C32" s="4" t="s">
        <v>555</v>
      </c>
      <c r="D32" s="76"/>
      <c r="E32" s="73" t="n">
        <f aca="false">IF(D32&lt;&gt;"",1,0)</f>
        <v>0</v>
      </c>
      <c r="F32" s="77" t="n">
        <v>5</v>
      </c>
      <c r="G32" s="43"/>
    </row>
    <row r="33" customFormat="false" ht="15" hidden="false" customHeight="false" outlineLevel="0" collapsed="false">
      <c r="A33" s="75" t="n">
        <v>2</v>
      </c>
      <c r="B33" s="73" t="s">
        <v>337</v>
      </c>
      <c r="C33" s="4" t="s">
        <v>556</v>
      </c>
      <c r="D33" s="82"/>
      <c r="E33" s="73" t="n">
        <f aca="false">IF(D33&lt;&gt;"",1,0)</f>
        <v>0</v>
      </c>
      <c r="F33" s="83" t="n">
        <v>6000</v>
      </c>
      <c r="G33" s="43" t="s">
        <v>557</v>
      </c>
    </row>
    <row r="34" customFormat="false" ht="15" hidden="false" customHeight="false" outlineLevel="0" collapsed="false">
      <c r="B34" s="73" t="s">
        <v>345</v>
      </c>
      <c r="C34" s="78" t="s">
        <v>346</v>
      </c>
    </row>
    <row r="35" customFormat="false" ht="23.85" hidden="false" customHeight="false" outlineLevel="0" collapsed="false">
      <c r="A35" s="75" t="n">
        <v>2</v>
      </c>
      <c r="B35" s="73" t="s">
        <v>347</v>
      </c>
      <c r="C35" s="4" t="s">
        <v>558</v>
      </c>
      <c r="D35" s="79"/>
      <c r="E35" s="73" t="n">
        <f aca="false">IF(D35="Y",1,0)</f>
        <v>0</v>
      </c>
      <c r="G35" s="80" t="s">
        <v>349</v>
      </c>
    </row>
    <row r="36" customFormat="false" ht="15" hidden="false" customHeight="false" outlineLevel="0" collapsed="false">
      <c r="B36" s="73" t="s">
        <v>351</v>
      </c>
      <c r="C36" s="81" t="s">
        <v>559</v>
      </c>
      <c r="D36" s="81"/>
      <c r="E36" s="81"/>
      <c r="F36" s="81"/>
      <c r="G36" s="81"/>
    </row>
    <row r="38" customFormat="false" ht="15" hidden="false" customHeight="false" outlineLevel="0" collapsed="false">
      <c r="A38" s="89" t="n">
        <v>3</v>
      </c>
      <c r="B38" s="90" t="s">
        <v>333</v>
      </c>
      <c r="C38" s="91" t="s">
        <v>560</v>
      </c>
      <c r="D38" s="91"/>
      <c r="E38" s="91"/>
      <c r="F38" s="91"/>
      <c r="G38" s="91"/>
    </row>
    <row r="39" customFormat="false" ht="30" hidden="false" customHeight="true" outlineLevel="0" collapsed="false">
      <c r="B39" s="73" t="s">
        <v>335</v>
      </c>
      <c r="C39" s="74" t="s">
        <v>561</v>
      </c>
      <c r="D39" s="74"/>
      <c r="E39" s="74"/>
      <c r="F39" s="74"/>
      <c r="G39" s="74"/>
    </row>
    <row r="40" customFormat="false" ht="48" hidden="false" customHeight="true" outlineLevel="0" collapsed="false">
      <c r="A40" s="75" t="n">
        <v>3</v>
      </c>
      <c r="B40" s="73" t="s">
        <v>337</v>
      </c>
      <c r="C40" s="4" t="s">
        <v>562</v>
      </c>
      <c r="D40" s="76"/>
      <c r="E40" s="73" t="n">
        <f aca="false">IF(D40&lt;&gt;"",1,0)</f>
        <v>0</v>
      </c>
      <c r="F40" s="77"/>
      <c r="G40" s="43" t="s">
        <v>563</v>
      </c>
    </row>
    <row r="41" customFormat="false" ht="48" hidden="false" customHeight="true" outlineLevel="0" collapsed="false">
      <c r="A41" s="75" t="n">
        <v>3</v>
      </c>
      <c r="B41" s="73" t="s">
        <v>337</v>
      </c>
      <c r="C41" s="4" t="s">
        <v>564</v>
      </c>
      <c r="D41" s="76"/>
      <c r="E41" s="73" t="n">
        <f aca="false">IF(D41&lt;&gt;"",1,0)</f>
        <v>0</v>
      </c>
      <c r="F41" s="77"/>
      <c r="G41" s="43" t="s">
        <v>565</v>
      </c>
    </row>
    <row r="42" customFormat="false" ht="48" hidden="false" customHeight="true" outlineLevel="0" collapsed="false">
      <c r="A42" s="75" t="n">
        <v>3</v>
      </c>
      <c r="B42" s="73" t="s">
        <v>337</v>
      </c>
      <c r="C42" s="4" t="s">
        <v>566</v>
      </c>
      <c r="D42" s="76"/>
      <c r="E42" s="73" t="n">
        <f aca="false">IF(D42&lt;&gt;"",1,0)</f>
        <v>0</v>
      </c>
      <c r="F42" s="77"/>
      <c r="G42" s="43" t="s">
        <v>567</v>
      </c>
    </row>
    <row r="43" customFormat="false" ht="48" hidden="false" customHeight="true" outlineLevel="0" collapsed="false">
      <c r="A43" s="75" t="n">
        <v>3</v>
      </c>
      <c r="B43" s="73" t="s">
        <v>337</v>
      </c>
      <c r="C43" s="4" t="s">
        <v>568</v>
      </c>
      <c r="D43" s="76"/>
      <c r="E43" s="73" t="n">
        <f aca="false">IF(D43&lt;&gt;"",1,0)</f>
        <v>0</v>
      </c>
      <c r="F43" s="77"/>
      <c r="G43" s="43" t="s">
        <v>569</v>
      </c>
    </row>
    <row r="44" customFormat="false" ht="48" hidden="false" customHeight="true" outlineLevel="0" collapsed="false">
      <c r="A44" s="75" t="n">
        <v>3</v>
      </c>
      <c r="B44" s="73" t="s">
        <v>337</v>
      </c>
      <c r="C44" s="4" t="s">
        <v>570</v>
      </c>
      <c r="D44" s="76"/>
      <c r="E44" s="73" t="n">
        <f aca="false">IF(D44&lt;&gt;"",1,0)</f>
        <v>0</v>
      </c>
      <c r="F44" s="77"/>
      <c r="G44" s="43" t="s">
        <v>571</v>
      </c>
    </row>
    <row r="45" customFormat="false" ht="48" hidden="false" customHeight="true" outlineLevel="0" collapsed="false">
      <c r="A45" s="75" t="n">
        <v>3</v>
      </c>
      <c r="B45" s="73" t="s">
        <v>337</v>
      </c>
      <c r="C45" s="4" t="s">
        <v>572</v>
      </c>
      <c r="D45" s="76"/>
      <c r="E45" s="73" t="n">
        <f aca="false">IF(D45&lt;&gt;"",1,0)</f>
        <v>0</v>
      </c>
      <c r="F45" s="77"/>
      <c r="G45" s="43" t="s">
        <v>573</v>
      </c>
    </row>
    <row r="46" customFormat="false" ht="15" hidden="false" customHeight="false" outlineLevel="0" collapsed="false">
      <c r="B46" s="73" t="s">
        <v>345</v>
      </c>
      <c r="C46" s="78" t="s">
        <v>346</v>
      </c>
    </row>
    <row r="47" customFormat="false" ht="15" hidden="false" customHeight="false" outlineLevel="0" collapsed="false">
      <c r="A47" s="75" t="n">
        <v>3</v>
      </c>
      <c r="B47" s="73" t="s">
        <v>347</v>
      </c>
      <c r="C47" s="4" t="s">
        <v>574</v>
      </c>
      <c r="D47" s="79"/>
      <c r="E47" s="73" t="n">
        <f aca="false">IF(D47="Y",1,0)</f>
        <v>0</v>
      </c>
      <c r="G47" s="80" t="s">
        <v>349</v>
      </c>
    </row>
    <row r="48" customFormat="false" ht="15" hidden="false" customHeight="false" outlineLevel="0" collapsed="false">
      <c r="A48" s="75" t="n">
        <v>3</v>
      </c>
      <c r="B48" s="73" t="s">
        <v>347</v>
      </c>
      <c r="C48" s="4" t="s">
        <v>575</v>
      </c>
      <c r="D48" s="79"/>
      <c r="E48" s="73" t="n">
        <f aca="false">IF(D48="Y",1,0)</f>
        <v>0</v>
      </c>
      <c r="G48" s="80" t="s">
        <v>349</v>
      </c>
    </row>
    <row r="49" customFormat="false" ht="15" hidden="false" customHeight="false" outlineLevel="0" collapsed="false">
      <c r="B49" s="73" t="s">
        <v>351</v>
      </c>
      <c r="C49" s="81" t="s">
        <v>576</v>
      </c>
      <c r="D49" s="81"/>
      <c r="E49" s="81"/>
      <c r="F49" s="81"/>
      <c r="G49" s="81"/>
    </row>
    <row r="51" customFormat="false" ht="15" hidden="false" customHeight="false" outlineLevel="0" collapsed="false">
      <c r="A51" s="89" t="n">
        <v>4</v>
      </c>
      <c r="B51" s="90" t="s">
        <v>333</v>
      </c>
      <c r="C51" s="91" t="s">
        <v>577</v>
      </c>
      <c r="D51" s="91"/>
      <c r="E51" s="91"/>
      <c r="F51" s="91"/>
      <c r="G51" s="91"/>
    </row>
    <row r="52" customFormat="false" ht="30" hidden="false" customHeight="true" outlineLevel="0" collapsed="false">
      <c r="B52" s="73" t="s">
        <v>335</v>
      </c>
      <c r="C52" s="74" t="s">
        <v>578</v>
      </c>
      <c r="D52" s="74"/>
      <c r="E52" s="74"/>
      <c r="F52" s="74"/>
      <c r="G52" s="74"/>
    </row>
    <row r="53" customFormat="false" ht="22.35" hidden="false" customHeight="false" outlineLevel="0" collapsed="false">
      <c r="A53" s="75" t="n">
        <v>4</v>
      </c>
      <c r="B53" s="73" t="s">
        <v>337</v>
      </c>
      <c r="C53" s="4" t="s">
        <v>579</v>
      </c>
      <c r="D53" s="84" t="str">
        <f aca="false">IF(COUNTA(C55:D62)&gt;0,"logged","")</f>
        <v/>
      </c>
      <c r="E53" s="73" t="n">
        <f aca="false">IF(COUNTA(C55:D62)&gt;0,1,0)</f>
        <v>0</v>
      </c>
      <c r="F53" s="7"/>
      <c r="G53" s="43" t="s">
        <v>580</v>
      </c>
    </row>
    <row r="54" customFormat="false" ht="15" hidden="false" customHeight="false" outlineLevel="0" collapsed="false">
      <c r="B54" s="73" t="s">
        <v>464</v>
      </c>
      <c r="C54" s="85" t="s">
        <v>581</v>
      </c>
      <c r="D54" s="85" t="s">
        <v>329</v>
      </c>
    </row>
    <row r="55" customFormat="false" ht="15" hidden="false" customHeight="false" outlineLevel="0" collapsed="false">
      <c r="B55" s="73" t="s">
        <v>464</v>
      </c>
      <c r="C55" s="6"/>
      <c r="D55" s="6"/>
    </row>
    <row r="56" customFormat="false" ht="15" hidden="false" customHeight="false" outlineLevel="0" collapsed="false">
      <c r="B56" s="73" t="s">
        <v>464</v>
      </c>
      <c r="C56" s="6"/>
      <c r="D56" s="6"/>
    </row>
    <row r="57" customFormat="false" ht="15" hidden="false" customHeight="false" outlineLevel="0" collapsed="false">
      <c r="B57" s="73" t="s">
        <v>464</v>
      </c>
      <c r="C57" s="6"/>
      <c r="D57" s="6"/>
    </row>
    <row r="58" customFormat="false" ht="15" hidden="false" customHeight="false" outlineLevel="0" collapsed="false">
      <c r="B58" s="73" t="s">
        <v>464</v>
      </c>
      <c r="C58" s="6"/>
      <c r="D58" s="6"/>
    </row>
    <row r="59" customFormat="false" ht="15" hidden="false" customHeight="false" outlineLevel="0" collapsed="false">
      <c r="B59" s="73" t="s">
        <v>464</v>
      </c>
      <c r="C59" s="6"/>
      <c r="D59" s="6"/>
    </row>
    <row r="60" customFormat="false" ht="15" hidden="false" customHeight="false" outlineLevel="0" collapsed="false">
      <c r="B60" s="73" t="s">
        <v>464</v>
      </c>
      <c r="C60" s="6"/>
      <c r="D60" s="6"/>
    </row>
    <row r="61" customFormat="false" ht="15" hidden="false" customHeight="false" outlineLevel="0" collapsed="false">
      <c r="B61" s="73" t="s">
        <v>464</v>
      </c>
      <c r="C61" s="6"/>
      <c r="D61" s="6"/>
    </row>
    <row r="62" customFormat="false" ht="15" hidden="false" customHeight="false" outlineLevel="0" collapsed="false">
      <c r="B62" s="73" t="s">
        <v>464</v>
      </c>
      <c r="C62" s="6"/>
      <c r="D62" s="6"/>
    </row>
    <row r="63" customFormat="false" ht="15" hidden="false" customHeight="false" outlineLevel="0" collapsed="false">
      <c r="B63" s="73" t="s">
        <v>345</v>
      </c>
      <c r="C63" s="78" t="s">
        <v>346</v>
      </c>
    </row>
    <row r="64" customFormat="false" ht="15" hidden="false" customHeight="false" outlineLevel="0" collapsed="false">
      <c r="A64" s="75" t="n">
        <v>4</v>
      </c>
      <c r="B64" s="73" t="s">
        <v>347</v>
      </c>
      <c r="C64" s="4" t="s">
        <v>582</v>
      </c>
      <c r="D64" s="79"/>
      <c r="E64" s="73" t="n">
        <f aca="false">IF(D64="Y",1,0)</f>
        <v>0</v>
      </c>
      <c r="G64" s="80" t="s">
        <v>349</v>
      </c>
    </row>
    <row r="65" customFormat="false" ht="15" hidden="false" customHeight="false" outlineLevel="0" collapsed="false">
      <c r="A65" s="75" t="n">
        <v>4</v>
      </c>
      <c r="B65" s="73" t="s">
        <v>347</v>
      </c>
      <c r="C65" s="4" t="s">
        <v>583</v>
      </c>
      <c r="D65" s="79"/>
      <c r="E65" s="73" t="n">
        <f aca="false">IF(D65="Y",1,0)</f>
        <v>0</v>
      </c>
      <c r="G65" s="80" t="s">
        <v>349</v>
      </c>
    </row>
    <row r="66" customFormat="false" ht="15" hidden="false" customHeight="false" outlineLevel="0" collapsed="false">
      <c r="A66" s="75" t="n">
        <v>4</v>
      </c>
      <c r="B66" s="73" t="s">
        <v>347</v>
      </c>
      <c r="C66" s="4" t="s">
        <v>584</v>
      </c>
      <c r="D66" s="79"/>
      <c r="E66" s="73" t="n">
        <f aca="false">IF(D66="Y",1,0)</f>
        <v>0</v>
      </c>
      <c r="G66" s="80" t="s">
        <v>349</v>
      </c>
    </row>
    <row r="67" customFormat="false" ht="15" hidden="false" customHeight="false" outlineLevel="0" collapsed="false">
      <c r="A67" s="75" t="n">
        <v>4</v>
      </c>
      <c r="B67" s="73" t="s">
        <v>347</v>
      </c>
      <c r="C67" s="4" t="s">
        <v>585</v>
      </c>
      <c r="D67" s="79"/>
      <c r="E67" s="73" t="n">
        <f aca="false">IF(D67="Y",1,0)</f>
        <v>0</v>
      </c>
      <c r="G67" s="80" t="s">
        <v>349</v>
      </c>
    </row>
    <row r="68" customFormat="false" ht="15" hidden="false" customHeight="false" outlineLevel="0" collapsed="false">
      <c r="A68" s="75" t="n">
        <v>4</v>
      </c>
      <c r="B68" s="73" t="s">
        <v>347</v>
      </c>
      <c r="C68" s="4" t="s">
        <v>586</v>
      </c>
      <c r="D68" s="79"/>
      <c r="E68" s="73" t="n">
        <f aca="false">IF(D68="Y",1,0)</f>
        <v>0</v>
      </c>
      <c r="G68" s="80" t="s">
        <v>349</v>
      </c>
    </row>
    <row r="69" customFormat="false" ht="15" hidden="false" customHeight="false" outlineLevel="0" collapsed="false">
      <c r="A69" s="75" t="n">
        <v>4</v>
      </c>
      <c r="B69" s="73" t="s">
        <v>347</v>
      </c>
      <c r="C69" s="4" t="s">
        <v>587</v>
      </c>
      <c r="D69" s="79"/>
      <c r="E69" s="73" t="n">
        <f aca="false">IF(D69="Y",1,0)</f>
        <v>0</v>
      </c>
      <c r="G69" s="80" t="s">
        <v>349</v>
      </c>
    </row>
    <row r="70" customFormat="false" ht="15" hidden="false" customHeight="false" outlineLevel="0" collapsed="false">
      <c r="B70" s="73" t="s">
        <v>351</v>
      </c>
      <c r="C70" s="81" t="s">
        <v>588</v>
      </c>
      <c r="D70" s="81"/>
      <c r="E70" s="81"/>
      <c r="F70" s="81"/>
      <c r="G70" s="81"/>
    </row>
    <row r="72" customFormat="false" ht="15" hidden="false" customHeight="false" outlineLevel="0" collapsed="false">
      <c r="A72" s="89" t="n">
        <v>5</v>
      </c>
      <c r="B72" s="90" t="s">
        <v>333</v>
      </c>
      <c r="C72" s="91" t="s">
        <v>589</v>
      </c>
      <c r="D72" s="91"/>
      <c r="E72" s="91"/>
      <c r="F72" s="91"/>
      <c r="G72" s="91"/>
    </row>
    <row r="73" customFormat="false" ht="30" hidden="false" customHeight="true" outlineLevel="0" collapsed="false">
      <c r="B73" s="73" t="s">
        <v>335</v>
      </c>
      <c r="C73" s="74" t="s">
        <v>590</v>
      </c>
      <c r="D73" s="74"/>
      <c r="E73" s="74"/>
      <c r="F73" s="74"/>
      <c r="G73" s="74"/>
    </row>
    <row r="74" customFormat="false" ht="15" hidden="false" customHeight="false" outlineLevel="0" collapsed="false">
      <c r="A74" s="75" t="n">
        <v>5</v>
      </c>
      <c r="B74" s="73" t="s">
        <v>337</v>
      </c>
      <c r="C74" s="4" t="s">
        <v>591</v>
      </c>
      <c r="D74" s="76"/>
      <c r="E74" s="73" t="n">
        <f aca="false">IF(D74&lt;&gt;"",1,0)</f>
        <v>0</v>
      </c>
      <c r="F74" s="77" t="n">
        <v>16</v>
      </c>
      <c r="G74" s="43" t="s">
        <v>592</v>
      </c>
    </row>
    <row r="75" customFormat="false" ht="15" hidden="false" customHeight="false" outlineLevel="0" collapsed="false">
      <c r="A75" s="75" t="n">
        <v>5</v>
      </c>
      <c r="B75" s="73" t="s">
        <v>337</v>
      </c>
      <c r="C75" s="4" t="s">
        <v>593</v>
      </c>
      <c r="D75" s="76"/>
      <c r="E75" s="73" t="n">
        <f aca="false">IF(D75&lt;&gt;"",1,0)</f>
        <v>0</v>
      </c>
      <c r="F75" s="77" t="n">
        <v>7</v>
      </c>
      <c r="G75" s="43"/>
    </row>
    <row r="76" customFormat="false" ht="15" hidden="false" customHeight="false" outlineLevel="0" collapsed="false">
      <c r="A76" s="75" t="n">
        <v>5</v>
      </c>
      <c r="B76" s="73" t="s">
        <v>337</v>
      </c>
      <c r="C76" s="4" t="s">
        <v>594</v>
      </c>
      <c r="D76" s="82"/>
      <c r="E76" s="73" t="n">
        <f aca="false">IF(D76&lt;&gt;"",1,0)</f>
        <v>0</v>
      </c>
      <c r="F76" s="83" t="n">
        <v>9000</v>
      </c>
      <c r="G76" s="43" t="s">
        <v>595</v>
      </c>
    </row>
    <row r="77" customFormat="false" ht="15" hidden="false" customHeight="false" outlineLevel="0" collapsed="false">
      <c r="A77" s="75" t="n">
        <v>5</v>
      </c>
      <c r="B77" s="73" t="s">
        <v>337</v>
      </c>
      <c r="C77" s="4" t="s">
        <v>200</v>
      </c>
      <c r="D77" s="84" t="str">
        <f aca="false">IF(COUNTA(C79:E86)&gt;0,"logged","")</f>
        <v/>
      </c>
      <c r="E77" s="73" t="n">
        <f aca="false">IF(COUNTA(C79:E86)&gt;0,1,0)</f>
        <v>0</v>
      </c>
      <c r="F77" s="7" t="s">
        <v>596</v>
      </c>
      <c r="G77" s="43" t="s">
        <v>597</v>
      </c>
    </row>
    <row r="78" customFormat="false" ht="15" hidden="false" customHeight="false" outlineLevel="0" collapsed="false">
      <c r="B78" s="73" t="s">
        <v>464</v>
      </c>
      <c r="C78" s="85" t="s">
        <v>598</v>
      </c>
      <c r="D78" s="85" t="s">
        <v>599</v>
      </c>
      <c r="E78" s="85" t="s">
        <v>600</v>
      </c>
    </row>
    <row r="79" customFormat="false" ht="15" hidden="false" customHeight="false" outlineLevel="0" collapsed="false">
      <c r="B79" s="73" t="s">
        <v>464</v>
      </c>
      <c r="C79" s="6"/>
      <c r="D79" s="6"/>
      <c r="E79" s="6"/>
    </row>
    <row r="80" customFormat="false" ht="15" hidden="false" customHeight="false" outlineLevel="0" collapsed="false">
      <c r="B80" s="73" t="s">
        <v>464</v>
      </c>
      <c r="C80" s="6"/>
      <c r="D80" s="6"/>
      <c r="E80" s="6"/>
    </row>
    <row r="81" customFormat="false" ht="15" hidden="false" customHeight="false" outlineLevel="0" collapsed="false">
      <c r="B81" s="73" t="s">
        <v>464</v>
      </c>
      <c r="C81" s="6"/>
      <c r="D81" s="6"/>
      <c r="E81" s="6"/>
    </row>
    <row r="82" customFormat="false" ht="15" hidden="false" customHeight="false" outlineLevel="0" collapsed="false">
      <c r="B82" s="73" t="s">
        <v>464</v>
      </c>
      <c r="C82" s="6"/>
      <c r="D82" s="6"/>
      <c r="E82" s="6"/>
    </row>
    <row r="83" customFormat="false" ht="15" hidden="false" customHeight="false" outlineLevel="0" collapsed="false">
      <c r="B83" s="73" t="s">
        <v>464</v>
      </c>
      <c r="C83" s="6"/>
      <c r="D83" s="6"/>
      <c r="E83" s="6"/>
    </row>
    <row r="84" customFormat="false" ht="15" hidden="false" customHeight="false" outlineLevel="0" collapsed="false">
      <c r="B84" s="73" t="s">
        <v>464</v>
      </c>
      <c r="C84" s="6"/>
      <c r="D84" s="6"/>
      <c r="E84" s="6"/>
    </row>
    <row r="85" customFormat="false" ht="15" hidden="false" customHeight="false" outlineLevel="0" collapsed="false">
      <c r="B85" s="73" t="s">
        <v>464</v>
      </c>
      <c r="C85" s="6"/>
      <c r="D85" s="6"/>
      <c r="E85" s="6"/>
    </row>
    <row r="86" customFormat="false" ht="15" hidden="false" customHeight="false" outlineLevel="0" collapsed="false">
      <c r="B86" s="73" t="s">
        <v>464</v>
      </c>
      <c r="C86" s="6"/>
      <c r="D86" s="6"/>
      <c r="E86" s="6"/>
    </row>
    <row r="87" customFormat="false" ht="15" hidden="false" customHeight="false" outlineLevel="0" collapsed="false">
      <c r="B87" s="73" t="s">
        <v>345</v>
      </c>
      <c r="C87" s="78" t="s">
        <v>346</v>
      </c>
    </row>
    <row r="88" customFormat="false" ht="15" hidden="false" customHeight="false" outlineLevel="0" collapsed="false">
      <c r="A88" s="75" t="n">
        <v>5</v>
      </c>
      <c r="B88" s="73" t="s">
        <v>347</v>
      </c>
      <c r="C88" s="4" t="s">
        <v>601</v>
      </c>
      <c r="D88" s="79"/>
      <c r="E88" s="73" t="n">
        <f aca="false">IF(D88="Y",1,0)</f>
        <v>0</v>
      </c>
      <c r="G88" s="80" t="s">
        <v>349</v>
      </c>
    </row>
    <row r="89" customFormat="false" ht="15" hidden="false" customHeight="false" outlineLevel="0" collapsed="false">
      <c r="A89" s="75" t="n">
        <v>5</v>
      </c>
      <c r="B89" s="73" t="s">
        <v>347</v>
      </c>
      <c r="C89" s="4" t="s">
        <v>602</v>
      </c>
      <c r="D89" s="79"/>
      <c r="E89" s="73" t="n">
        <f aca="false">IF(D89="Y",1,0)</f>
        <v>0</v>
      </c>
      <c r="G89" s="80" t="s">
        <v>349</v>
      </c>
    </row>
    <row r="90" customFormat="false" ht="15" hidden="false" customHeight="false" outlineLevel="0" collapsed="false">
      <c r="B90" s="73" t="s">
        <v>351</v>
      </c>
      <c r="C90" s="81" t="s">
        <v>603</v>
      </c>
      <c r="D90" s="81"/>
      <c r="E90" s="81"/>
      <c r="F90" s="81"/>
      <c r="G90" s="81"/>
    </row>
    <row r="92" customFormat="false" ht="15" hidden="false" customHeight="false" outlineLevel="0" collapsed="false">
      <c r="A92" s="89" t="n">
        <v>6</v>
      </c>
      <c r="B92" s="90" t="s">
        <v>333</v>
      </c>
      <c r="C92" s="91" t="s">
        <v>604</v>
      </c>
      <c r="D92" s="91"/>
      <c r="E92" s="91"/>
      <c r="F92" s="91"/>
      <c r="G92" s="91"/>
    </row>
    <row r="93" customFormat="false" ht="30" hidden="false" customHeight="true" outlineLevel="0" collapsed="false">
      <c r="B93" s="73" t="s">
        <v>335</v>
      </c>
      <c r="C93" s="74" t="s">
        <v>605</v>
      </c>
      <c r="D93" s="74"/>
      <c r="E93" s="74"/>
      <c r="F93" s="74"/>
      <c r="G93" s="74"/>
    </row>
    <row r="94" customFormat="false" ht="15" hidden="false" customHeight="false" outlineLevel="0" collapsed="false">
      <c r="A94" s="75" t="n">
        <v>6</v>
      </c>
      <c r="B94" s="73" t="s">
        <v>337</v>
      </c>
      <c r="C94" s="4" t="s">
        <v>606</v>
      </c>
      <c r="D94" s="76"/>
      <c r="E94" s="73" t="n">
        <f aca="false">IF(D94&lt;&gt;"",1,0)</f>
        <v>0</v>
      </c>
      <c r="F94" s="77"/>
      <c r="G94" s="43" t="s">
        <v>344</v>
      </c>
    </row>
    <row r="95" customFormat="false" ht="15" hidden="false" customHeight="false" outlineLevel="0" collapsed="false">
      <c r="A95" s="75" t="n">
        <v>6</v>
      </c>
      <c r="B95" s="73" t="s">
        <v>337</v>
      </c>
      <c r="C95" s="4" t="s">
        <v>607</v>
      </c>
      <c r="D95" s="76"/>
      <c r="E95" s="73" t="n">
        <f aca="false">IF(D95&lt;&gt;"",1,0)</f>
        <v>0</v>
      </c>
      <c r="F95" s="77"/>
      <c r="G95" s="43" t="s">
        <v>608</v>
      </c>
    </row>
    <row r="96" customFormat="false" ht="15" hidden="false" customHeight="false" outlineLevel="0" collapsed="false">
      <c r="B96" s="73" t="s">
        <v>345</v>
      </c>
      <c r="C96" s="78" t="s">
        <v>346</v>
      </c>
    </row>
    <row r="97" customFormat="false" ht="15" hidden="false" customHeight="false" outlineLevel="0" collapsed="false">
      <c r="A97" s="75" t="n">
        <v>6</v>
      </c>
      <c r="B97" s="73" t="s">
        <v>347</v>
      </c>
      <c r="C97" s="4" t="s">
        <v>609</v>
      </c>
      <c r="D97" s="79"/>
      <c r="E97" s="73" t="n">
        <f aca="false">IF(D97="Y",1,0)</f>
        <v>0</v>
      </c>
      <c r="G97" s="80" t="s">
        <v>349</v>
      </c>
    </row>
    <row r="98" customFormat="false" ht="15" hidden="false" customHeight="false" outlineLevel="0" collapsed="false">
      <c r="A98" s="75" t="n">
        <v>6</v>
      </c>
      <c r="B98" s="73" t="s">
        <v>347</v>
      </c>
      <c r="C98" s="4" t="s">
        <v>610</v>
      </c>
      <c r="D98" s="79"/>
      <c r="E98" s="73" t="n">
        <f aca="false">IF(D98="Y",1,0)</f>
        <v>0</v>
      </c>
      <c r="G98" s="80" t="s">
        <v>349</v>
      </c>
    </row>
    <row r="99" customFormat="false" ht="15" hidden="false" customHeight="false" outlineLevel="0" collapsed="false">
      <c r="A99" s="75" t="n">
        <v>6</v>
      </c>
      <c r="B99" s="73" t="s">
        <v>347</v>
      </c>
      <c r="C99" s="4" t="s">
        <v>611</v>
      </c>
      <c r="D99" s="79"/>
      <c r="E99" s="73" t="n">
        <f aca="false">IF(D99="Y",1,0)</f>
        <v>0</v>
      </c>
      <c r="G99" s="80" t="s">
        <v>349</v>
      </c>
    </row>
    <row r="100" customFormat="false" ht="15" hidden="false" customHeight="false" outlineLevel="0" collapsed="false">
      <c r="A100" s="75" t="n">
        <v>6</v>
      </c>
      <c r="B100" s="73" t="s">
        <v>347</v>
      </c>
      <c r="C100" s="4" t="s">
        <v>612</v>
      </c>
      <c r="D100" s="79"/>
      <c r="E100" s="73" t="n">
        <f aca="false">IF(D100="Y",1,0)</f>
        <v>0</v>
      </c>
      <c r="G100" s="80" t="s">
        <v>349</v>
      </c>
    </row>
    <row r="101" customFormat="false" ht="15" hidden="false" customHeight="false" outlineLevel="0" collapsed="false">
      <c r="B101" s="73" t="s">
        <v>351</v>
      </c>
      <c r="C101" s="81" t="s">
        <v>613</v>
      </c>
      <c r="D101" s="81"/>
      <c r="E101" s="81"/>
      <c r="F101" s="81"/>
      <c r="G101" s="81"/>
    </row>
  </sheetData>
  <mergeCells count="21">
    <mergeCell ref="C2:G2"/>
    <mergeCell ref="C3:G3"/>
    <mergeCell ref="F13:G15"/>
    <mergeCell ref="C19:G19"/>
    <mergeCell ref="C20:G20"/>
    <mergeCell ref="C26:G26"/>
    <mergeCell ref="C28:G28"/>
    <mergeCell ref="C29:G29"/>
    <mergeCell ref="C36:G36"/>
    <mergeCell ref="C38:G38"/>
    <mergeCell ref="C39:G39"/>
    <mergeCell ref="C49:G49"/>
    <mergeCell ref="C51:G51"/>
    <mergeCell ref="C52:G52"/>
    <mergeCell ref="C70:G70"/>
    <mergeCell ref="C72:G72"/>
    <mergeCell ref="C73:G73"/>
    <mergeCell ref="C90:G90"/>
    <mergeCell ref="C92:G92"/>
    <mergeCell ref="C93:G93"/>
    <mergeCell ref="C101:G101"/>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9">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5" type="list">
      <formula1>Lists!$U$2:$U$3</formula1>
      <formula2>0</formula2>
    </dataValidation>
    <dataValidation allowBlank="true" errorStyle="stop" operator="between" showDropDown="false" showErrorMessage="false" showInputMessage="false" sqref="D47" type="list">
      <formula1>Lists!$U$2:$U$3</formula1>
      <formula2>0</formula2>
    </dataValidation>
    <dataValidation allowBlank="true" errorStyle="stop" operator="between" showDropDown="false" showErrorMessage="false" showInputMessage="false" sqref="D48" type="list">
      <formula1>Lists!$U$2:$U$3</formula1>
      <formula2>0</formula2>
    </dataValidation>
    <dataValidation allowBlank="true" errorStyle="stop" operator="between" showDropDown="false" showErrorMessage="false" showInputMessage="false" sqref="D64" type="list">
      <formula1>Lists!$U$2:$U$3</formula1>
      <formula2>0</formula2>
    </dataValidation>
    <dataValidation allowBlank="true" errorStyle="stop" operator="between" showDropDown="false" showErrorMessage="false" showInputMessage="false" sqref="D65" type="list">
      <formula1>Lists!$U$2:$U$3</formula1>
      <formula2>0</formula2>
    </dataValidation>
    <dataValidation allowBlank="true" errorStyle="stop" operator="between" showDropDown="false" showErrorMessage="false" showInputMessage="false" sqref="D66" type="list">
      <formula1>Lists!$U$2:$U$3</formula1>
      <formula2>0</formula2>
    </dataValidation>
    <dataValidation allowBlank="true" errorStyle="stop" operator="between" showDropDown="false" showErrorMessage="false" showInputMessage="false" sqref="D67" type="list">
      <formula1>Lists!$U$2:$U$3</formula1>
      <formula2>0</formula2>
    </dataValidation>
    <dataValidation allowBlank="true" errorStyle="stop" operator="between" showDropDown="false" showErrorMessage="false" showInputMessage="false" sqref="D68" type="list">
      <formula1>Lists!$U$2:$U$3</formula1>
      <formula2>0</formula2>
    </dataValidation>
    <dataValidation allowBlank="true" errorStyle="stop" operator="between" showDropDown="false" showErrorMessage="false" showInputMessage="false" sqref="D69" type="list">
      <formula1>Lists!$U$2:$U$3</formula1>
      <formula2>0</formula2>
    </dataValidation>
    <dataValidation allowBlank="true" errorStyle="stop" operator="between" showDropDown="false" showErrorMessage="false" showInputMessage="false" sqref="D88" type="list">
      <formula1>Lists!$U$2:$U$3</formula1>
      <formula2>0</formula2>
    </dataValidation>
    <dataValidation allowBlank="true" errorStyle="stop" operator="between" showDropDown="false" showErrorMessage="false" showInputMessage="false" sqref="D89" type="list">
      <formula1>Lists!$U$2:$U$3</formula1>
      <formula2>0</formula2>
    </dataValidation>
    <dataValidation allowBlank="true" errorStyle="stop" operator="between" showDropDown="false" showErrorMessage="false" showInputMessage="false" sqref="D94" type="list">
      <formula1>Lists!$H$2:$H$5</formula1>
      <formula2>0</formula2>
    </dataValidation>
    <dataValidation allowBlank="true" errorStyle="stop" operator="between" showDropDown="false" showErrorMessage="false" showInputMessage="false" sqref="D97" type="list">
      <formula1>Lists!$U$2:$U$3</formula1>
      <formula2>0</formula2>
    </dataValidation>
    <dataValidation allowBlank="true" errorStyle="stop" operator="between" showDropDown="false" showErrorMessage="false" showInputMessage="false" sqref="D98" type="list">
      <formula1>Lists!$U$2:$U$3</formula1>
      <formula2>0</formula2>
    </dataValidation>
    <dataValidation allowBlank="true" errorStyle="stop" operator="between" showDropDown="false" showErrorMessage="false" showInputMessage="false" sqref="D99" type="list">
      <formula1>Lists!$U$2:$U$3</formula1>
      <formula2>0</formula2>
    </dataValidation>
    <dataValidation allowBlank="true" errorStyle="stop" operator="between" showDropDown="false" showErrorMessage="false" showInputMessage="false" sqref="D100"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9E70"/>
    <pageSetUpPr fitToPage="true"/>
  </sheetPr>
  <dimension ref="A1:I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50</v>
      </c>
      <c r="D1" s="64" t="s">
        <v>540</v>
      </c>
    </row>
    <row r="2" customFormat="false" ht="15" hidden="false" customHeight="false" outlineLevel="0" collapsed="false">
      <c r="C2" s="65" t="s">
        <v>614</v>
      </c>
      <c r="D2" s="65"/>
      <c r="E2" s="65"/>
      <c r="F2" s="65"/>
      <c r="G2" s="65"/>
    </row>
    <row r="3" customFormat="false" ht="78" hidden="false" customHeight="true" outlineLevel="0" collapsed="false">
      <c r="C3" s="66" t="s">
        <v>615</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6</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3</v>
      </c>
      <c r="F11" s="8" t="n">
        <f aca="false">SUMIFS($E$19:$E$400,$A$19:$A$400,B11,$B$19:$B$400,"check")</f>
        <v>0</v>
      </c>
      <c r="G11" s="8" t="n">
        <f aca="false">COUNTIFS($A$19:$A$400,B11,$B$19:$B$400,"check")</f>
        <v>2</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89" t="n">
        <v>1</v>
      </c>
      <c r="B19" s="90" t="s">
        <v>333</v>
      </c>
      <c r="C19" s="91" t="s">
        <v>616</v>
      </c>
      <c r="D19" s="91"/>
      <c r="E19" s="91"/>
      <c r="F19" s="91"/>
      <c r="G19" s="91"/>
    </row>
    <row r="20" customFormat="false" ht="30" hidden="false" customHeight="true" outlineLevel="0" collapsed="false">
      <c r="B20" s="73" t="s">
        <v>335</v>
      </c>
      <c r="C20" s="74" t="s">
        <v>617</v>
      </c>
      <c r="D20" s="74"/>
      <c r="E20" s="74"/>
      <c r="F20" s="74"/>
      <c r="G20" s="74"/>
    </row>
    <row r="21" customFormat="false" ht="15" hidden="false" customHeight="false" outlineLevel="0" collapsed="false">
      <c r="A21" s="75" t="n">
        <v>1</v>
      </c>
      <c r="B21" s="73" t="s">
        <v>337</v>
      </c>
      <c r="C21" s="4" t="s">
        <v>618</v>
      </c>
      <c r="D21" s="76"/>
      <c r="E21" s="73" t="n">
        <f aca="false">IF(D21&lt;&gt;"",1,0)</f>
        <v>0</v>
      </c>
      <c r="F21" s="77" t="n">
        <v>2</v>
      </c>
      <c r="G21" s="43" t="s">
        <v>339</v>
      </c>
    </row>
    <row r="22" customFormat="false" ht="48" hidden="false" customHeight="true" outlineLevel="0" collapsed="false">
      <c r="A22" s="75" t="n">
        <v>1</v>
      </c>
      <c r="B22" s="73" t="s">
        <v>337</v>
      </c>
      <c r="C22" s="4" t="s">
        <v>619</v>
      </c>
      <c r="D22" s="76"/>
      <c r="E22" s="73" t="n">
        <f aca="false">IF(D22&lt;&gt;"",1,0)</f>
        <v>0</v>
      </c>
      <c r="F22" s="77"/>
      <c r="G22" s="43" t="s">
        <v>620</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621</v>
      </c>
      <c r="D24" s="79"/>
      <c r="E24" s="73" t="n">
        <f aca="false">IF(D24="Y",1,0)</f>
        <v>0</v>
      </c>
      <c r="G24" s="80" t="s">
        <v>349</v>
      </c>
    </row>
    <row r="25" customFormat="false" ht="15" hidden="false" customHeight="false" outlineLevel="0" collapsed="false">
      <c r="A25" s="75" t="n">
        <v>1</v>
      </c>
      <c r="B25" s="73" t="s">
        <v>347</v>
      </c>
      <c r="C25" s="4" t="s">
        <v>622</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89" t="n">
        <v>2</v>
      </c>
      <c r="B28" s="90" t="s">
        <v>333</v>
      </c>
      <c r="C28" s="91" t="s">
        <v>623</v>
      </c>
      <c r="D28" s="91"/>
      <c r="E28" s="91"/>
      <c r="F28" s="91"/>
      <c r="G28" s="91"/>
    </row>
    <row r="29" customFormat="false" ht="30" hidden="false" customHeight="true" outlineLevel="0" collapsed="false">
      <c r="B29" s="73" t="s">
        <v>335</v>
      </c>
      <c r="C29" s="74" t="s">
        <v>624</v>
      </c>
      <c r="D29" s="74"/>
      <c r="E29" s="74"/>
      <c r="F29" s="74"/>
      <c r="G29" s="74"/>
    </row>
    <row r="30" customFormat="false" ht="15" hidden="false" customHeight="false" outlineLevel="0" collapsed="false">
      <c r="A30" s="75" t="n">
        <v>2</v>
      </c>
      <c r="B30" s="73" t="s">
        <v>337</v>
      </c>
      <c r="C30" s="4" t="s">
        <v>207</v>
      </c>
      <c r="D30" s="76"/>
      <c r="E30" s="73" t="n">
        <f aca="false">IF(D30&lt;&gt;"",1,0)</f>
        <v>0</v>
      </c>
      <c r="F30" s="77" t="n">
        <v>2</v>
      </c>
      <c r="G30" s="43" t="s">
        <v>625</v>
      </c>
    </row>
    <row r="31" customFormat="false" ht="15" hidden="false" customHeight="false" outlineLevel="0" collapsed="false">
      <c r="A31" s="75" t="n">
        <v>2</v>
      </c>
      <c r="B31" s="73" t="s">
        <v>337</v>
      </c>
      <c r="C31" s="4" t="s">
        <v>626</v>
      </c>
      <c r="D31" s="76"/>
      <c r="E31" s="73" t="n">
        <f aca="false">IF(D31&lt;&gt;"",1,0)</f>
        <v>0</v>
      </c>
      <c r="F31" s="77" t="n">
        <v>6</v>
      </c>
      <c r="G31" s="43"/>
    </row>
    <row r="32" customFormat="false" ht="15" hidden="false" customHeight="false" outlineLevel="0" collapsed="false">
      <c r="A32" s="75" t="n">
        <v>2</v>
      </c>
      <c r="B32" s="73" t="s">
        <v>337</v>
      </c>
      <c r="C32" s="4" t="s">
        <v>627</v>
      </c>
      <c r="D32" s="76"/>
      <c r="E32" s="73" t="n">
        <f aca="false">IF(D32&lt;&gt;"",1,0)</f>
        <v>0</v>
      </c>
      <c r="F32" s="77" t="n">
        <v>1</v>
      </c>
      <c r="G32" s="43" t="s">
        <v>628</v>
      </c>
    </row>
    <row r="33" customFormat="false" ht="15" hidden="false" customHeight="false" outlineLevel="0" collapsed="false">
      <c r="A33" s="75" t="n">
        <v>2</v>
      </c>
      <c r="B33" s="73" t="s">
        <v>337</v>
      </c>
      <c r="C33" s="4" t="s">
        <v>210</v>
      </c>
      <c r="D33" s="76"/>
      <c r="E33" s="73" t="n">
        <f aca="false">IF(D33&lt;&gt;"",1,0)</f>
        <v>0</v>
      </c>
      <c r="F33" s="77" t="n">
        <v>3</v>
      </c>
      <c r="G33" s="43" t="s">
        <v>629</v>
      </c>
    </row>
    <row r="34" customFormat="false" ht="15" hidden="false" customHeight="false" outlineLevel="0" collapsed="false">
      <c r="A34" s="75" t="n">
        <v>2</v>
      </c>
      <c r="B34" s="73" t="s">
        <v>337</v>
      </c>
      <c r="C34" s="4" t="s">
        <v>211</v>
      </c>
      <c r="D34" s="76"/>
      <c r="E34" s="73" t="n">
        <f aca="false">IF(D34&lt;&gt;"",1,0)</f>
        <v>0</v>
      </c>
      <c r="F34" s="77" t="n">
        <v>1</v>
      </c>
      <c r="G34" s="43" t="s">
        <v>630</v>
      </c>
    </row>
    <row r="35" customFormat="false" ht="15" hidden="false" customHeight="false" outlineLevel="0" collapsed="false">
      <c r="A35" s="75" t="n">
        <v>2</v>
      </c>
      <c r="B35" s="73" t="s">
        <v>337</v>
      </c>
      <c r="C35" s="4" t="s">
        <v>631</v>
      </c>
      <c r="D35" s="76"/>
      <c r="E35" s="73" t="n">
        <f aca="false">IF(D35&lt;&gt;"",1,0)</f>
        <v>0</v>
      </c>
      <c r="F35" s="77" t="n">
        <v>40</v>
      </c>
      <c r="G35" s="43" t="s">
        <v>632</v>
      </c>
    </row>
    <row r="36" customFormat="false" ht="15" hidden="false" customHeight="false" outlineLevel="0" collapsed="false">
      <c r="B36" s="73" t="s">
        <v>345</v>
      </c>
      <c r="C36" s="78" t="s">
        <v>346</v>
      </c>
    </row>
    <row r="37" customFormat="false" ht="15" hidden="false" customHeight="false" outlineLevel="0" collapsed="false">
      <c r="A37" s="75" t="n">
        <v>2</v>
      </c>
      <c r="B37" s="73" t="s">
        <v>347</v>
      </c>
      <c r="C37" s="4" t="s">
        <v>633</v>
      </c>
      <c r="D37" s="79"/>
      <c r="E37" s="73" t="n">
        <f aca="false">IF(D37="Y",1,0)</f>
        <v>0</v>
      </c>
      <c r="G37" s="80" t="s">
        <v>349</v>
      </c>
    </row>
    <row r="38" customFormat="false" ht="15" hidden="false" customHeight="false" outlineLevel="0" collapsed="false">
      <c r="B38" s="73" t="s">
        <v>351</v>
      </c>
      <c r="C38" s="81" t="s">
        <v>634</v>
      </c>
      <c r="D38" s="81"/>
      <c r="E38" s="81"/>
      <c r="F38" s="81"/>
      <c r="G38" s="81"/>
    </row>
    <row r="40" customFormat="false" ht="15" hidden="false" customHeight="false" outlineLevel="0" collapsed="false">
      <c r="A40" s="89" t="n">
        <v>3</v>
      </c>
      <c r="B40" s="90" t="s">
        <v>333</v>
      </c>
      <c r="C40" s="91" t="s">
        <v>635</v>
      </c>
      <c r="D40" s="91"/>
      <c r="E40" s="91"/>
      <c r="F40" s="91"/>
      <c r="G40" s="91"/>
    </row>
    <row r="41" customFormat="false" ht="30" hidden="false" customHeight="true" outlineLevel="0" collapsed="false">
      <c r="B41" s="73" t="s">
        <v>335</v>
      </c>
      <c r="C41" s="74" t="s">
        <v>636</v>
      </c>
      <c r="D41" s="74"/>
      <c r="E41" s="74"/>
      <c r="F41" s="74"/>
      <c r="G41" s="74"/>
    </row>
    <row r="42" customFormat="false" ht="60" hidden="false" customHeight="true" outlineLevel="0" collapsed="false">
      <c r="A42" s="75" t="n">
        <v>3</v>
      </c>
      <c r="B42" s="73" t="s">
        <v>337</v>
      </c>
      <c r="C42" s="4" t="s">
        <v>637</v>
      </c>
      <c r="D42" s="76"/>
      <c r="E42" s="73" t="n">
        <f aca="false">IF(D42&lt;&gt;"",1,0)</f>
        <v>0</v>
      </c>
      <c r="F42" s="77" t="s">
        <v>638</v>
      </c>
      <c r="G42" s="43" t="s">
        <v>449</v>
      </c>
    </row>
    <row r="43" customFormat="false" ht="60" hidden="false" customHeight="true" outlineLevel="0" collapsed="false">
      <c r="A43" s="75" t="n">
        <v>3</v>
      </c>
      <c r="B43" s="73" t="s">
        <v>337</v>
      </c>
      <c r="C43" s="4" t="s">
        <v>639</v>
      </c>
      <c r="D43" s="76"/>
      <c r="E43" s="73" t="n">
        <f aca="false">IF(D43&lt;&gt;"",1,0)</f>
        <v>0</v>
      </c>
      <c r="F43" s="77"/>
      <c r="G43" s="43" t="s">
        <v>640</v>
      </c>
    </row>
    <row r="44" customFormat="false" ht="23.85" hidden="false" customHeight="false" outlineLevel="0" collapsed="false">
      <c r="A44" s="75" t="n">
        <v>3</v>
      </c>
      <c r="B44" s="73" t="s">
        <v>337</v>
      </c>
      <c r="C44" s="4" t="s">
        <v>641</v>
      </c>
      <c r="D44" s="84" t="str">
        <f aca="false">IF(COUNTA(C46:E53)&gt;0,"logged","")</f>
        <v/>
      </c>
      <c r="E44" s="73" t="n">
        <f aca="false">IF(COUNTA(C46:E53)&gt;0,1,0)</f>
        <v>0</v>
      </c>
      <c r="F44" s="7"/>
      <c r="G44" s="43" t="s">
        <v>642</v>
      </c>
    </row>
    <row r="45" customFormat="false" ht="15" hidden="false" customHeight="false" outlineLevel="0" collapsed="false">
      <c r="B45" s="73" t="s">
        <v>464</v>
      </c>
      <c r="C45" s="85" t="s">
        <v>643</v>
      </c>
      <c r="D45" s="85" t="s">
        <v>644</v>
      </c>
      <c r="E45" s="85" t="s">
        <v>645</v>
      </c>
    </row>
    <row r="46" customFormat="false" ht="15" hidden="false" customHeight="false" outlineLevel="0" collapsed="false">
      <c r="B46" s="73" t="s">
        <v>464</v>
      </c>
      <c r="C46" s="6"/>
      <c r="D46" s="6"/>
      <c r="E46" s="6"/>
    </row>
    <row r="47" customFormat="false" ht="15" hidden="false" customHeight="false" outlineLevel="0" collapsed="false">
      <c r="B47" s="73" t="s">
        <v>464</v>
      </c>
      <c r="C47" s="6"/>
      <c r="D47" s="6"/>
      <c r="E47" s="6"/>
    </row>
    <row r="48" customFormat="false" ht="15" hidden="false" customHeight="false" outlineLevel="0" collapsed="false">
      <c r="B48" s="73" t="s">
        <v>464</v>
      </c>
      <c r="C48" s="6"/>
      <c r="D48" s="6"/>
      <c r="E48" s="6"/>
    </row>
    <row r="49" customFormat="false" ht="15" hidden="false" customHeight="false" outlineLevel="0" collapsed="false">
      <c r="B49" s="73" t="s">
        <v>464</v>
      </c>
      <c r="C49" s="6"/>
      <c r="D49" s="6"/>
      <c r="E49" s="6"/>
    </row>
    <row r="50" customFormat="false" ht="15" hidden="false" customHeight="false" outlineLevel="0" collapsed="false">
      <c r="B50" s="73" t="s">
        <v>464</v>
      </c>
      <c r="C50" s="6"/>
      <c r="D50" s="6"/>
      <c r="E50" s="6"/>
    </row>
    <row r="51" customFormat="false" ht="15" hidden="false" customHeight="false" outlineLevel="0" collapsed="false">
      <c r="B51" s="73" t="s">
        <v>464</v>
      </c>
      <c r="C51" s="6"/>
      <c r="D51" s="6"/>
      <c r="E51" s="6"/>
    </row>
    <row r="52" customFormat="false" ht="15" hidden="false" customHeight="false" outlineLevel="0" collapsed="false">
      <c r="B52" s="73" t="s">
        <v>464</v>
      </c>
      <c r="C52" s="6"/>
      <c r="D52" s="6"/>
      <c r="E52" s="6"/>
    </row>
    <row r="53" customFormat="false" ht="15" hidden="false" customHeight="false" outlineLevel="0" collapsed="false">
      <c r="B53" s="73" t="s">
        <v>464</v>
      </c>
      <c r="C53" s="6"/>
      <c r="D53" s="6"/>
      <c r="E53" s="6"/>
    </row>
    <row r="54" customFormat="false" ht="15" hidden="false" customHeight="false" outlineLevel="0" collapsed="false">
      <c r="B54" s="73" t="s">
        <v>345</v>
      </c>
      <c r="C54" s="78" t="s">
        <v>346</v>
      </c>
    </row>
    <row r="55" customFormat="false" ht="15" hidden="false" customHeight="false" outlineLevel="0" collapsed="false">
      <c r="A55" s="75" t="n">
        <v>3</v>
      </c>
      <c r="B55" s="73" t="s">
        <v>347</v>
      </c>
      <c r="C55" s="4" t="s">
        <v>646</v>
      </c>
      <c r="D55" s="79"/>
      <c r="E55" s="73" t="n">
        <f aca="false">IF(D55="Y",1,0)</f>
        <v>0</v>
      </c>
      <c r="G55" s="80" t="s">
        <v>349</v>
      </c>
    </row>
    <row r="56" customFormat="false" ht="15" hidden="false" customHeight="false" outlineLevel="0" collapsed="false">
      <c r="A56" s="75" t="n">
        <v>3</v>
      </c>
      <c r="B56" s="73" t="s">
        <v>347</v>
      </c>
      <c r="C56" s="4" t="s">
        <v>647</v>
      </c>
      <c r="D56" s="79"/>
      <c r="E56" s="73" t="n">
        <f aca="false">IF(D56="Y",1,0)</f>
        <v>0</v>
      </c>
      <c r="G56" s="80" t="s">
        <v>349</v>
      </c>
    </row>
    <row r="57" customFormat="false" ht="15" hidden="false" customHeight="false" outlineLevel="0" collapsed="false">
      <c r="B57" s="73" t="s">
        <v>351</v>
      </c>
      <c r="C57" s="81" t="s">
        <v>648</v>
      </c>
      <c r="D57" s="81"/>
      <c r="E57" s="81"/>
      <c r="F57" s="81"/>
      <c r="G57" s="81"/>
    </row>
    <row r="59" customFormat="false" ht="15" hidden="false" customHeight="false" outlineLevel="0" collapsed="false">
      <c r="A59" s="89" t="n">
        <v>4</v>
      </c>
      <c r="B59" s="90" t="s">
        <v>333</v>
      </c>
      <c r="C59" s="91" t="s">
        <v>649</v>
      </c>
      <c r="D59" s="91"/>
      <c r="E59" s="91"/>
      <c r="F59" s="91"/>
      <c r="G59" s="91"/>
    </row>
    <row r="60" customFormat="false" ht="30" hidden="false" customHeight="true" outlineLevel="0" collapsed="false">
      <c r="B60" s="73" t="s">
        <v>335</v>
      </c>
      <c r="C60" s="74" t="s">
        <v>650</v>
      </c>
      <c r="D60" s="74"/>
      <c r="E60" s="74"/>
      <c r="F60" s="74"/>
      <c r="G60" s="74"/>
    </row>
    <row r="61" customFormat="false" ht="22.35" hidden="false" customHeight="false" outlineLevel="0" collapsed="false">
      <c r="A61" s="75" t="n">
        <v>4</v>
      </c>
      <c r="B61" s="73" t="s">
        <v>337</v>
      </c>
      <c r="C61" s="4" t="s">
        <v>651</v>
      </c>
      <c r="D61" s="84" t="str">
        <f aca="false">IF(COUNTA(C63:E70)&gt;0,"logged","")</f>
        <v/>
      </c>
      <c r="E61" s="73" t="n">
        <f aca="false">IF(COUNTA(C63:E70)&gt;0,1,0)</f>
        <v>0</v>
      </c>
      <c r="F61" s="7" t="s">
        <v>652</v>
      </c>
      <c r="G61" s="43" t="s">
        <v>653</v>
      </c>
    </row>
    <row r="62" customFormat="false" ht="15" hidden="false" customHeight="false" outlineLevel="0" collapsed="false">
      <c r="B62" s="73" t="s">
        <v>464</v>
      </c>
      <c r="C62" s="85" t="s">
        <v>654</v>
      </c>
      <c r="D62" s="85" t="s">
        <v>655</v>
      </c>
      <c r="E62" s="85" t="s">
        <v>206</v>
      </c>
    </row>
    <row r="63" customFormat="false" ht="15" hidden="false" customHeight="false" outlineLevel="0" collapsed="false">
      <c r="B63" s="73" t="s">
        <v>464</v>
      </c>
      <c r="C63" s="6"/>
      <c r="D63" s="6"/>
      <c r="E63" s="6"/>
    </row>
    <row r="64" customFormat="false" ht="15" hidden="false" customHeight="false" outlineLevel="0" collapsed="false">
      <c r="B64" s="73" t="s">
        <v>464</v>
      </c>
      <c r="C64" s="6"/>
      <c r="D64" s="6"/>
      <c r="E64" s="6"/>
    </row>
    <row r="65" customFormat="false" ht="15" hidden="false" customHeight="false" outlineLevel="0" collapsed="false">
      <c r="B65" s="73" t="s">
        <v>464</v>
      </c>
      <c r="C65" s="6"/>
      <c r="D65" s="6"/>
      <c r="E65" s="6"/>
    </row>
    <row r="66" customFormat="false" ht="15" hidden="false" customHeight="false" outlineLevel="0" collapsed="false">
      <c r="B66" s="73" t="s">
        <v>464</v>
      </c>
      <c r="C66" s="6"/>
      <c r="D66" s="6"/>
      <c r="E66" s="6"/>
    </row>
    <row r="67" customFormat="false" ht="15" hidden="false" customHeight="false" outlineLevel="0" collapsed="false">
      <c r="B67" s="73" t="s">
        <v>464</v>
      </c>
      <c r="C67" s="6"/>
      <c r="D67" s="6"/>
      <c r="E67" s="6"/>
    </row>
    <row r="68" customFormat="false" ht="15" hidden="false" customHeight="false" outlineLevel="0" collapsed="false">
      <c r="B68" s="73" t="s">
        <v>464</v>
      </c>
      <c r="C68" s="6"/>
      <c r="D68" s="6"/>
      <c r="E68" s="6"/>
    </row>
    <row r="69" customFormat="false" ht="15" hidden="false" customHeight="false" outlineLevel="0" collapsed="false">
      <c r="B69" s="73" t="s">
        <v>464</v>
      </c>
      <c r="C69" s="6"/>
      <c r="D69" s="6"/>
      <c r="E69" s="6"/>
    </row>
    <row r="70" customFormat="false" ht="15" hidden="false" customHeight="false" outlineLevel="0" collapsed="false">
      <c r="B70" s="73" t="s">
        <v>464</v>
      </c>
      <c r="C70" s="6"/>
      <c r="D70" s="6"/>
      <c r="E70" s="6"/>
    </row>
    <row r="71" customFormat="false" ht="15" hidden="false" customHeight="false" outlineLevel="0" collapsed="false">
      <c r="A71" s="75" t="n">
        <v>4</v>
      </c>
      <c r="B71" s="73" t="s">
        <v>337</v>
      </c>
      <c r="C71" s="4" t="s">
        <v>656</v>
      </c>
      <c r="D71" s="76"/>
      <c r="E71" s="73" t="n">
        <f aca="false">IF(D71&lt;&gt;"",1,0)</f>
        <v>0</v>
      </c>
      <c r="F71" s="77"/>
      <c r="G71" s="43" t="s">
        <v>657</v>
      </c>
    </row>
    <row r="72" customFormat="false" ht="15" hidden="false" customHeight="false" outlineLevel="0" collapsed="false">
      <c r="B72" s="73" t="s">
        <v>345</v>
      </c>
      <c r="C72" s="78" t="s">
        <v>346</v>
      </c>
    </row>
    <row r="73" customFormat="false" ht="15" hidden="false" customHeight="false" outlineLevel="0" collapsed="false">
      <c r="A73" s="75" t="n">
        <v>4</v>
      </c>
      <c r="B73" s="73" t="s">
        <v>347</v>
      </c>
      <c r="C73" s="4" t="s">
        <v>658</v>
      </c>
      <c r="D73" s="79"/>
      <c r="E73" s="73" t="n">
        <f aca="false">IF(D73="Y",1,0)</f>
        <v>0</v>
      </c>
      <c r="G73" s="80" t="s">
        <v>349</v>
      </c>
    </row>
    <row r="74" customFormat="false" ht="15" hidden="false" customHeight="false" outlineLevel="0" collapsed="false">
      <c r="A74" s="75" t="n">
        <v>4</v>
      </c>
      <c r="B74" s="73" t="s">
        <v>347</v>
      </c>
      <c r="C74" s="4" t="s">
        <v>659</v>
      </c>
      <c r="D74" s="79"/>
      <c r="E74" s="73" t="n">
        <f aca="false">IF(D74="Y",1,0)</f>
        <v>0</v>
      </c>
      <c r="G74" s="80" t="s">
        <v>349</v>
      </c>
    </row>
    <row r="75" customFormat="false" ht="15" hidden="false" customHeight="false" outlineLevel="0" collapsed="false">
      <c r="A75" s="75" t="n">
        <v>4</v>
      </c>
      <c r="B75" s="73" t="s">
        <v>347</v>
      </c>
      <c r="C75" s="4" t="s">
        <v>660</v>
      </c>
      <c r="D75" s="79"/>
      <c r="E75" s="73" t="n">
        <f aca="false">IF(D75="Y",1,0)</f>
        <v>0</v>
      </c>
      <c r="G75" s="80" t="s">
        <v>349</v>
      </c>
    </row>
    <row r="76" customFormat="false" ht="15" hidden="false" customHeight="false" outlineLevel="0" collapsed="false">
      <c r="A76" s="75" t="n">
        <v>4</v>
      </c>
      <c r="B76" s="73" t="s">
        <v>347</v>
      </c>
      <c r="C76" s="4" t="s">
        <v>661</v>
      </c>
      <c r="D76" s="79"/>
      <c r="E76" s="73" t="n">
        <f aca="false">IF(D76="Y",1,0)</f>
        <v>0</v>
      </c>
      <c r="G76" s="80" t="s">
        <v>349</v>
      </c>
    </row>
    <row r="77" customFormat="false" ht="15" hidden="false" customHeight="false" outlineLevel="0" collapsed="false">
      <c r="A77" s="75" t="n">
        <v>4</v>
      </c>
      <c r="B77" s="73" t="s">
        <v>347</v>
      </c>
      <c r="C77" s="4" t="s">
        <v>662</v>
      </c>
      <c r="D77" s="79"/>
      <c r="E77" s="73" t="n">
        <f aca="false">IF(D77="Y",1,0)</f>
        <v>0</v>
      </c>
      <c r="G77" s="80" t="s">
        <v>349</v>
      </c>
    </row>
    <row r="78" customFormat="false" ht="15" hidden="false" customHeight="false" outlineLevel="0" collapsed="false">
      <c r="B78" s="73" t="s">
        <v>351</v>
      </c>
      <c r="C78" s="81" t="s">
        <v>663</v>
      </c>
      <c r="D78" s="81"/>
      <c r="E78" s="81"/>
      <c r="F78" s="81"/>
      <c r="G78" s="81"/>
    </row>
    <row r="80" customFormat="false" ht="15" hidden="false" customHeight="false" outlineLevel="0" collapsed="false">
      <c r="A80" s="89" t="n">
        <v>5</v>
      </c>
      <c r="B80" s="90" t="s">
        <v>333</v>
      </c>
      <c r="C80" s="91" t="s">
        <v>664</v>
      </c>
      <c r="D80" s="91"/>
      <c r="E80" s="91"/>
      <c r="F80" s="91"/>
      <c r="G80" s="91"/>
    </row>
    <row r="81" customFormat="false" ht="30" hidden="false" customHeight="true" outlineLevel="0" collapsed="false">
      <c r="B81" s="73" t="s">
        <v>335</v>
      </c>
      <c r="C81" s="74" t="s">
        <v>665</v>
      </c>
      <c r="D81" s="74"/>
      <c r="E81" s="74"/>
      <c r="F81" s="74"/>
      <c r="G81" s="74"/>
    </row>
    <row r="82" customFormat="false" ht="15" hidden="false" customHeight="false" outlineLevel="0" collapsed="false">
      <c r="A82" s="75" t="n">
        <v>5</v>
      </c>
      <c r="B82" s="73" t="s">
        <v>337</v>
      </c>
      <c r="C82" s="4" t="s">
        <v>666</v>
      </c>
      <c r="D82" s="76"/>
      <c r="E82" s="73" t="n">
        <f aca="false">IF(D82&lt;&gt;"",1,0)</f>
        <v>0</v>
      </c>
      <c r="F82" s="77" t="n">
        <v>10</v>
      </c>
      <c r="G82" s="43"/>
    </row>
    <row r="83" customFormat="false" ht="15" hidden="false" customHeight="false" outlineLevel="0" collapsed="false">
      <c r="A83" s="75" t="n">
        <v>5</v>
      </c>
      <c r="B83" s="73" t="s">
        <v>337</v>
      </c>
      <c r="C83" s="4" t="s">
        <v>667</v>
      </c>
      <c r="D83" s="76"/>
      <c r="E83" s="73" t="n">
        <f aca="false">IF(D83&lt;&gt;"",1,0)</f>
        <v>0</v>
      </c>
      <c r="F83" s="77" t="n">
        <v>4</v>
      </c>
      <c r="G83" s="43"/>
    </row>
    <row r="84" customFormat="false" ht="15" hidden="false" customHeight="false" outlineLevel="0" collapsed="false">
      <c r="A84" s="75" t="n">
        <v>5</v>
      </c>
      <c r="B84" s="73" t="s">
        <v>337</v>
      </c>
      <c r="C84" s="4" t="s">
        <v>668</v>
      </c>
      <c r="D84" s="76"/>
      <c r="E84" s="73" t="n">
        <f aca="false">IF(D84&lt;&gt;"",1,0)</f>
        <v>0</v>
      </c>
      <c r="F84" s="77" t="n">
        <v>3</v>
      </c>
      <c r="G84" s="43" t="s">
        <v>669</v>
      </c>
    </row>
    <row r="85" customFormat="false" ht="15" hidden="false" customHeight="false" outlineLevel="0" collapsed="false">
      <c r="B85" s="73" t="s">
        <v>345</v>
      </c>
      <c r="C85" s="78" t="s">
        <v>346</v>
      </c>
    </row>
    <row r="86" customFormat="false" ht="15" hidden="false" customHeight="false" outlineLevel="0" collapsed="false">
      <c r="A86" s="75" t="n">
        <v>5</v>
      </c>
      <c r="B86" s="73" t="s">
        <v>347</v>
      </c>
      <c r="C86" s="4" t="s">
        <v>670</v>
      </c>
      <c r="D86" s="79"/>
      <c r="E86" s="73" t="n">
        <f aca="false">IF(D86="Y",1,0)</f>
        <v>0</v>
      </c>
      <c r="G86" s="80" t="s">
        <v>349</v>
      </c>
    </row>
    <row r="87" customFormat="false" ht="15" hidden="false" customHeight="false" outlineLevel="0" collapsed="false">
      <c r="A87" s="75" t="n">
        <v>5</v>
      </c>
      <c r="B87" s="73" t="s">
        <v>347</v>
      </c>
      <c r="C87" s="4" t="s">
        <v>671</v>
      </c>
      <c r="D87" s="79"/>
      <c r="E87" s="73" t="n">
        <f aca="false">IF(D87="Y",1,0)</f>
        <v>0</v>
      </c>
      <c r="G87" s="80" t="s">
        <v>349</v>
      </c>
    </row>
    <row r="88" customFormat="false" ht="15" hidden="false" customHeight="false" outlineLevel="0" collapsed="false">
      <c r="B88" s="73" t="s">
        <v>351</v>
      </c>
      <c r="C88" s="81" t="s">
        <v>672</v>
      </c>
      <c r="D88" s="81"/>
      <c r="E88" s="81"/>
      <c r="F88" s="81"/>
      <c r="G88" s="81"/>
    </row>
    <row r="90" customFormat="false" ht="15" hidden="false" customHeight="false" outlineLevel="0" collapsed="false">
      <c r="A90" s="89" t="n">
        <v>6</v>
      </c>
      <c r="B90" s="90" t="s">
        <v>333</v>
      </c>
      <c r="C90" s="91" t="s">
        <v>673</v>
      </c>
      <c r="D90" s="91"/>
      <c r="E90" s="91"/>
      <c r="F90" s="91"/>
      <c r="G90" s="91"/>
    </row>
    <row r="91" customFormat="false" ht="30" hidden="false" customHeight="true" outlineLevel="0" collapsed="false">
      <c r="B91" s="73" t="s">
        <v>335</v>
      </c>
      <c r="C91" s="74" t="s">
        <v>674</v>
      </c>
      <c r="D91" s="74"/>
      <c r="E91" s="74"/>
      <c r="F91" s="74"/>
      <c r="G91" s="74"/>
    </row>
    <row r="92" customFormat="false" ht="15" hidden="false" customHeight="false" outlineLevel="0" collapsed="false">
      <c r="A92" s="75" t="n">
        <v>6</v>
      </c>
      <c r="B92" s="73" t="s">
        <v>337</v>
      </c>
      <c r="C92" s="4" t="s">
        <v>675</v>
      </c>
      <c r="D92" s="76"/>
      <c r="E92" s="73" t="n">
        <f aca="false">IF(D92&lt;&gt;"",1,0)</f>
        <v>0</v>
      </c>
      <c r="F92" s="77"/>
      <c r="G92" s="43" t="s">
        <v>344</v>
      </c>
    </row>
    <row r="93" customFormat="false" ht="15" hidden="false" customHeight="false" outlineLevel="0" collapsed="false">
      <c r="A93" s="75" t="n">
        <v>6</v>
      </c>
      <c r="B93" s="73" t="s">
        <v>337</v>
      </c>
      <c r="C93" s="4" t="s">
        <v>676</v>
      </c>
      <c r="D93" s="76"/>
      <c r="E93" s="73" t="n">
        <f aca="false">IF(D93&lt;&gt;"",1,0)</f>
        <v>0</v>
      </c>
      <c r="F93" s="77"/>
      <c r="G93" s="43" t="s">
        <v>677</v>
      </c>
    </row>
    <row r="94" customFormat="false" ht="15" hidden="false" customHeight="false" outlineLevel="0" collapsed="false">
      <c r="B94" s="73" t="s">
        <v>345</v>
      </c>
      <c r="C94" s="78" t="s">
        <v>346</v>
      </c>
    </row>
    <row r="95" customFormat="false" ht="15" hidden="false" customHeight="false" outlineLevel="0" collapsed="false">
      <c r="A95" s="75" t="n">
        <v>6</v>
      </c>
      <c r="B95" s="73" t="s">
        <v>347</v>
      </c>
      <c r="C95" s="4" t="s">
        <v>678</v>
      </c>
      <c r="D95" s="79"/>
      <c r="E95" s="73" t="n">
        <f aca="false">IF(D95="Y",1,0)</f>
        <v>0</v>
      </c>
      <c r="G95" s="80" t="s">
        <v>349</v>
      </c>
    </row>
    <row r="96" customFormat="false" ht="15" hidden="false" customHeight="false" outlineLevel="0" collapsed="false">
      <c r="A96" s="75" t="n">
        <v>6</v>
      </c>
      <c r="B96" s="73" t="s">
        <v>347</v>
      </c>
      <c r="C96" s="4" t="s">
        <v>679</v>
      </c>
      <c r="D96" s="79"/>
      <c r="E96" s="73" t="n">
        <f aca="false">IF(D96="Y",1,0)</f>
        <v>0</v>
      </c>
      <c r="G96" s="80" t="s">
        <v>349</v>
      </c>
    </row>
    <row r="97" customFormat="false" ht="15" hidden="false" customHeight="false" outlineLevel="0" collapsed="false">
      <c r="A97" s="75" t="n">
        <v>6</v>
      </c>
      <c r="B97" s="73" t="s">
        <v>347</v>
      </c>
      <c r="C97" s="4" t="s">
        <v>680</v>
      </c>
      <c r="D97" s="79"/>
      <c r="E97" s="73" t="n">
        <f aca="false">IF(D97="Y",1,0)</f>
        <v>0</v>
      </c>
      <c r="G97" s="80" t="s">
        <v>349</v>
      </c>
    </row>
    <row r="98" customFormat="false" ht="15" hidden="false" customHeight="false" outlineLevel="0" collapsed="false">
      <c r="B98" s="73" t="s">
        <v>351</v>
      </c>
      <c r="C98" s="81" t="s">
        <v>681</v>
      </c>
      <c r="D98" s="81"/>
      <c r="E98" s="81"/>
      <c r="F98" s="81"/>
      <c r="G98" s="81"/>
    </row>
  </sheetData>
  <mergeCells count="21">
    <mergeCell ref="C2:G2"/>
    <mergeCell ref="C3:G3"/>
    <mergeCell ref="F13:G15"/>
    <mergeCell ref="C19:G19"/>
    <mergeCell ref="C20:G20"/>
    <mergeCell ref="C26:G26"/>
    <mergeCell ref="C28:G28"/>
    <mergeCell ref="C29:G29"/>
    <mergeCell ref="C38:G38"/>
    <mergeCell ref="C40:G40"/>
    <mergeCell ref="C41:G41"/>
    <mergeCell ref="C57:G57"/>
    <mergeCell ref="C59:G59"/>
    <mergeCell ref="C60:G60"/>
    <mergeCell ref="C78:G78"/>
    <mergeCell ref="C80:G80"/>
    <mergeCell ref="C81:G81"/>
    <mergeCell ref="C88:G88"/>
    <mergeCell ref="C90:G90"/>
    <mergeCell ref="C91:G91"/>
    <mergeCell ref="C98:G98"/>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7">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7"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73" type="list">
      <formula1>Lists!$U$2:$U$3</formula1>
      <formula2>0</formula2>
    </dataValidation>
    <dataValidation allowBlank="true" errorStyle="stop" operator="between" showDropDown="false" showErrorMessage="false" showInputMessage="false" sqref="D74" type="list">
      <formula1>Lists!$U$2:$U$3</formula1>
      <formula2>0</formula2>
    </dataValidation>
    <dataValidation allowBlank="true" errorStyle="stop" operator="between" showDropDown="false" showErrorMessage="false" showInputMessage="false" sqref="D75" type="list">
      <formula1>Lists!$U$2:$U$3</formula1>
      <formula2>0</formula2>
    </dataValidation>
    <dataValidation allowBlank="true" errorStyle="stop" operator="between" showDropDown="false" showErrorMessage="false" showInputMessage="false" sqref="D76" type="list">
      <formula1>Lists!$U$2:$U$3</formula1>
      <formula2>0</formula2>
    </dataValidation>
    <dataValidation allowBlank="true" errorStyle="stop" operator="between" showDropDown="false" showErrorMessage="false" showInputMessage="false" sqref="D77" type="list">
      <formula1>Lists!$U$2:$U$3</formula1>
      <formula2>0</formula2>
    </dataValidation>
    <dataValidation allowBlank="true" errorStyle="stop" operator="between" showDropDown="false" showErrorMessage="false" showInputMessage="false" sqref="D86" type="list">
      <formula1>Lists!$U$2:$U$3</formula1>
      <formula2>0</formula2>
    </dataValidation>
    <dataValidation allowBlank="true" errorStyle="stop" operator="between" showDropDown="false" showErrorMessage="false" showInputMessage="false" sqref="D87" type="list">
      <formula1>Lists!$U$2:$U$3</formula1>
      <formula2>0</formula2>
    </dataValidation>
    <dataValidation allowBlank="true" errorStyle="stop" operator="between" showDropDown="false" showErrorMessage="false" showInputMessage="false" sqref="D92" type="list">
      <formula1>Lists!$I$2:$I$5</formula1>
      <formula2>0</formula2>
    </dataValidation>
    <dataValidation allowBlank="true" errorStyle="stop" operator="between" showDropDown="false" showErrorMessage="false" showInputMessage="false" sqref="D95" type="list">
      <formula1>Lists!$U$2:$U$3</formula1>
      <formula2>0</formula2>
    </dataValidation>
    <dataValidation allowBlank="true" errorStyle="stop" operator="between" showDropDown="false" showErrorMessage="false" showInputMessage="false" sqref="D96" type="list">
      <formula1>Lists!$U$2:$U$3</formula1>
      <formula2>0</formula2>
    </dataValidation>
    <dataValidation allowBlank="true" errorStyle="stop" operator="between" showDropDown="false" showErrorMessage="false" showInputMessage="false" sqref="D97"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9E70"/>
    <pageSetUpPr fitToPage="true"/>
  </sheetPr>
  <dimension ref="A1:I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51</v>
      </c>
      <c r="D1" s="64" t="s">
        <v>540</v>
      </c>
    </row>
    <row r="2" customFormat="false" ht="15" hidden="false" customHeight="false" outlineLevel="0" collapsed="false">
      <c r="C2" s="65" t="s">
        <v>682</v>
      </c>
      <c r="D2" s="65"/>
      <c r="E2" s="65"/>
      <c r="F2" s="65"/>
      <c r="G2" s="65"/>
    </row>
    <row r="3" customFormat="false" ht="78" hidden="false" customHeight="true" outlineLevel="0" collapsed="false">
      <c r="C3" s="66" t="s">
        <v>683</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6</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3</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5</v>
      </c>
      <c r="F11" s="8" t="n">
        <f aca="false">SUMIFS($E$19:$E$400,$A$19:$A$400,B11,$B$19:$B$400,"check")</f>
        <v>0</v>
      </c>
      <c r="G11" s="8" t="n">
        <f aca="false">COUNTIFS($A$19:$A$400,B11,$B$19:$B$400,"check")</f>
        <v>2</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89" t="n">
        <v>1</v>
      </c>
      <c r="B19" s="90" t="s">
        <v>333</v>
      </c>
      <c r="C19" s="91" t="s">
        <v>684</v>
      </c>
      <c r="D19" s="91"/>
      <c r="E19" s="91"/>
      <c r="F19" s="91"/>
      <c r="G19" s="91"/>
    </row>
    <row r="20" customFormat="false" ht="30" hidden="false" customHeight="true" outlineLevel="0" collapsed="false">
      <c r="B20" s="73" t="s">
        <v>335</v>
      </c>
      <c r="C20" s="74" t="s">
        <v>685</v>
      </c>
      <c r="D20" s="74"/>
      <c r="E20" s="74"/>
      <c r="F20" s="74"/>
      <c r="G20" s="74"/>
    </row>
    <row r="21" customFormat="false" ht="15" hidden="false" customHeight="false" outlineLevel="0" collapsed="false">
      <c r="A21" s="75" t="n">
        <v>1</v>
      </c>
      <c r="B21" s="73" t="s">
        <v>337</v>
      </c>
      <c r="C21" s="4" t="s">
        <v>686</v>
      </c>
      <c r="D21" s="76"/>
      <c r="E21" s="73" t="n">
        <f aca="false">IF(D21&lt;&gt;"",1,0)</f>
        <v>0</v>
      </c>
      <c r="F21" s="77" t="n">
        <v>1</v>
      </c>
      <c r="G21" s="43" t="s">
        <v>339</v>
      </c>
    </row>
    <row r="22" customFormat="false" ht="48" hidden="false" customHeight="true" outlineLevel="0" collapsed="false">
      <c r="A22" s="75" t="n">
        <v>1</v>
      </c>
      <c r="B22" s="73" t="s">
        <v>337</v>
      </c>
      <c r="C22" s="4" t="s">
        <v>687</v>
      </c>
      <c r="D22" s="76"/>
      <c r="E22" s="73" t="n">
        <f aca="false">IF(D22&lt;&gt;"",1,0)</f>
        <v>0</v>
      </c>
      <c r="F22" s="77"/>
      <c r="G22" s="43" t="s">
        <v>688</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689</v>
      </c>
      <c r="D24" s="79"/>
      <c r="E24" s="73" t="n">
        <f aca="false">IF(D24="Y",1,0)</f>
        <v>0</v>
      </c>
      <c r="G24" s="80" t="s">
        <v>349</v>
      </c>
    </row>
    <row r="25" customFormat="false" ht="15" hidden="false" customHeight="false" outlineLevel="0" collapsed="false">
      <c r="A25" s="75" t="n">
        <v>1</v>
      </c>
      <c r="B25" s="73" t="s">
        <v>347</v>
      </c>
      <c r="C25" s="4" t="s">
        <v>690</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89" t="n">
        <v>2</v>
      </c>
      <c r="B28" s="90" t="s">
        <v>333</v>
      </c>
      <c r="C28" s="91" t="s">
        <v>691</v>
      </c>
      <c r="D28" s="91"/>
      <c r="E28" s="91"/>
      <c r="F28" s="91"/>
      <c r="G28" s="91"/>
    </row>
    <row r="29" customFormat="false" ht="30" hidden="false" customHeight="true" outlineLevel="0" collapsed="false">
      <c r="B29" s="73" t="s">
        <v>335</v>
      </c>
      <c r="C29" s="74" t="s">
        <v>692</v>
      </c>
      <c r="D29" s="74"/>
      <c r="E29" s="74"/>
      <c r="F29" s="74"/>
      <c r="G29" s="74"/>
    </row>
    <row r="30" customFormat="false" ht="15" hidden="false" customHeight="false" outlineLevel="0" collapsed="false">
      <c r="A30" s="75" t="n">
        <v>2</v>
      </c>
      <c r="B30" s="73" t="s">
        <v>337</v>
      </c>
      <c r="C30" s="4" t="s">
        <v>693</v>
      </c>
      <c r="D30" s="82"/>
      <c r="E30" s="73" t="n">
        <f aca="false">IF(D30&lt;&gt;"",1,0)</f>
        <v>0</v>
      </c>
      <c r="F30" s="83" t="n">
        <v>400</v>
      </c>
      <c r="G30" s="43" t="s">
        <v>595</v>
      </c>
    </row>
    <row r="31" customFormat="false" ht="15" hidden="false" customHeight="false" outlineLevel="0" collapsed="false">
      <c r="A31" s="75" t="n">
        <v>2</v>
      </c>
      <c r="B31" s="73" t="s">
        <v>337</v>
      </c>
      <c r="C31" s="4" t="s">
        <v>694</v>
      </c>
      <c r="D31" s="76"/>
      <c r="E31" s="73" t="n">
        <f aca="false">IF(D31&lt;&gt;"",1,0)</f>
        <v>0</v>
      </c>
      <c r="F31" s="77" t="n">
        <v>50000</v>
      </c>
      <c r="G31" s="43" t="s">
        <v>695</v>
      </c>
    </row>
    <row r="32" customFormat="false" ht="15" hidden="false" customHeight="false" outlineLevel="0" collapsed="false">
      <c r="A32" s="75" t="n">
        <v>2</v>
      </c>
      <c r="B32" s="73" t="s">
        <v>337</v>
      </c>
      <c r="C32" s="4" t="s">
        <v>696</v>
      </c>
      <c r="D32" s="76"/>
      <c r="E32" s="73" t="n">
        <f aca="false">IF(D32&lt;&gt;"",1,0)</f>
        <v>0</v>
      </c>
      <c r="F32" s="77" t="n">
        <v>900</v>
      </c>
      <c r="G32" s="43"/>
    </row>
    <row r="33" customFormat="false" ht="15" hidden="false" customHeight="false" outlineLevel="0" collapsed="false">
      <c r="A33" s="75" t="n">
        <v>2</v>
      </c>
      <c r="B33" s="73" t="s">
        <v>337</v>
      </c>
      <c r="C33" s="4" t="s">
        <v>697</v>
      </c>
      <c r="D33" s="76"/>
      <c r="E33" s="73" t="n">
        <f aca="false">IF(D33&lt;&gt;"",1,0)</f>
        <v>0</v>
      </c>
      <c r="F33" s="77" t="n">
        <v>60</v>
      </c>
      <c r="G33" s="43" t="s">
        <v>698</v>
      </c>
    </row>
    <row r="34" customFormat="false" ht="15" hidden="false" customHeight="false" outlineLevel="0" collapsed="false">
      <c r="A34" s="75" t="n">
        <v>2</v>
      </c>
      <c r="B34" s="73" t="s">
        <v>337</v>
      </c>
      <c r="C34" s="4" t="s">
        <v>699</v>
      </c>
      <c r="D34" s="76"/>
      <c r="E34" s="73" t="n">
        <f aca="false">IF(D34&lt;&gt;"",1,0)</f>
        <v>0</v>
      </c>
      <c r="F34" s="77" t="n">
        <v>12</v>
      </c>
      <c r="G34" s="43"/>
    </row>
    <row r="35" customFormat="false" ht="15" hidden="false" customHeight="false" outlineLevel="0" collapsed="false">
      <c r="A35" s="75" t="n">
        <v>2</v>
      </c>
      <c r="B35" s="73" t="s">
        <v>337</v>
      </c>
      <c r="C35" s="4" t="s">
        <v>700</v>
      </c>
      <c r="D35" s="76"/>
      <c r="E35" s="73" t="n">
        <f aca="false">IF(D35&lt;&gt;"",1,0)</f>
        <v>0</v>
      </c>
      <c r="F35" s="77" t="n">
        <v>3</v>
      </c>
      <c r="G35" s="43"/>
    </row>
    <row r="36" customFormat="false" ht="15" hidden="false" customHeight="false" outlineLevel="0" collapsed="false">
      <c r="B36" s="73" t="s">
        <v>345</v>
      </c>
      <c r="C36" s="78" t="s">
        <v>346</v>
      </c>
    </row>
    <row r="37" customFormat="false" ht="23.85" hidden="false" customHeight="false" outlineLevel="0" collapsed="false">
      <c r="A37" s="75" t="n">
        <v>2</v>
      </c>
      <c r="B37" s="73" t="s">
        <v>347</v>
      </c>
      <c r="C37" s="4" t="s">
        <v>701</v>
      </c>
      <c r="D37" s="79"/>
      <c r="E37" s="73" t="n">
        <f aca="false">IF(D37="Y",1,0)</f>
        <v>0</v>
      </c>
      <c r="G37" s="80" t="s">
        <v>349</v>
      </c>
    </row>
    <row r="38" customFormat="false" ht="15" hidden="false" customHeight="false" outlineLevel="0" collapsed="false">
      <c r="B38" s="73" t="s">
        <v>351</v>
      </c>
      <c r="C38" s="81" t="s">
        <v>702</v>
      </c>
      <c r="D38" s="81"/>
      <c r="E38" s="81"/>
      <c r="F38" s="81"/>
      <c r="G38" s="81"/>
    </row>
    <row r="40" customFormat="false" ht="15" hidden="false" customHeight="false" outlineLevel="0" collapsed="false">
      <c r="A40" s="89" t="n">
        <v>3</v>
      </c>
      <c r="B40" s="90" t="s">
        <v>333</v>
      </c>
      <c r="C40" s="91" t="s">
        <v>703</v>
      </c>
      <c r="D40" s="91"/>
      <c r="E40" s="91"/>
      <c r="F40" s="91"/>
      <c r="G40" s="91"/>
    </row>
    <row r="41" customFormat="false" ht="30" hidden="false" customHeight="true" outlineLevel="0" collapsed="false">
      <c r="B41" s="73" t="s">
        <v>335</v>
      </c>
      <c r="C41" s="74" t="s">
        <v>704</v>
      </c>
      <c r="D41" s="74"/>
      <c r="E41" s="74"/>
      <c r="F41" s="74"/>
      <c r="G41" s="74"/>
    </row>
    <row r="42" customFormat="false" ht="60" hidden="false" customHeight="true" outlineLevel="0" collapsed="false">
      <c r="A42" s="75" t="n">
        <v>3</v>
      </c>
      <c r="B42" s="73" t="s">
        <v>337</v>
      </c>
      <c r="C42" s="4" t="s">
        <v>705</v>
      </c>
      <c r="D42" s="76"/>
      <c r="E42" s="73" t="n">
        <f aca="false">IF(D42&lt;&gt;"",1,0)</f>
        <v>0</v>
      </c>
      <c r="F42" s="77"/>
      <c r="G42" s="43" t="s">
        <v>706</v>
      </c>
    </row>
    <row r="43" customFormat="false" ht="60" hidden="false" customHeight="true" outlineLevel="0" collapsed="false">
      <c r="A43" s="75" t="n">
        <v>3</v>
      </c>
      <c r="B43" s="73" t="s">
        <v>337</v>
      </c>
      <c r="C43" s="4" t="s">
        <v>707</v>
      </c>
      <c r="D43" s="76"/>
      <c r="E43" s="73" t="n">
        <f aca="false">IF(D43&lt;&gt;"",1,0)</f>
        <v>0</v>
      </c>
      <c r="F43" s="77"/>
      <c r="G43" s="43" t="s">
        <v>708</v>
      </c>
    </row>
    <row r="44" customFormat="false" ht="60" hidden="false" customHeight="true" outlineLevel="0" collapsed="false">
      <c r="A44" s="75" t="n">
        <v>3</v>
      </c>
      <c r="B44" s="73" t="s">
        <v>337</v>
      </c>
      <c r="C44" s="4" t="s">
        <v>709</v>
      </c>
      <c r="D44" s="76"/>
      <c r="E44" s="73" t="n">
        <f aca="false">IF(D44&lt;&gt;"",1,0)</f>
        <v>0</v>
      </c>
      <c r="F44" s="77"/>
      <c r="G44" s="43" t="s">
        <v>710</v>
      </c>
    </row>
    <row r="45" customFormat="false" ht="15" hidden="false" customHeight="false" outlineLevel="0" collapsed="false">
      <c r="B45" s="73" t="s">
        <v>345</v>
      </c>
      <c r="C45" s="78" t="s">
        <v>346</v>
      </c>
    </row>
    <row r="46" customFormat="false" ht="15" hidden="false" customHeight="false" outlineLevel="0" collapsed="false">
      <c r="A46" s="75" t="n">
        <v>3</v>
      </c>
      <c r="B46" s="73" t="s">
        <v>347</v>
      </c>
      <c r="C46" s="4" t="s">
        <v>711</v>
      </c>
      <c r="D46" s="79"/>
      <c r="E46" s="73" t="n">
        <f aca="false">IF(D46="Y",1,0)</f>
        <v>0</v>
      </c>
      <c r="G46" s="80" t="s">
        <v>349</v>
      </c>
    </row>
    <row r="47" customFormat="false" ht="15" hidden="false" customHeight="false" outlineLevel="0" collapsed="false">
      <c r="A47" s="75" t="n">
        <v>3</v>
      </c>
      <c r="B47" s="73" t="s">
        <v>347</v>
      </c>
      <c r="C47" s="4" t="s">
        <v>712</v>
      </c>
      <c r="D47" s="79"/>
      <c r="E47" s="73" t="n">
        <f aca="false">IF(D47="Y",1,0)</f>
        <v>0</v>
      </c>
      <c r="G47" s="80" t="s">
        <v>349</v>
      </c>
    </row>
    <row r="48" customFormat="false" ht="15" hidden="false" customHeight="false" outlineLevel="0" collapsed="false">
      <c r="B48" s="73" t="s">
        <v>351</v>
      </c>
      <c r="C48" s="81" t="s">
        <v>713</v>
      </c>
      <c r="D48" s="81"/>
      <c r="E48" s="81"/>
      <c r="F48" s="81"/>
      <c r="G48" s="81"/>
    </row>
    <row r="50" customFormat="false" ht="15" hidden="false" customHeight="false" outlineLevel="0" collapsed="false">
      <c r="A50" s="89" t="n">
        <v>4</v>
      </c>
      <c r="B50" s="90" t="s">
        <v>333</v>
      </c>
      <c r="C50" s="91" t="s">
        <v>714</v>
      </c>
      <c r="D50" s="91"/>
      <c r="E50" s="91"/>
      <c r="F50" s="91"/>
      <c r="G50" s="91"/>
    </row>
    <row r="51" customFormat="false" ht="30" hidden="false" customHeight="true" outlineLevel="0" collapsed="false">
      <c r="B51" s="73" t="s">
        <v>335</v>
      </c>
      <c r="C51" s="74" t="s">
        <v>715</v>
      </c>
      <c r="D51" s="74"/>
      <c r="E51" s="74"/>
      <c r="F51" s="74"/>
      <c r="G51" s="74"/>
    </row>
    <row r="52" customFormat="false" ht="48" hidden="false" customHeight="true" outlineLevel="0" collapsed="false">
      <c r="A52" s="75" t="n">
        <v>4</v>
      </c>
      <c r="B52" s="73" t="s">
        <v>337</v>
      </c>
      <c r="C52" s="4" t="s">
        <v>716</v>
      </c>
      <c r="D52" s="76"/>
      <c r="E52" s="73" t="n">
        <f aca="false">IF(D52&lt;&gt;"",1,0)</f>
        <v>0</v>
      </c>
      <c r="F52" s="77"/>
      <c r="G52" s="43"/>
    </row>
    <row r="53" customFormat="false" ht="15" hidden="false" customHeight="false" outlineLevel="0" collapsed="false">
      <c r="A53" s="75" t="n">
        <v>4</v>
      </c>
      <c r="B53" s="73" t="s">
        <v>337</v>
      </c>
      <c r="C53" s="4" t="s">
        <v>717</v>
      </c>
      <c r="D53" s="76"/>
      <c r="E53" s="73" t="n">
        <f aca="false">IF(D53&lt;&gt;"",1,0)</f>
        <v>0</v>
      </c>
      <c r="F53" s="77"/>
      <c r="G53" s="43" t="s">
        <v>344</v>
      </c>
    </row>
    <row r="54" customFormat="false" ht="15" hidden="false" customHeight="false" outlineLevel="0" collapsed="false">
      <c r="A54" s="75" t="n">
        <v>4</v>
      </c>
      <c r="B54" s="73" t="s">
        <v>337</v>
      </c>
      <c r="C54" s="4" t="s">
        <v>718</v>
      </c>
      <c r="D54" s="76"/>
      <c r="E54" s="73" t="n">
        <f aca="false">IF(D54&lt;&gt;"",1,0)</f>
        <v>0</v>
      </c>
      <c r="F54" s="77"/>
      <c r="G54" s="43"/>
    </row>
    <row r="55" customFormat="false" ht="15" hidden="false" customHeight="false" outlineLevel="0" collapsed="false">
      <c r="B55" s="73" t="s">
        <v>345</v>
      </c>
      <c r="C55" s="78" t="s">
        <v>346</v>
      </c>
    </row>
    <row r="56" customFormat="false" ht="15" hidden="false" customHeight="false" outlineLevel="0" collapsed="false">
      <c r="A56" s="75" t="n">
        <v>4</v>
      </c>
      <c r="B56" s="73" t="s">
        <v>347</v>
      </c>
      <c r="C56" s="4" t="s">
        <v>719</v>
      </c>
      <c r="D56" s="79"/>
      <c r="E56" s="73" t="n">
        <f aca="false">IF(D56="Y",1,0)</f>
        <v>0</v>
      </c>
      <c r="G56" s="80" t="s">
        <v>349</v>
      </c>
    </row>
    <row r="57" customFormat="false" ht="15" hidden="false" customHeight="false" outlineLevel="0" collapsed="false">
      <c r="A57" s="75" t="n">
        <v>4</v>
      </c>
      <c r="B57" s="73" t="s">
        <v>347</v>
      </c>
      <c r="C57" s="4" t="s">
        <v>720</v>
      </c>
      <c r="D57" s="79"/>
      <c r="E57" s="73" t="n">
        <f aca="false">IF(D57="Y",1,0)</f>
        <v>0</v>
      </c>
      <c r="G57" s="80" t="s">
        <v>349</v>
      </c>
    </row>
    <row r="58" customFormat="false" ht="15" hidden="false" customHeight="false" outlineLevel="0" collapsed="false">
      <c r="A58" s="75" t="n">
        <v>4</v>
      </c>
      <c r="B58" s="73" t="s">
        <v>347</v>
      </c>
      <c r="C58" s="4" t="s">
        <v>721</v>
      </c>
      <c r="D58" s="79"/>
      <c r="E58" s="73" t="n">
        <f aca="false">IF(D58="Y",1,0)</f>
        <v>0</v>
      </c>
      <c r="G58" s="80" t="s">
        <v>349</v>
      </c>
    </row>
    <row r="59" customFormat="false" ht="15" hidden="false" customHeight="false" outlineLevel="0" collapsed="false">
      <c r="A59" s="75" t="n">
        <v>4</v>
      </c>
      <c r="B59" s="73" t="s">
        <v>347</v>
      </c>
      <c r="C59" s="4" t="s">
        <v>722</v>
      </c>
      <c r="D59" s="79"/>
      <c r="E59" s="73" t="n">
        <f aca="false">IF(D59="Y",1,0)</f>
        <v>0</v>
      </c>
      <c r="G59" s="80" t="s">
        <v>349</v>
      </c>
    </row>
    <row r="60" customFormat="false" ht="15" hidden="false" customHeight="false" outlineLevel="0" collapsed="false">
      <c r="A60" s="75" t="n">
        <v>4</v>
      </c>
      <c r="B60" s="73" t="s">
        <v>347</v>
      </c>
      <c r="C60" s="4" t="s">
        <v>723</v>
      </c>
      <c r="D60" s="79"/>
      <c r="E60" s="73" t="n">
        <f aca="false">IF(D60="Y",1,0)</f>
        <v>0</v>
      </c>
      <c r="G60" s="80" t="s">
        <v>349</v>
      </c>
    </row>
    <row r="61" customFormat="false" ht="15" hidden="false" customHeight="false" outlineLevel="0" collapsed="false">
      <c r="B61" s="73" t="s">
        <v>351</v>
      </c>
      <c r="C61" s="81" t="s">
        <v>724</v>
      </c>
      <c r="D61" s="81"/>
      <c r="E61" s="81"/>
      <c r="F61" s="81"/>
      <c r="G61" s="81"/>
    </row>
    <row r="63" customFormat="false" ht="15" hidden="false" customHeight="false" outlineLevel="0" collapsed="false">
      <c r="A63" s="89" t="n">
        <v>5</v>
      </c>
      <c r="B63" s="90" t="s">
        <v>333</v>
      </c>
      <c r="C63" s="91" t="s">
        <v>725</v>
      </c>
      <c r="D63" s="91"/>
      <c r="E63" s="91"/>
      <c r="F63" s="91"/>
      <c r="G63" s="91"/>
    </row>
    <row r="64" customFormat="false" ht="30" hidden="false" customHeight="true" outlineLevel="0" collapsed="false">
      <c r="B64" s="73" t="s">
        <v>335</v>
      </c>
      <c r="C64" s="74" t="s">
        <v>726</v>
      </c>
      <c r="D64" s="74"/>
      <c r="E64" s="74"/>
      <c r="F64" s="74"/>
      <c r="G64" s="74"/>
    </row>
    <row r="65" customFormat="false" ht="15" hidden="false" customHeight="false" outlineLevel="0" collapsed="false">
      <c r="A65" s="75" t="n">
        <v>5</v>
      </c>
      <c r="B65" s="73" t="s">
        <v>337</v>
      </c>
      <c r="C65" s="4" t="s">
        <v>727</v>
      </c>
      <c r="D65" s="82"/>
      <c r="E65" s="73" t="n">
        <f aca="false">IF(D65&lt;&gt;"",1,0)</f>
        <v>0</v>
      </c>
      <c r="F65" s="83"/>
      <c r="G65" s="43" t="s">
        <v>595</v>
      </c>
    </row>
    <row r="66" customFormat="false" ht="15" hidden="false" customHeight="false" outlineLevel="0" collapsed="false">
      <c r="A66" s="75" t="n">
        <v>5</v>
      </c>
      <c r="B66" s="73" t="s">
        <v>337</v>
      </c>
      <c r="C66" s="4" t="s">
        <v>728</v>
      </c>
      <c r="D66" s="76"/>
      <c r="E66" s="73" t="n">
        <f aca="false">IF(D66&lt;&gt;"",1,0)</f>
        <v>0</v>
      </c>
      <c r="F66" s="77"/>
      <c r="G66" s="43"/>
    </row>
    <row r="67" customFormat="false" ht="15" hidden="false" customHeight="false" outlineLevel="0" collapsed="false">
      <c r="A67" s="75" t="n">
        <v>5</v>
      </c>
      <c r="B67" s="73" t="s">
        <v>337</v>
      </c>
      <c r="C67" s="4" t="s">
        <v>729</v>
      </c>
      <c r="D67" s="76"/>
      <c r="E67" s="73" t="n">
        <f aca="false">IF(D67&lt;&gt;"",1,0)</f>
        <v>0</v>
      </c>
      <c r="F67" s="77"/>
      <c r="G67" s="43"/>
    </row>
    <row r="68" customFormat="false" ht="15" hidden="false" customHeight="false" outlineLevel="0" collapsed="false">
      <c r="A68" s="75" t="n">
        <v>5</v>
      </c>
      <c r="B68" s="73" t="s">
        <v>337</v>
      </c>
      <c r="C68" s="4" t="s">
        <v>730</v>
      </c>
      <c r="D68" s="76"/>
      <c r="E68" s="73" t="n">
        <f aca="false">IF(D68&lt;&gt;"",1,0)</f>
        <v>0</v>
      </c>
      <c r="F68" s="77"/>
      <c r="G68" s="43"/>
    </row>
    <row r="69" customFormat="false" ht="15" hidden="false" customHeight="false" outlineLevel="0" collapsed="false">
      <c r="A69" s="75" t="n">
        <v>5</v>
      </c>
      <c r="B69" s="73" t="s">
        <v>337</v>
      </c>
      <c r="C69" s="4" t="s">
        <v>731</v>
      </c>
      <c r="D69" s="76"/>
      <c r="E69" s="73" t="n">
        <f aca="false">IF(D69&lt;&gt;"",1,0)</f>
        <v>0</v>
      </c>
      <c r="F69" s="77"/>
      <c r="G69" s="43"/>
    </row>
    <row r="70" customFormat="false" ht="15" hidden="false" customHeight="false" outlineLevel="0" collapsed="false">
      <c r="B70" s="73" t="s">
        <v>345</v>
      </c>
      <c r="C70" s="78" t="s">
        <v>346</v>
      </c>
    </row>
    <row r="71" customFormat="false" ht="15" hidden="false" customHeight="false" outlineLevel="0" collapsed="false">
      <c r="A71" s="75" t="n">
        <v>5</v>
      </c>
      <c r="B71" s="73" t="s">
        <v>347</v>
      </c>
      <c r="C71" s="4" t="s">
        <v>732</v>
      </c>
      <c r="D71" s="79"/>
      <c r="E71" s="73" t="n">
        <f aca="false">IF(D71="Y",1,0)</f>
        <v>0</v>
      </c>
      <c r="G71" s="80" t="s">
        <v>349</v>
      </c>
    </row>
    <row r="72" customFormat="false" ht="15" hidden="false" customHeight="false" outlineLevel="0" collapsed="false">
      <c r="A72" s="75" t="n">
        <v>5</v>
      </c>
      <c r="B72" s="73" t="s">
        <v>347</v>
      </c>
      <c r="C72" s="4" t="s">
        <v>733</v>
      </c>
      <c r="D72" s="79"/>
      <c r="E72" s="73" t="n">
        <f aca="false">IF(D72="Y",1,0)</f>
        <v>0</v>
      </c>
      <c r="G72" s="80" t="s">
        <v>349</v>
      </c>
    </row>
    <row r="73" customFormat="false" ht="15" hidden="false" customHeight="false" outlineLevel="0" collapsed="false">
      <c r="B73" s="73" t="s">
        <v>351</v>
      </c>
      <c r="C73" s="81" t="s">
        <v>734</v>
      </c>
      <c r="D73" s="81"/>
      <c r="E73" s="81"/>
      <c r="F73" s="81"/>
      <c r="G73" s="81"/>
    </row>
    <row r="75" customFormat="false" ht="15" hidden="false" customHeight="false" outlineLevel="0" collapsed="false">
      <c r="A75" s="89" t="n">
        <v>6</v>
      </c>
      <c r="B75" s="90" t="s">
        <v>333</v>
      </c>
      <c r="C75" s="91" t="s">
        <v>735</v>
      </c>
      <c r="D75" s="91"/>
      <c r="E75" s="91"/>
      <c r="F75" s="91"/>
      <c r="G75" s="91"/>
    </row>
    <row r="76" customFormat="false" ht="30" hidden="false" customHeight="true" outlineLevel="0" collapsed="false">
      <c r="B76" s="73" t="s">
        <v>335</v>
      </c>
      <c r="C76" s="74" t="s">
        <v>736</v>
      </c>
      <c r="D76" s="74"/>
      <c r="E76" s="74"/>
      <c r="F76" s="74"/>
      <c r="G76" s="74"/>
    </row>
    <row r="77" customFormat="false" ht="15" hidden="false" customHeight="false" outlineLevel="0" collapsed="false">
      <c r="A77" s="75" t="n">
        <v>6</v>
      </c>
      <c r="B77" s="73" t="s">
        <v>337</v>
      </c>
      <c r="C77" s="4" t="s">
        <v>408</v>
      </c>
      <c r="D77" s="76"/>
      <c r="E77" s="73" t="n">
        <f aca="false">IF(D77&lt;&gt;"",1,0)</f>
        <v>0</v>
      </c>
      <c r="F77" s="77"/>
      <c r="G77" s="43" t="s">
        <v>344</v>
      </c>
    </row>
    <row r="78" customFormat="false" ht="15" hidden="false" customHeight="false" outlineLevel="0" collapsed="false">
      <c r="A78" s="75" t="n">
        <v>6</v>
      </c>
      <c r="B78" s="73" t="s">
        <v>337</v>
      </c>
      <c r="C78" s="4" t="s">
        <v>737</v>
      </c>
      <c r="D78" s="82"/>
      <c r="E78" s="73" t="n">
        <f aca="false">IF(D78&lt;&gt;"",1,0)</f>
        <v>0</v>
      </c>
      <c r="F78" s="83"/>
      <c r="G78" s="43" t="s">
        <v>595</v>
      </c>
    </row>
    <row r="79" customFormat="false" ht="15" hidden="false" customHeight="false" outlineLevel="0" collapsed="false">
      <c r="B79" s="73" t="s">
        <v>345</v>
      </c>
      <c r="C79" s="78" t="s">
        <v>346</v>
      </c>
    </row>
    <row r="80" customFormat="false" ht="15" hidden="false" customHeight="false" outlineLevel="0" collapsed="false">
      <c r="A80" s="75" t="n">
        <v>6</v>
      </c>
      <c r="B80" s="73" t="s">
        <v>347</v>
      </c>
      <c r="C80" s="4" t="s">
        <v>738</v>
      </c>
      <c r="D80" s="79"/>
      <c r="E80" s="73" t="n">
        <f aca="false">IF(D80="Y",1,0)</f>
        <v>0</v>
      </c>
      <c r="G80" s="80" t="s">
        <v>349</v>
      </c>
    </row>
    <row r="81" customFormat="false" ht="15" hidden="false" customHeight="false" outlineLevel="0" collapsed="false">
      <c r="A81" s="75" t="n">
        <v>6</v>
      </c>
      <c r="B81" s="73" t="s">
        <v>347</v>
      </c>
      <c r="C81" s="4" t="s">
        <v>739</v>
      </c>
      <c r="D81" s="79"/>
      <c r="E81" s="73" t="n">
        <f aca="false">IF(D81="Y",1,0)</f>
        <v>0</v>
      </c>
      <c r="G81" s="80" t="s">
        <v>349</v>
      </c>
    </row>
    <row r="82" customFormat="false" ht="15" hidden="false" customHeight="false" outlineLevel="0" collapsed="false">
      <c r="A82" s="75" t="n">
        <v>6</v>
      </c>
      <c r="B82" s="73" t="s">
        <v>347</v>
      </c>
      <c r="C82" s="4" t="s">
        <v>740</v>
      </c>
      <c r="D82" s="79"/>
      <c r="E82" s="73" t="n">
        <f aca="false">IF(D82="Y",1,0)</f>
        <v>0</v>
      </c>
      <c r="G82" s="80" t="s">
        <v>349</v>
      </c>
    </row>
    <row r="83" customFormat="false" ht="15" hidden="false" customHeight="false" outlineLevel="0" collapsed="false">
      <c r="B83" s="73" t="s">
        <v>351</v>
      </c>
      <c r="C83" s="81" t="s">
        <v>741</v>
      </c>
      <c r="D83" s="81"/>
      <c r="E83" s="81"/>
      <c r="F83" s="81"/>
      <c r="G83" s="81"/>
    </row>
  </sheetData>
  <mergeCells count="21">
    <mergeCell ref="C2:G2"/>
    <mergeCell ref="C3:G3"/>
    <mergeCell ref="F13:G15"/>
    <mergeCell ref="C19:G19"/>
    <mergeCell ref="C20:G20"/>
    <mergeCell ref="C26:G26"/>
    <mergeCell ref="C28:G28"/>
    <mergeCell ref="C29:G29"/>
    <mergeCell ref="C38:G38"/>
    <mergeCell ref="C40:G40"/>
    <mergeCell ref="C41:G41"/>
    <mergeCell ref="C48:G48"/>
    <mergeCell ref="C50:G50"/>
    <mergeCell ref="C51:G51"/>
    <mergeCell ref="C61:G61"/>
    <mergeCell ref="C63:G63"/>
    <mergeCell ref="C64:G64"/>
    <mergeCell ref="C73:G73"/>
    <mergeCell ref="C75:G75"/>
    <mergeCell ref="C76:G76"/>
    <mergeCell ref="C83:G83"/>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8">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7" type="list">
      <formula1>Lists!$U$2:$U$3</formula1>
      <formula2>0</formula2>
    </dataValidation>
    <dataValidation allowBlank="true" errorStyle="stop" operator="between" showDropDown="false" showErrorMessage="false" showInputMessage="false" sqref="D46" type="list">
      <formula1>Lists!$U$2:$U$3</formula1>
      <formula2>0</formula2>
    </dataValidation>
    <dataValidation allowBlank="true" errorStyle="stop" operator="between" showDropDown="false" showErrorMessage="false" showInputMessage="false" sqref="D47" type="list">
      <formula1>Lists!$U$2:$U$3</formula1>
      <formula2>0</formula2>
    </dataValidation>
    <dataValidation allowBlank="true" errorStyle="stop" operator="between" showDropDown="false" showErrorMessage="false" showInputMessage="false" sqref="D53" type="list">
      <formula1>Lists!$J$2:$J$5</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57" type="list">
      <formula1>Lists!$U$2:$U$3</formula1>
      <formula2>0</formula2>
    </dataValidation>
    <dataValidation allowBlank="true" errorStyle="stop" operator="between" showDropDown="false" showErrorMessage="false" showInputMessage="false" sqref="D58" type="list">
      <formula1>Lists!$U$2:$U$3</formula1>
      <formula2>0</formula2>
    </dataValidation>
    <dataValidation allowBlank="true" errorStyle="stop" operator="between" showDropDown="false" showErrorMessage="false" showInputMessage="false" sqref="D59" type="list">
      <formula1>Lists!$U$2:$U$3</formula1>
      <formula2>0</formula2>
    </dataValidation>
    <dataValidation allowBlank="true" errorStyle="stop" operator="between" showDropDown="false" showErrorMessage="false" showInputMessage="false" sqref="D60" type="list">
      <formula1>Lists!$U$2:$U$3</formula1>
      <formula2>0</formula2>
    </dataValidation>
    <dataValidation allowBlank="true" errorStyle="stop" operator="between" showDropDown="false" showErrorMessage="false" showInputMessage="false" sqref="D71" type="list">
      <formula1>Lists!$U$2:$U$3</formula1>
      <formula2>0</formula2>
    </dataValidation>
    <dataValidation allowBlank="true" errorStyle="stop" operator="between" showDropDown="false" showErrorMessage="false" showInputMessage="false" sqref="D72" type="list">
      <formula1>Lists!$U$2:$U$3</formula1>
      <formula2>0</formula2>
    </dataValidation>
    <dataValidation allowBlank="true" errorStyle="stop" operator="between" showDropDown="false" showErrorMessage="false" showInputMessage="false" sqref="D77" type="list">
      <formula1>Lists!$K$2:$K$5</formula1>
      <formula2>0</formula2>
    </dataValidation>
    <dataValidation allowBlank="true" errorStyle="stop" operator="between" showDropDown="false" showErrorMessage="false" showInputMessage="false" sqref="D80" type="list">
      <formula1>Lists!$U$2:$U$3</formula1>
      <formula2>0</formula2>
    </dataValidation>
    <dataValidation allowBlank="true" errorStyle="stop" operator="between" showDropDown="false" showErrorMessage="false" showInputMessage="false" sqref="D81" type="list">
      <formula1>Lists!$U$2:$U$3</formula1>
      <formula2>0</formula2>
    </dataValidation>
    <dataValidation allowBlank="true" errorStyle="stop" operator="between" showDropDown="false" showErrorMessage="false" showInputMessage="false" sqref="D82"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5926"/>
    <pageSetUpPr fitToPage="true"/>
  </sheetPr>
  <dimension ref="A1:I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53</v>
      </c>
      <c r="D1" s="64" t="s">
        <v>742</v>
      </c>
    </row>
    <row r="2" customFormat="false" ht="15" hidden="false" customHeight="false" outlineLevel="0" collapsed="false">
      <c r="C2" s="65" t="s">
        <v>743</v>
      </c>
      <c r="D2" s="65"/>
      <c r="E2" s="65"/>
      <c r="F2" s="65"/>
      <c r="G2" s="65"/>
    </row>
    <row r="3" customFormat="false" ht="78" hidden="false" customHeight="true" outlineLevel="0" collapsed="false">
      <c r="C3" s="66" t="s">
        <v>744</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3</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3</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2" t="n">
        <v>1</v>
      </c>
      <c r="B19" s="93" t="s">
        <v>333</v>
      </c>
      <c r="C19" s="94" t="s">
        <v>745</v>
      </c>
      <c r="D19" s="94"/>
      <c r="E19" s="94"/>
      <c r="F19" s="94"/>
      <c r="G19" s="94"/>
    </row>
    <row r="20" customFormat="false" ht="30" hidden="false" customHeight="true" outlineLevel="0" collapsed="false">
      <c r="B20" s="73" t="s">
        <v>335</v>
      </c>
      <c r="C20" s="74" t="s">
        <v>746</v>
      </c>
      <c r="D20" s="74"/>
      <c r="E20" s="74"/>
      <c r="F20" s="74"/>
      <c r="G20" s="74"/>
    </row>
    <row r="21" customFormat="false" ht="15" hidden="false" customHeight="false" outlineLevel="0" collapsed="false">
      <c r="A21" s="75" t="n">
        <v>1</v>
      </c>
      <c r="B21" s="73" t="s">
        <v>337</v>
      </c>
      <c r="C21" s="4" t="s">
        <v>747</v>
      </c>
      <c r="D21" s="76"/>
      <c r="E21" s="73" t="n">
        <f aca="false">IF(D21&lt;&gt;"",1,0)</f>
        <v>0</v>
      </c>
      <c r="F21" s="77" t="n">
        <v>2</v>
      </c>
      <c r="G21" s="43" t="s">
        <v>339</v>
      </c>
    </row>
    <row r="22" customFormat="false" ht="48" hidden="false" customHeight="true" outlineLevel="0" collapsed="false">
      <c r="A22" s="75" t="n">
        <v>1</v>
      </c>
      <c r="B22" s="73" t="s">
        <v>337</v>
      </c>
      <c r="C22" s="4" t="s">
        <v>748</v>
      </c>
      <c r="D22" s="76"/>
      <c r="E22" s="73" t="n">
        <f aca="false">IF(D22&lt;&gt;"",1,0)</f>
        <v>0</v>
      </c>
      <c r="F22" s="77"/>
      <c r="G22" s="43" t="s">
        <v>749</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750</v>
      </c>
      <c r="D24" s="79"/>
      <c r="E24" s="73" t="n">
        <f aca="false">IF(D24="Y",1,0)</f>
        <v>0</v>
      </c>
      <c r="G24" s="80" t="s">
        <v>349</v>
      </c>
    </row>
    <row r="25" customFormat="false" ht="15" hidden="false" customHeight="false" outlineLevel="0" collapsed="false">
      <c r="A25" s="75" t="n">
        <v>1</v>
      </c>
      <c r="B25" s="73" t="s">
        <v>347</v>
      </c>
      <c r="C25" s="4" t="s">
        <v>751</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92" t="n">
        <v>2</v>
      </c>
      <c r="B28" s="93" t="s">
        <v>333</v>
      </c>
      <c r="C28" s="94" t="s">
        <v>752</v>
      </c>
      <c r="D28" s="94"/>
      <c r="E28" s="94"/>
      <c r="F28" s="94"/>
      <c r="G28" s="94"/>
    </row>
    <row r="29" customFormat="false" ht="30" hidden="false" customHeight="true" outlineLevel="0" collapsed="false">
      <c r="B29" s="73" t="s">
        <v>335</v>
      </c>
      <c r="C29" s="74" t="s">
        <v>753</v>
      </c>
      <c r="D29" s="74"/>
      <c r="E29" s="74"/>
      <c r="F29" s="74"/>
      <c r="G29" s="74"/>
    </row>
    <row r="30" customFormat="false" ht="15" hidden="false" customHeight="false" outlineLevel="0" collapsed="false">
      <c r="A30" s="75" t="n">
        <v>2</v>
      </c>
      <c r="B30" s="73" t="s">
        <v>337</v>
      </c>
      <c r="C30" s="4" t="s">
        <v>754</v>
      </c>
      <c r="D30" s="76"/>
      <c r="E30" s="73" t="n">
        <f aca="false">IF(D30&lt;&gt;"",1,0)</f>
        <v>0</v>
      </c>
      <c r="F30" s="77" t="n">
        <v>30</v>
      </c>
      <c r="G30" s="43"/>
    </row>
    <row r="31" customFormat="false" ht="15" hidden="false" customHeight="false" outlineLevel="0" collapsed="false">
      <c r="A31" s="75" t="n">
        <v>2</v>
      </c>
      <c r="B31" s="73" t="s">
        <v>337</v>
      </c>
      <c r="C31" s="4" t="s">
        <v>755</v>
      </c>
      <c r="D31" s="76"/>
      <c r="E31" s="73" t="n">
        <f aca="false">IF(D31&lt;&gt;"",1,0)</f>
        <v>0</v>
      </c>
      <c r="F31" s="77" t="n">
        <v>3</v>
      </c>
      <c r="G31" s="43"/>
    </row>
    <row r="32" customFormat="false" ht="15" hidden="false" customHeight="false" outlineLevel="0" collapsed="false">
      <c r="A32" s="75" t="n">
        <v>2</v>
      </c>
      <c r="B32" s="73" t="s">
        <v>337</v>
      </c>
      <c r="C32" s="4" t="s">
        <v>756</v>
      </c>
      <c r="D32" s="76"/>
      <c r="E32" s="73" t="n">
        <f aca="false">IF(D32&lt;&gt;"",1,0)</f>
        <v>0</v>
      </c>
      <c r="F32" s="77" t="n">
        <v>10</v>
      </c>
      <c r="G32" s="43"/>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757</v>
      </c>
      <c r="D34" s="79"/>
      <c r="E34" s="73" t="n">
        <f aca="false">IF(D34="Y",1,0)</f>
        <v>0</v>
      </c>
      <c r="G34" s="80" t="s">
        <v>349</v>
      </c>
    </row>
    <row r="35" customFormat="false" ht="15" hidden="false" customHeight="false" outlineLevel="0" collapsed="false">
      <c r="B35" s="73" t="s">
        <v>351</v>
      </c>
      <c r="C35" s="81" t="s">
        <v>758</v>
      </c>
      <c r="D35" s="81"/>
      <c r="E35" s="81"/>
      <c r="F35" s="81"/>
      <c r="G35" s="81"/>
    </row>
    <row r="37" customFormat="false" ht="15" hidden="false" customHeight="false" outlineLevel="0" collapsed="false">
      <c r="A37" s="92" t="n">
        <v>3</v>
      </c>
      <c r="B37" s="93" t="s">
        <v>333</v>
      </c>
      <c r="C37" s="94" t="s">
        <v>759</v>
      </c>
      <c r="D37" s="94"/>
      <c r="E37" s="94"/>
      <c r="F37" s="94"/>
      <c r="G37" s="94"/>
    </row>
    <row r="38" customFormat="false" ht="30" hidden="false" customHeight="true" outlineLevel="0" collapsed="false">
      <c r="B38" s="73" t="s">
        <v>335</v>
      </c>
      <c r="C38" s="74" t="s">
        <v>760</v>
      </c>
      <c r="D38" s="74"/>
      <c r="E38" s="74"/>
      <c r="F38" s="74"/>
      <c r="G38" s="74"/>
    </row>
    <row r="39" customFormat="false" ht="15" hidden="false" customHeight="false" outlineLevel="0" collapsed="false">
      <c r="A39" s="75" t="n">
        <v>3</v>
      </c>
      <c r="B39" s="73" t="s">
        <v>337</v>
      </c>
      <c r="C39" s="4" t="s">
        <v>761</v>
      </c>
      <c r="D39" s="76"/>
      <c r="E39" s="73" t="n">
        <f aca="false">IF(D39&lt;&gt;"",1,0)</f>
        <v>0</v>
      </c>
      <c r="F39" s="77"/>
      <c r="G39" s="43" t="s">
        <v>762</v>
      </c>
    </row>
    <row r="40" customFormat="false" ht="15" hidden="false" customHeight="false" outlineLevel="0" collapsed="false">
      <c r="A40" s="75" t="n">
        <v>3</v>
      </c>
      <c r="B40" s="73" t="s">
        <v>337</v>
      </c>
      <c r="C40" s="4" t="s">
        <v>763</v>
      </c>
      <c r="D40" s="84" t="str">
        <f aca="false">IF(COUNTA(C42:D49)&gt;0,"logged","")</f>
        <v/>
      </c>
      <c r="E40" s="73" t="n">
        <f aca="false">IF(COUNTA(C42:D49)&gt;0,1,0)</f>
        <v>0</v>
      </c>
      <c r="F40" s="7"/>
      <c r="G40" s="43" t="s">
        <v>764</v>
      </c>
    </row>
    <row r="41" customFormat="false" ht="15" hidden="false" customHeight="false" outlineLevel="0" collapsed="false">
      <c r="B41" s="73" t="s">
        <v>464</v>
      </c>
      <c r="C41" s="85" t="s">
        <v>765</v>
      </c>
      <c r="D41" s="85" t="s">
        <v>196</v>
      </c>
    </row>
    <row r="42" customFormat="false" ht="15" hidden="false" customHeight="false" outlineLevel="0" collapsed="false">
      <c r="B42" s="73" t="s">
        <v>464</v>
      </c>
      <c r="C42" s="6"/>
      <c r="D42" s="6"/>
    </row>
    <row r="43" customFormat="false" ht="15" hidden="false" customHeight="false" outlineLevel="0" collapsed="false">
      <c r="B43" s="73" t="s">
        <v>464</v>
      </c>
      <c r="C43" s="6"/>
      <c r="D43" s="6"/>
    </row>
    <row r="44" customFormat="false" ht="15" hidden="false" customHeight="false" outlineLevel="0" collapsed="false">
      <c r="B44" s="73" t="s">
        <v>464</v>
      </c>
      <c r="C44" s="6"/>
      <c r="D44" s="6"/>
    </row>
    <row r="45" customFormat="false" ht="15" hidden="false" customHeight="false" outlineLevel="0" collapsed="false">
      <c r="B45" s="73" t="s">
        <v>464</v>
      </c>
      <c r="C45" s="6"/>
      <c r="D45" s="6"/>
    </row>
    <row r="46" customFormat="false" ht="15" hidden="false" customHeight="false" outlineLevel="0" collapsed="false">
      <c r="B46" s="73" t="s">
        <v>464</v>
      </c>
      <c r="C46" s="6"/>
      <c r="D46" s="6"/>
    </row>
    <row r="47" customFormat="false" ht="15" hidden="false" customHeight="false" outlineLevel="0" collapsed="false">
      <c r="B47" s="73" t="s">
        <v>464</v>
      </c>
      <c r="C47" s="6"/>
      <c r="D47" s="6"/>
    </row>
    <row r="48" customFormat="false" ht="15" hidden="false" customHeight="false" outlineLevel="0" collapsed="false">
      <c r="B48" s="73" t="s">
        <v>464</v>
      </c>
      <c r="C48" s="6"/>
      <c r="D48" s="6"/>
    </row>
    <row r="49" customFormat="false" ht="15" hidden="false" customHeight="false" outlineLevel="0" collapsed="false">
      <c r="B49" s="73" t="s">
        <v>464</v>
      </c>
      <c r="C49" s="6"/>
      <c r="D49" s="6"/>
    </row>
    <row r="50" customFormat="false" ht="60" hidden="false" customHeight="true" outlineLevel="0" collapsed="false">
      <c r="A50" s="75" t="n">
        <v>3</v>
      </c>
      <c r="B50" s="73" t="s">
        <v>337</v>
      </c>
      <c r="C50" s="4" t="s">
        <v>766</v>
      </c>
      <c r="D50" s="76"/>
      <c r="E50" s="73" t="n">
        <f aca="false">IF(D50&lt;&gt;"",1,0)</f>
        <v>0</v>
      </c>
      <c r="F50" s="77"/>
      <c r="G50" s="43" t="s">
        <v>767</v>
      </c>
    </row>
    <row r="51" customFormat="false" ht="15" hidden="false" customHeight="false" outlineLevel="0" collapsed="false">
      <c r="B51" s="73" t="s">
        <v>345</v>
      </c>
      <c r="C51" s="78" t="s">
        <v>346</v>
      </c>
    </row>
    <row r="52" customFormat="false" ht="23.85" hidden="false" customHeight="false" outlineLevel="0" collapsed="false">
      <c r="A52" s="75" t="n">
        <v>3</v>
      </c>
      <c r="B52" s="73" t="s">
        <v>347</v>
      </c>
      <c r="C52" s="4" t="s">
        <v>768</v>
      </c>
      <c r="D52" s="79"/>
      <c r="E52" s="73" t="n">
        <f aca="false">IF(D52="Y",1,0)</f>
        <v>0</v>
      </c>
      <c r="G52" s="80" t="s">
        <v>349</v>
      </c>
    </row>
    <row r="53" customFormat="false" ht="15" hidden="false" customHeight="false" outlineLevel="0" collapsed="false">
      <c r="A53" s="75" t="n">
        <v>3</v>
      </c>
      <c r="B53" s="73" t="s">
        <v>347</v>
      </c>
      <c r="C53" s="4" t="s">
        <v>769</v>
      </c>
      <c r="D53" s="79"/>
      <c r="E53" s="73" t="n">
        <f aca="false">IF(D53="Y",1,0)</f>
        <v>0</v>
      </c>
      <c r="G53" s="80" t="s">
        <v>349</v>
      </c>
    </row>
    <row r="54" customFormat="false" ht="15" hidden="false" customHeight="false" outlineLevel="0" collapsed="false">
      <c r="B54" s="73" t="s">
        <v>351</v>
      </c>
      <c r="C54" s="81" t="s">
        <v>770</v>
      </c>
      <c r="D54" s="81"/>
      <c r="E54" s="81"/>
      <c r="F54" s="81"/>
      <c r="G54" s="81"/>
    </row>
    <row r="56" customFormat="false" ht="15" hidden="false" customHeight="false" outlineLevel="0" collapsed="false">
      <c r="A56" s="92" t="n">
        <v>4</v>
      </c>
      <c r="B56" s="93" t="s">
        <v>333</v>
      </c>
      <c r="C56" s="94" t="s">
        <v>771</v>
      </c>
      <c r="D56" s="94"/>
      <c r="E56" s="94"/>
      <c r="F56" s="94"/>
      <c r="G56" s="94"/>
    </row>
    <row r="57" customFormat="false" ht="30" hidden="false" customHeight="true" outlineLevel="0" collapsed="false">
      <c r="B57" s="73" t="s">
        <v>335</v>
      </c>
      <c r="C57" s="74" t="s">
        <v>772</v>
      </c>
      <c r="D57" s="74"/>
      <c r="E57" s="74"/>
      <c r="F57" s="74"/>
      <c r="G57" s="74"/>
    </row>
    <row r="58" customFormat="false" ht="15" hidden="false" customHeight="false" outlineLevel="0" collapsed="false">
      <c r="A58" s="75" t="n">
        <v>4</v>
      </c>
      <c r="B58" s="73" t="s">
        <v>337</v>
      </c>
      <c r="C58" s="4" t="s">
        <v>773</v>
      </c>
      <c r="D58" s="76"/>
      <c r="E58" s="73" t="n">
        <f aca="false">IF(D58&lt;&gt;"",1,0)</f>
        <v>0</v>
      </c>
      <c r="F58" s="77"/>
      <c r="G58" s="43" t="s">
        <v>774</v>
      </c>
    </row>
    <row r="59" customFormat="false" ht="15" hidden="false" customHeight="false" outlineLevel="0" collapsed="false">
      <c r="A59" s="75" t="n">
        <v>4</v>
      </c>
      <c r="B59" s="73" t="s">
        <v>337</v>
      </c>
      <c r="C59" s="4" t="s">
        <v>775</v>
      </c>
      <c r="D59" s="76"/>
      <c r="E59" s="73" t="n">
        <f aca="false">IF(D59&lt;&gt;"",1,0)</f>
        <v>0</v>
      </c>
      <c r="F59" s="77"/>
      <c r="G59" s="43"/>
    </row>
    <row r="60" customFormat="false" ht="15" hidden="false" customHeight="false" outlineLevel="0" collapsed="false">
      <c r="B60" s="73" t="s">
        <v>345</v>
      </c>
      <c r="C60" s="78" t="s">
        <v>346</v>
      </c>
    </row>
    <row r="61" customFormat="false" ht="23.85" hidden="false" customHeight="false" outlineLevel="0" collapsed="false">
      <c r="A61" s="75" t="n">
        <v>4</v>
      </c>
      <c r="B61" s="73" t="s">
        <v>347</v>
      </c>
      <c r="C61" s="4" t="s">
        <v>776</v>
      </c>
      <c r="D61" s="79"/>
      <c r="E61" s="73" t="n">
        <f aca="false">IF(D61="Y",1,0)</f>
        <v>0</v>
      </c>
      <c r="G61" s="80" t="s">
        <v>349</v>
      </c>
    </row>
    <row r="62" customFormat="false" ht="15" hidden="false" customHeight="false" outlineLevel="0" collapsed="false">
      <c r="A62" s="75" t="n">
        <v>4</v>
      </c>
      <c r="B62" s="73" t="s">
        <v>347</v>
      </c>
      <c r="C62" s="4" t="s">
        <v>777</v>
      </c>
      <c r="D62" s="79"/>
      <c r="E62" s="73" t="n">
        <f aca="false">IF(D62="Y",1,0)</f>
        <v>0</v>
      </c>
      <c r="G62" s="80" t="s">
        <v>349</v>
      </c>
    </row>
    <row r="63" customFormat="false" ht="15" hidden="false" customHeight="false" outlineLevel="0" collapsed="false">
      <c r="A63" s="75" t="n">
        <v>4</v>
      </c>
      <c r="B63" s="73" t="s">
        <v>347</v>
      </c>
      <c r="C63" s="4" t="s">
        <v>778</v>
      </c>
      <c r="D63" s="79"/>
      <c r="E63" s="73" t="n">
        <f aca="false">IF(D63="Y",1,0)</f>
        <v>0</v>
      </c>
      <c r="G63" s="80" t="s">
        <v>349</v>
      </c>
    </row>
    <row r="64" customFormat="false" ht="15" hidden="false" customHeight="false" outlineLevel="0" collapsed="false">
      <c r="A64" s="75" t="n">
        <v>4</v>
      </c>
      <c r="B64" s="73" t="s">
        <v>347</v>
      </c>
      <c r="C64" s="4" t="s">
        <v>779</v>
      </c>
      <c r="D64" s="79"/>
      <c r="E64" s="73" t="n">
        <f aca="false">IF(D64="Y",1,0)</f>
        <v>0</v>
      </c>
      <c r="G64" s="80" t="s">
        <v>349</v>
      </c>
    </row>
    <row r="65" customFormat="false" ht="15" hidden="false" customHeight="false" outlineLevel="0" collapsed="false">
      <c r="A65" s="75" t="n">
        <v>4</v>
      </c>
      <c r="B65" s="73" t="s">
        <v>347</v>
      </c>
      <c r="C65" s="4" t="s">
        <v>780</v>
      </c>
      <c r="D65" s="79"/>
      <c r="E65" s="73" t="n">
        <f aca="false">IF(D65="Y",1,0)</f>
        <v>0</v>
      </c>
      <c r="G65" s="80" t="s">
        <v>349</v>
      </c>
    </row>
    <row r="66" customFormat="false" ht="15" hidden="false" customHeight="false" outlineLevel="0" collapsed="false">
      <c r="B66" s="73" t="s">
        <v>351</v>
      </c>
      <c r="C66" s="81" t="s">
        <v>781</v>
      </c>
      <c r="D66" s="81"/>
      <c r="E66" s="81"/>
      <c r="F66" s="81"/>
      <c r="G66" s="81"/>
    </row>
    <row r="68" customFormat="false" ht="15" hidden="false" customHeight="false" outlineLevel="0" collapsed="false">
      <c r="A68" s="92" t="n">
        <v>5</v>
      </c>
      <c r="B68" s="93" t="s">
        <v>333</v>
      </c>
      <c r="C68" s="94" t="s">
        <v>782</v>
      </c>
      <c r="D68" s="94"/>
      <c r="E68" s="94"/>
      <c r="F68" s="94"/>
      <c r="G68" s="94"/>
    </row>
    <row r="69" customFormat="false" ht="30" hidden="false" customHeight="true" outlineLevel="0" collapsed="false">
      <c r="B69" s="73" t="s">
        <v>335</v>
      </c>
      <c r="C69" s="74" t="s">
        <v>783</v>
      </c>
      <c r="D69" s="74"/>
      <c r="E69" s="74"/>
      <c r="F69" s="74"/>
      <c r="G69" s="74"/>
    </row>
    <row r="70" customFormat="false" ht="15" hidden="false" customHeight="false" outlineLevel="0" collapsed="false">
      <c r="A70" s="75" t="n">
        <v>5</v>
      </c>
      <c r="B70" s="73" t="s">
        <v>337</v>
      </c>
      <c r="C70" s="4" t="s">
        <v>784</v>
      </c>
      <c r="D70" s="76"/>
      <c r="E70" s="73" t="n">
        <f aca="false">IF(D70&lt;&gt;"",1,0)</f>
        <v>0</v>
      </c>
      <c r="F70" s="77" t="n">
        <v>32</v>
      </c>
      <c r="G70" s="43"/>
    </row>
    <row r="71" customFormat="false" ht="15" hidden="false" customHeight="false" outlineLevel="0" collapsed="false">
      <c r="A71" s="75" t="n">
        <v>5</v>
      </c>
      <c r="B71" s="73" t="s">
        <v>337</v>
      </c>
      <c r="C71" s="4" t="s">
        <v>785</v>
      </c>
      <c r="D71" s="76"/>
      <c r="E71" s="73" t="n">
        <f aca="false">IF(D71&lt;&gt;"",1,0)</f>
        <v>0</v>
      </c>
      <c r="F71" s="77" t="n">
        <v>2</v>
      </c>
      <c r="G71" s="43"/>
    </row>
    <row r="72" customFormat="false" ht="15" hidden="false" customHeight="false" outlineLevel="0" collapsed="false">
      <c r="A72" s="75" t="n">
        <v>5</v>
      </c>
      <c r="B72" s="73" t="s">
        <v>337</v>
      </c>
      <c r="C72" s="4" t="s">
        <v>786</v>
      </c>
      <c r="D72" s="84" t="str">
        <f aca="false">IF(COUNTA(C74:E81)&gt;0,"logged","")</f>
        <v/>
      </c>
      <c r="E72" s="73" t="n">
        <f aca="false">IF(COUNTA(C74:E81)&gt;0,1,0)</f>
        <v>0</v>
      </c>
      <c r="F72" s="7" t="s">
        <v>787</v>
      </c>
      <c r="G72" s="43" t="s">
        <v>764</v>
      </c>
    </row>
    <row r="73" customFormat="false" ht="15" hidden="false" customHeight="false" outlineLevel="0" collapsed="false">
      <c r="B73" s="73" t="s">
        <v>464</v>
      </c>
      <c r="C73" s="85" t="s">
        <v>788</v>
      </c>
      <c r="D73" s="85" t="s">
        <v>789</v>
      </c>
      <c r="E73" s="85" t="s">
        <v>790</v>
      </c>
    </row>
    <row r="74" customFormat="false" ht="15" hidden="false" customHeight="false" outlineLevel="0" collapsed="false">
      <c r="B74" s="73" t="s">
        <v>464</v>
      </c>
      <c r="C74" s="6"/>
      <c r="D74" s="6"/>
      <c r="E74" s="6"/>
    </row>
    <row r="75" customFormat="false" ht="15" hidden="false" customHeight="false" outlineLevel="0" collapsed="false">
      <c r="B75" s="73" t="s">
        <v>464</v>
      </c>
      <c r="C75" s="6"/>
      <c r="D75" s="6"/>
      <c r="E75" s="6"/>
    </row>
    <row r="76" customFormat="false" ht="15" hidden="false" customHeight="false" outlineLevel="0" collapsed="false">
      <c r="B76" s="73" t="s">
        <v>464</v>
      </c>
      <c r="C76" s="6"/>
      <c r="D76" s="6"/>
      <c r="E76" s="6"/>
    </row>
    <row r="77" customFormat="false" ht="15" hidden="false" customHeight="false" outlineLevel="0" collapsed="false">
      <c r="B77" s="73" t="s">
        <v>464</v>
      </c>
      <c r="C77" s="6"/>
      <c r="D77" s="6"/>
      <c r="E77" s="6"/>
    </row>
    <row r="78" customFormat="false" ht="15" hidden="false" customHeight="false" outlineLevel="0" collapsed="false">
      <c r="B78" s="73" t="s">
        <v>464</v>
      </c>
      <c r="C78" s="6"/>
      <c r="D78" s="6"/>
      <c r="E78" s="6"/>
    </row>
    <row r="79" customFormat="false" ht="15" hidden="false" customHeight="false" outlineLevel="0" collapsed="false">
      <c r="B79" s="73" t="s">
        <v>464</v>
      </c>
      <c r="C79" s="6"/>
      <c r="D79" s="6"/>
      <c r="E79" s="6"/>
    </row>
    <row r="80" customFormat="false" ht="15" hidden="false" customHeight="false" outlineLevel="0" collapsed="false">
      <c r="B80" s="73" t="s">
        <v>464</v>
      </c>
      <c r="C80" s="6"/>
      <c r="D80" s="6"/>
      <c r="E80" s="6"/>
    </row>
    <row r="81" customFormat="false" ht="15" hidden="false" customHeight="false" outlineLevel="0" collapsed="false">
      <c r="B81" s="73" t="s">
        <v>464</v>
      </c>
      <c r="C81" s="6"/>
      <c r="D81" s="6"/>
      <c r="E81" s="6"/>
    </row>
    <row r="82" customFormat="false" ht="15" hidden="false" customHeight="false" outlineLevel="0" collapsed="false">
      <c r="B82" s="73" t="s">
        <v>345</v>
      </c>
      <c r="C82" s="78" t="s">
        <v>346</v>
      </c>
    </row>
    <row r="83" customFormat="false" ht="15" hidden="false" customHeight="false" outlineLevel="0" collapsed="false">
      <c r="A83" s="75" t="n">
        <v>5</v>
      </c>
      <c r="B83" s="73" t="s">
        <v>347</v>
      </c>
      <c r="C83" s="4" t="s">
        <v>791</v>
      </c>
      <c r="D83" s="79"/>
      <c r="E83" s="73" t="n">
        <f aca="false">IF(D83="Y",1,0)</f>
        <v>0</v>
      </c>
      <c r="G83" s="80" t="s">
        <v>349</v>
      </c>
    </row>
    <row r="84" customFormat="false" ht="15" hidden="false" customHeight="false" outlineLevel="0" collapsed="false">
      <c r="B84" s="73" t="s">
        <v>351</v>
      </c>
      <c r="C84" s="81" t="s">
        <v>792</v>
      </c>
      <c r="D84" s="81"/>
      <c r="E84" s="81"/>
      <c r="F84" s="81"/>
      <c r="G84" s="81"/>
    </row>
    <row r="86" customFormat="false" ht="15" hidden="false" customHeight="false" outlineLevel="0" collapsed="false">
      <c r="A86" s="92" t="n">
        <v>6</v>
      </c>
      <c r="B86" s="93" t="s">
        <v>333</v>
      </c>
      <c r="C86" s="94" t="s">
        <v>793</v>
      </c>
      <c r="D86" s="94"/>
      <c r="E86" s="94"/>
      <c r="F86" s="94"/>
      <c r="G86" s="94"/>
    </row>
    <row r="87" customFormat="false" ht="30" hidden="false" customHeight="true" outlineLevel="0" collapsed="false">
      <c r="B87" s="73" t="s">
        <v>335</v>
      </c>
      <c r="C87" s="74" t="s">
        <v>794</v>
      </c>
      <c r="D87" s="74"/>
      <c r="E87" s="74"/>
      <c r="F87" s="74"/>
      <c r="G87" s="74"/>
    </row>
    <row r="88" customFormat="false" ht="15" hidden="false" customHeight="false" outlineLevel="0" collapsed="false">
      <c r="A88" s="75" t="n">
        <v>6</v>
      </c>
      <c r="B88" s="73" t="s">
        <v>337</v>
      </c>
      <c r="C88" s="4" t="s">
        <v>408</v>
      </c>
      <c r="D88" s="76"/>
      <c r="E88" s="73" t="n">
        <f aca="false">IF(D88&lt;&gt;"",1,0)</f>
        <v>0</v>
      </c>
      <c r="F88" s="77"/>
      <c r="G88" s="43" t="s">
        <v>344</v>
      </c>
    </row>
    <row r="89" customFormat="false" ht="15" hidden="false" customHeight="false" outlineLevel="0" collapsed="false">
      <c r="A89" s="75" t="n">
        <v>6</v>
      </c>
      <c r="B89" s="73" t="s">
        <v>337</v>
      </c>
      <c r="C89" s="4" t="s">
        <v>795</v>
      </c>
      <c r="D89" s="76"/>
      <c r="E89" s="73" t="n">
        <f aca="false">IF(D89&lt;&gt;"",1,0)</f>
        <v>0</v>
      </c>
      <c r="F89" s="77"/>
      <c r="G89" s="43"/>
    </row>
    <row r="90" customFormat="false" ht="15" hidden="false" customHeight="false" outlineLevel="0" collapsed="false">
      <c r="B90" s="73" t="s">
        <v>345</v>
      </c>
      <c r="C90" s="78" t="s">
        <v>346</v>
      </c>
    </row>
    <row r="91" customFormat="false" ht="15" hidden="false" customHeight="false" outlineLevel="0" collapsed="false">
      <c r="A91" s="75" t="n">
        <v>6</v>
      </c>
      <c r="B91" s="73" t="s">
        <v>347</v>
      </c>
      <c r="C91" s="4" t="s">
        <v>796</v>
      </c>
      <c r="D91" s="79"/>
      <c r="E91" s="73" t="n">
        <f aca="false">IF(D91="Y",1,0)</f>
        <v>0</v>
      </c>
      <c r="G91" s="80" t="s">
        <v>349</v>
      </c>
    </row>
    <row r="92" customFormat="false" ht="15" hidden="false" customHeight="false" outlineLevel="0" collapsed="false">
      <c r="A92" s="75" t="n">
        <v>6</v>
      </c>
      <c r="B92" s="73" t="s">
        <v>347</v>
      </c>
      <c r="C92" s="4" t="s">
        <v>797</v>
      </c>
      <c r="D92" s="79"/>
      <c r="E92" s="73" t="n">
        <f aca="false">IF(D92="Y",1,0)</f>
        <v>0</v>
      </c>
      <c r="G92" s="80" t="s">
        <v>349</v>
      </c>
    </row>
    <row r="93" customFormat="false" ht="15" hidden="false" customHeight="false" outlineLevel="0" collapsed="false">
      <c r="A93" s="75" t="n">
        <v>6</v>
      </c>
      <c r="B93" s="73" t="s">
        <v>347</v>
      </c>
      <c r="C93" s="4" t="s">
        <v>798</v>
      </c>
      <c r="D93" s="79"/>
      <c r="E93" s="73" t="n">
        <f aca="false">IF(D93="Y",1,0)</f>
        <v>0</v>
      </c>
      <c r="G93" s="80" t="s">
        <v>349</v>
      </c>
    </row>
    <row r="94" customFormat="false" ht="15" hidden="false" customHeight="false" outlineLevel="0" collapsed="false">
      <c r="B94" s="73" t="s">
        <v>351</v>
      </c>
      <c r="C94" s="81" t="s">
        <v>799</v>
      </c>
      <c r="D94" s="81"/>
      <c r="E94" s="81"/>
      <c r="F94" s="81"/>
      <c r="G94" s="81"/>
    </row>
  </sheetData>
  <mergeCells count="21">
    <mergeCell ref="C2:G2"/>
    <mergeCell ref="C3:G3"/>
    <mergeCell ref="F13:G15"/>
    <mergeCell ref="C19:G19"/>
    <mergeCell ref="C20:G20"/>
    <mergeCell ref="C26:G26"/>
    <mergeCell ref="C28:G28"/>
    <mergeCell ref="C29:G29"/>
    <mergeCell ref="C35:G35"/>
    <mergeCell ref="C37:G37"/>
    <mergeCell ref="C38:G38"/>
    <mergeCell ref="C54:G54"/>
    <mergeCell ref="C56:G56"/>
    <mergeCell ref="C57:G57"/>
    <mergeCell ref="C66:G66"/>
    <mergeCell ref="C68:G68"/>
    <mergeCell ref="C69:G69"/>
    <mergeCell ref="C84:G84"/>
    <mergeCell ref="C86:G86"/>
    <mergeCell ref="C87:G87"/>
    <mergeCell ref="C94:G94"/>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6">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52" type="list">
      <formula1>Lists!$U$2:$U$3</formula1>
      <formula2>0</formula2>
    </dataValidation>
    <dataValidation allowBlank="true" errorStyle="stop" operator="between" showDropDown="false" showErrorMessage="false" showInputMessage="false" sqref="D53" type="list">
      <formula1>Lists!$U$2:$U$3</formula1>
      <formula2>0</formula2>
    </dataValidation>
    <dataValidation allowBlank="true" errorStyle="stop" operator="between" showDropDown="false" showErrorMessage="false" showInputMessage="false" sqref="D61" type="list">
      <formula1>Lists!$U$2:$U$3</formula1>
      <formula2>0</formula2>
    </dataValidation>
    <dataValidation allowBlank="true" errorStyle="stop" operator="between" showDropDown="false" showErrorMessage="false" showInputMessage="false" sqref="D62" type="list">
      <formula1>Lists!$U$2:$U$3</formula1>
      <formula2>0</formula2>
    </dataValidation>
    <dataValidation allowBlank="true" errorStyle="stop" operator="between" showDropDown="false" showErrorMessage="false" showInputMessage="false" sqref="D63" type="list">
      <formula1>Lists!$U$2:$U$3</formula1>
      <formula2>0</formula2>
    </dataValidation>
    <dataValidation allowBlank="true" errorStyle="stop" operator="between" showDropDown="false" showErrorMessage="false" showInputMessage="false" sqref="D64" type="list">
      <formula1>Lists!$U$2:$U$3</formula1>
      <formula2>0</formula2>
    </dataValidation>
    <dataValidation allowBlank="true" errorStyle="stop" operator="between" showDropDown="false" showErrorMessage="false" showInputMessage="false" sqref="D65" type="list">
      <formula1>Lists!$U$2:$U$3</formula1>
      <formula2>0</formula2>
    </dataValidation>
    <dataValidation allowBlank="true" errorStyle="stop" operator="between" showDropDown="false" showErrorMessage="false" showInputMessage="false" sqref="D83" type="list">
      <formula1>Lists!$U$2:$U$3</formula1>
      <formula2>0</formula2>
    </dataValidation>
    <dataValidation allowBlank="true" errorStyle="stop" operator="between" showDropDown="false" showErrorMessage="false" showInputMessage="false" sqref="D88" type="list">
      <formula1>Lists!$L$2:$L$5</formula1>
      <formula2>0</formula2>
    </dataValidation>
    <dataValidation allowBlank="true" errorStyle="stop" operator="between" showDropDown="false" showErrorMessage="false" showInputMessage="false" sqref="D91" type="list">
      <formula1>Lists!$U$2:$U$3</formula1>
      <formula2>0</formula2>
    </dataValidation>
    <dataValidation allowBlank="true" errorStyle="stop" operator="between" showDropDown="false" showErrorMessage="false" showInputMessage="false" sqref="D92" type="list">
      <formula1>Lists!$U$2:$U$3</formula1>
      <formula2>0</formula2>
    </dataValidation>
    <dataValidation allowBlank="true" errorStyle="stop" operator="between" showDropDown="false" showErrorMessage="false" showInputMessage="false" sqref="D93"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5926"/>
    <pageSetUpPr fitToPage="true"/>
  </sheetPr>
  <dimension ref="A1:I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54</v>
      </c>
      <c r="D1" s="64" t="s">
        <v>742</v>
      </c>
    </row>
    <row r="2" customFormat="false" ht="15" hidden="false" customHeight="false" outlineLevel="0" collapsed="false">
      <c r="C2" s="65" t="s">
        <v>800</v>
      </c>
      <c r="D2" s="65"/>
      <c r="E2" s="65"/>
      <c r="F2" s="65"/>
      <c r="G2" s="65"/>
    </row>
    <row r="3" customFormat="false" ht="78" hidden="false" customHeight="true" outlineLevel="0" collapsed="false">
      <c r="C3" s="66" t="s">
        <v>801</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1</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4</v>
      </c>
      <c r="F8" s="8" t="n">
        <f aca="false">SUMIFS($E$19:$E$400,$A$19:$A$400,B8,$B$19:$B$400,"check")</f>
        <v>0</v>
      </c>
      <c r="G8" s="8" t="n">
        <f aca="false">COUNTIFS($A$19:$A$400,B8,$B$19:$B$400,"check")</f>
        <v>2</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4</v>
      </c>
      <c r="F9" s="8" t="n">
        <f aca="false">SUMIFS($E$19:$E$400,$A$19:$A$400,B9,$B$19:$B$400,"check")</f>
        <v>0</v>
      </c>
      <c r="G9" s="8" t="n">
        <f aca="false">COUNTIFS($A$19:$A$400,B9,$B$19:$B$400,"check")</f>
        <v>1</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4</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4</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1</v>
      </c>
      <c r="F12" s="8" t="n">
        <f aca="false">SUMIFS($E$19:$E$400,$A$19:$A$400,B12,$B$19:$B$400,"check")</f>
        <v>0</v>
      </c>
      <c r="G12" s="8" t="n">
        <f aca="false">COUNTIFS($A$19:$A$400,B12,$B$19:$B$400,"check")</f>
        <v>2</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2" t="n">
        <v>1</v>
      </c>
      <c r="B19" s="93" t="s">
        <v>333</v>
      </c>
      <c r="C19" s="94" t="s">
        <v>802</v>
      </c>
      <c r="D19" s="94"/>
      <c r="E19" s="94"/>
      <c r="F19" s="94"/>
      <c r="G19" s="94"/>
    </row>
    <row r="20" customFormat="false" ht="30" hidden="false" customHeight="true" outlineLevel="0" collapsed="false">
      <c r="B20" s="73" t="s">
        <v>335</v>
      </c>
      <c r="C20" s="74" t="s">
        <v>803</v>
      </c>
      <c r="D20" s="74"/>
      <c r="E20" s="74"/>
      <c r="F20" s="74"/>
      <c r="G20" s="74"/>
    </row>
    <row r="21" customFormat="false" ht="15" hidden="false" customHeight="false" outlineLevel="0" collapsed="false">
      <c r="A21" s="75" t="n">
        <v>1</v>
      </c>
      <c r="B21" s="73" t="s">
        <v>337</v>
      </c>
      <c r="C21" s="4" t="s">
        <v>804</v>
      </c>
      <c r="D21" s="76"/>
      <c r="E21" s="73" t="n">
        <f aca="false">IF(D21&lt;&gt;"",1,0)</f>
        <v>0</v>
      </c>
      <c r="F21" s="77" t="n">
        <v>2</v>
      </c>
      <c r="G21" s="43" t="s">
        <v>339</v>
      </c>
    </row>
    <row r="22" customFormat="false" ht="48" hidden="false" customHeight="true" outlineLevel="0" collapsed="false">
      <c r="A22" s="75" t="n">
        <v>1</v>
      </c>
      <c r="B22" s="73" t="s">
        <v>337</v>
      </c>
      <c r="C22" s="4" t="s">
        <v>805</v>
      </c>
      <c r="D22" s="76"/>
      <c r="E22" s="73" t="n">
        <f aca="false">IF(D22&lt;&gt;"",1,0)</f>
        <v>0</v>
      </c>
      <c r="F22" s="77" t="s">
        <v>806</v>
      </c>
      <c r="G22" s="43"/>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807</v>
      </c>
      <c r="D24" s="79"/>
      <c r="E24" s="73" t="n">
        <f aca="false">IF(D24="Y",1,0)</f>
        <v>0</v>
      </c>
      <c r="G24" s="80" t="s">
        <v>349</v>
      </c>
    </row>
    <row r="25" customFormat="false" ht="15" hidden="false" customHeight="false" outlineLevel="0" collapsed="false">
      <c r="B25" s="73" t="s">
        <v>351</v>
      </c>
      <c r="C25" s="81" t="s">
        <v>425</v>
      </c>
      <c r="D25" s="81"/>
      <c r="E25" s="81"/>
      <c r="F25" s="81"/>
      <c r="G25" s="81"/>
    </row>
    <row r="27" customFormat="false" ht="15" hidden="false" customHeight="false" outlineLevel="0" collapsed="false">
      <c r="A27" s="92" t="n">
        <v>2</v>
      </c>
      <c r="B27" s="93" t="s">
        <v>333</v>
      </c>
      <c r="C27" s="94" t="s">
        <v>808</v>
      </c>
      <c r="D27" s="94"/>
      <c r="E27" s="94"/>
      <c r="F27" s="94"/>
      <c r="G27" s="94"/>
    </row>
    <row r="28" customFormat="false" ht="30" hidden="false" customHeight="true" outlineLevel="0" collapsed="false">
      <c r="B28" s="73" t="s">
        <v>335</v>
      </c>
      <c r="C28" s="74" t="s">
        <v>809</v>
      </c>
      <c r="D28" s="74"/>
      <c r="E28" s="74"/>
      <c r="F28" s="74"/>
      <c r="G28" s="74"/>
    </row>
    <row r="29" customFormat="false" ht="23.85" hidden="false" customHeight="false" outlineLevel="0" collapsed="false">
      <c r="A29" s="75" t="n">
        <v>2</v>
      </c>
      <c r="B29" s="73" t="s">
        <v>337</v>
      </c>
      <c r="C29" s="86" t="s">
        <v>810</v>
      </c>
      <c r="D29" s="82"/>
      <c r="E29" s="73" t="n">
        <f aca="false">IF(D29&lt;&gt;"",1,0)</f>
        <v>0</v>
      </c>
      <c r="F29" s="83" t="n">
        <v>1500</v>
      </c>
      <c r="G29" s="43" t="s">
        <v>595</v>
      </c>
    </row>
    <row r="30" customFormat="false" ht="23.85" hidden="false" customHeight="false" outlineLevel="0" collapsed="false">
      <c r="A30" s="75" t="n">
        <v>2</v>
      </c>
      <c r="B30" s="73" t="s">
        <v>337</v>
      </c>
      <c r="C30" s="86" t="s">
        <v>811</v>
      </c>
      <c r="D30" s="87"/>
      <c r="E30" s="73" t="n">
        <f aca="false">IF(D30&lt;&gt;"",1,0)</f>
        <v>0</v>
      </c>
      <c r="F30" s="88" t="n">
        <v>0.8</v>
      </c>
      <c r="G30" s="43" t="s">
        <v>812</v>
      </c>
    </row>
    <row r="31" customFormat="false" ht="22.35" hidden="false" customHeight="false" outlineLevel="0" collapsed="false">
      <c r="A31" s="75" t="n">
        <v>2</v>
      </c>
      <c r="B31" s="73" t="s">
        <v>337</v>
      </c>
      <c r="C31" s="4" t="s">
        <v>813</v>
      </c>
      <c r="D31" s="76"/>
      <c r="E31" s="73" t="n">
        <f aca="false">IF(D31&lt;&gt;"",1,0)</f>
        <v>0</v>
      </c>
      <c r="F31" s="77" t="n">
        <v>1.5</v>
      </c>
      <c r="G31" s="43" t="s">
        <v>814</v>
      </c>
    </row>
    <row r="32" customFormat="false" ht="22.35" hidden="false" customHeight="false" outlineLevel="0" collapsed="false">
      <c r="A32" s="75" t="n">
        <v>2</v>
      </c>
      <c r="B32" s="73" t="s">
        <v>337</v>
      </c>
      <c r="C32" s="86" t="s">
        <v>815</v>
      </c>
      <c r="D32" s="82"/>
      <c r="E32" s="73" t="n">
        <f aca="false">IF(D32&lt;&gt;"",1,0)</f>
        <v>0</v>
      </c>
      <c r="F32" s="83" t="n">
        <v>400</v>
      </c>
      <c r="G32" s="43" t="s">
        <v>816</v>
      </c>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817</v>
      </c>
      <c r="D34" s="79"/>
      <c r="E34" s="73" t="n">
        <f aca="false">IF(D34="Y",1,0)</f>
        <v>0</v>
      </c>
      <c r="G34" s="80" t="s">
        <v>349</v>
      </c>
    </row>
    <row r="35" customFormat="false" ht="15" hidden="false" customHeight="false" outlineLevel="0" collapsed="false">
      <c r="A35" s="75" t="n">
        <v>2</v>
      </c>
      <c r="B35" s="73" t="s">
        <v>347</v>
      </c>
      <c r="C35" s="4" t="s">
        <v>818</v>
      </c>
      <c r="D35" s="79"/>
      <c r="E35" s="73" t="n">
        <f aca="false">IF(D35="Y",1,0)</f>
        <v>0</v>
      </c>
      <c r="G35" s="80" t="s">
        <v>349</v>
      </c>
    </row>
    <row r="36" customFormat="false" ht="15" hidden="false" customHeight="false" outlineLevel="0" collapsed="false">
      <c r="B36" s="73" t="s">
        <v>351</v>
      </c>
      <c r="C36" s="81" t="s">
        <v>819</v>
      </c>
      <c r="D36" s="81"/>
      <c r="E36" s="81"/>
      <c r="F36" s="81"/>
      <c r="G36" s="81"/>
    </row>
    <row r="38" customFormat="false" ht="15" hidden="false" customHeight="false" outlineLevel="0" collapsed="false">
      <c r="A38" s="92" t="n">
        <v>3</v>
      </c>
      <c r="B38" s="93" t="s">
        <v>333</v>
      </c>
      <c r="C38" s="94" t="s">
        <v>820</v>
      </c>
      <c r="D38" s="94"/>
      <c r="E38" s="94"/>
      <c r="F38" s="94"/>
      <c r="G38" s="94"/>
    </row>
    <row r="39" customFormat="false" ht="30" hidden="false" customHeight="true" outlineLevel="0" collapsed="false">
      <c r="B39" s="73" t="s">
        <v>335</v>
      </c>
      <c r="C39" s="74" t="s">
        <v>821</v>
      </c>
      <c r="D39" s="74"/>
      <c r="E39" s="74"/>
      <c r="F39" s="74"/>
      <c r="G39" s="74"/>
    </row>
    <row r="40" customFormat="false" ht="48" hidden="false" customHeight="true" outlineLevel="0" collapsed="false">
      <c r="A40" s="75" t="n">
        <v>3</v>
      </c>
      <c r="B40" s="73" t="s">
        <v>337</v>
      </c>
      <c r="C40" s="4" t="s">
        <v>822</v>
      </c>
      <c r="D40" s="76"/>
      <c r="E40" s="73" t="n">
        <f aca="false">IF(D40&lt;&gt;"",1,0)</f>
        <v>0</v>
      </c>
      <c r="F40" s="77"/>
      <c r="G40" s="43"/>
    </row>
    <row r="41" customFormat="false" ht="48" hidden="false" customHeight="true" outlineLevel="0" collapsed="false">
      <c r="A41" s="75" t="n">
        <v>3</v>
      </c>
      <c r="B41" s="73" t="s">
        <v>337</v>
      </c>
      <c r="C41" s="4" t="s">
        <v>823</v>
      </c>
      <c r="D41" s="76"/>
      <c r="E41" s="73" t="n">
        <f aca="false">IF(D41&lt;&gt;"",1,0)</f>
        <v>0</v>
      </c>
      <c r="F41" s="77"/>
      <c r="G41" s="43"/>
    </row>
    <row r="42" customFormat="false" ht="48" hidden="false" customHeight="true" outlineLevel="0" collapsed="false">
      <c r="A42" s="75" t="n">
        <v>3</v>
      </c>
      <c r="B42" s="73" t="s">
        <v>337</v>
      </c>
      <c r="C42" s="4" t="s">
        <v>824</v>
      </c>
      <c r="D42" s="76"/>
      <c r="E42" s="73" t="n">
        <f aca="false">IF(D42&lt;&gt;"",1,0)</f>
        <v>0</v>
      </c>
      <c r="F42" s="77"/>
      <c r="G42" s="43"/>
    </row>
    <row r="43" customFormat="false" ht="48" hidden="false" customHeight="true" outlineLevel="0" collapsed="false">
      <c r="A43" s="75" t="n">
        <v>3</v>
      </c>
      <c r="B43" s="73" t="s">
        <v>337</v>
      </c>
      <c r="C43" s="4" t="s">
        <v>825</v>
      </c>
      <c r="D43" s="76"/>
      <c r="E43" s="73" t="n">
        <f aca="false">IF(D43&lt;&gt;"",1,0)</f>
        <v>0</v>
      </c>
      <c r="F43" s="77"/>
      <c r="G43" s="43"/>
    </row>
    <row r="44" customFormat="false" ht="15" hidden="false" customHeight="false" outlineLevel="0" collapsed="false">
      <c r="B44" s="73" t="s">
        <v>345</v>
      </c>
      <c r="C44" s="78" t="s">
        <v>346</v>
      </c>
    </row>
    <row r="45" customFormat="false" ht="15" hidden="false" customHeight="false" outlineLevel="0" collapsed="false">
      <c r="A45" s="75" t="n">
        <v>3</v>
      </c>
      <c r="B45" s="73" t="s">
        <v>347</v>
      </c>
      <c r="C45" s="4" t="s">
        <v>826</v>
      </c>
      <c r="D45" s="79"/>
      <c r="E45" s="73" t="n">
        <f aca="false">IF(D45="Y",1,0)</f>
        <v>0</v>
      </c>
      <c r="G45" s="80" t="s">
        <v>349</v>
      </c>
    </row>
    <row r="46" customFormat="false" ht="15" hidden="false" customHeight="false" outlineLevel="0" collapsed="false">
      <c r="B46" s="73" t="s">
        <v>351</v>
      </c>
      <c r="C46" s="81" t="s">
        <v>827</v>
      </c>
      <c r="D46" s="81"/>
      <c r="E46" s="81"/>
      <c r="F46" s="81"/>
      <c r="G46" s="81"/>
    </row>
    <row r="48" customFormat="false" ht="15" hidden="false" customHeight="false" outlineLevel="0" collapsed="false">
      <c r="A48" s="92" t="n">
        <v>4</v>
      </c>
      <c r="B48" s="93" t="s">
        <v>333</v>
      </c>
      <c r="C48" s="94" t="s">
        <v>828</v>
      </c>
      <c r="D48" s="94"/>
      <c r="E48" s="94"/>
      <c r="F48" s="94"/>
      <c r="G48" s="94"/>
    </row>
    <row r="49" customFormat="false" ht="30" hidden="false" customHeight="true" outlineLevel="0" collapsed="false">
      <c r="B49" s="73" t="s">
        <v>335</v>
      </c>
      <c r="C49" s="74" t="s">
        <v>829</v>
      </c>
      <c r="D49" s="74"/>
      <c r="E49" s="74"/>
      <c r="F49" s="74"/>
      <c r="G49" s="74"/>
    </row>
    <row r="50" customFormat="false" ht="15" hidden="false" customHeight="false" outlineLevel="0" collapsed="false">
      <c r="A50" s="75" t="n">
        <v>4</v>
      </c>
      <c r="B50" s="73" t="s">
        <v>337</v>
      </c>
      <c r="C50" s="4" t="s">
        <v>830</v>
      </c>
      <c r="D50" s="76"/>
      <c r="E50" s="73" t="n">
        <f aca="false">IF(D50&lt;&gt;"",1,0)</f>
        <v>0</v>
      </c>
      <c r="F50" s="77"/>
      <c r="G50" s="43" t="s">
        <v>344</v>
      </c>
    </row>
    <row r="51" customFormat="false" ht="15" hidden="false" customHeight="false" outlineLevel="0" collapsed="false">
      <c r="A51" s="75" t="n">
        <v>4</v>
      </c>
      <c r="B51" s="73" t="s">
        <v>337</v>
      </c>
      <c r="C51" s="4" t="s">
        <v>831</v>
      </c>
      <c r="D51" s="76"/>
      <c r="E51" s="73" t="n">
        <f aca="false">IF(D51&lt;&gt;"",1,0)</f>
        <v>0</v>
      </c>
      <c r="F51" s="77"/>
      <c r="G51" s="43"/>
    </row>
    <row r="52" customFormat="false" ht="15" hidden="false" customHeight="false" outlineLevel="0" collapsed="false">
      <c r="B52" s="73" t="s">
        <v>345</v>
      </c>
      <c r="C52" s="78" t="s">
        <v>346</v>
      </c>
    </row>
    <row r="53" customFormat="false" ht="15" hidden="false" customHeight="false" outlineLevel="0" collapsed="false">
      <c r="A53" s="75" t="n">
        <v>4</v>
      </c>
      <c r="B53" s="73" t="s">
        <v>347</v>
      </c>
      <c r="C53" s="4" t="s">
        <v>832</v>
      </c>
      <c r="D53" s="79"/>
      <c r="E53" s="73" t="n">
        <f aca="false">IF(D53="Y",1,0)</f>
        <v>0</v>
      </c>
      <c r="G53" s="80" t="s">
        <v>349</v>
      </c>
    </row>
    <row r="54" customFormat="false" ht="15" hidden="false" customHeight="false" outlineLevel="0" collapsed="false">
      <c r="A54" s="75" t="n">
        <v>4</v>
      </c>
      <c r="B54" s="73" t="s">
        <v>347</v>
      </c>
      <c r="C54" s="4" t="s">
        <v>833</v>
      </c>
      <c r="D54" s="79"/>
      <c r="E54" s="73" t="n">
        <f aca="false">IF(D54="Y",1,0)</f>
        <v>0</v>
      </c>
      <c r="G54" s="80" t="s">
        <v>349</v>
      </c>
    </row>
    <row r="55" customFormat="false" ht="15" hidden="false" customHeight="false" outlineLevel="0" collapsed="false">
      <c r="A55" s="75" t="n">
        <v>4</v>
      </c>
      <c r="B55" s="73" t="s">
        <v>347</v>
      </c>
      <c r="C55" s="4" t="s">
        <v>834</v>
      </c>
      <c r="D55" s="79"/>
      <c r="E55" s="73" t="n">
        <f aca="false">IF(D55="Y",1,0)</f>
        <v>0</v>
      </c>
      <c r="G55" s="80" t="s">
        <v>349</v>
      </c>
    </row>
    <row r="56" customFormat="false" ht="15" hidden="false" customHeight="false" outlineLevel="0" collapsed="false">
      <c r="A56" s="75" t="n">
        <v>4</v>
      </c>
      <c r="B56" s="73" t="s">
        <v>347</v>
      </c>
      <c r="C56" s="4" t="s">
        <v>835</v>
      </c>
      <c r="D56" s="79"/>
      <c r="E56" s="73" t="n">
        <f aca="false">IF(D56="Y",1,0)</f>
        <v>0</v>
      </c>
      <c r="G56" s="80" t="s">
        <v>349</v>
      </c>
    </row>
    <row r="57" customFormat="false" ht="15" hidden="false" customHeight="false" outlineLevel="0" collapsed="false">
      <c r="B57" s="73" t="s">
        <v>351</v>
      </c>
      <c r="C57" s="81" t="s">
        <v>836</v>
      </c>
      <c r="D57" s="81"/>
      <c r="E57" s="81"/>
      <c r="F57" s="81"/>
      <c r="G57" s="81"/>
    </row>
    <row r="59" customFormat="false" ht="15" hidden="false" customHeight="false" outlineLevel="0" collapsed="false">
      <c r="A59" s="92" t="n">
        <v>5</v>
      </c>
      <c r="B59" s="93" t="s">
        <v>333</v>
      </c>
      <c r="C59" s="94" t="s">
        <v>837</v>
      </c>
      <c r="D59" s="94"/>
      <c r="E59" s="94"/>
      <c r="F59" s="94"/>
      <c r="G59" s="94"/>
    </row>
    <row r="60" customFormat="false" ht="30" hidden="false" customHeight="true" outlineLevel="0" collapsed="false">
      <c r="B60" s="73" t="s">
        <v>335</v>
      </c>
      <c r="C60" s="74" t="s">
        <v>838</v>
      </c>
      <c r="D60" s="74"/>
      <c r="E60" s="74"/>
      <c r="F60" s="74"/>
      <c r="G60" s="74"/>
    </row>
    <row r="61" customFormat="false" ht="15" hidden="false" customHeight="false" outlineLevel="0" collapsed="false">
      <c r="A61" s="75" t="n">
        <v>5</v>
      </c>
      <c r="B61" s="73" t="s">
        <v>337</v>
      </c>
      <c r="C61" s="4" t="s">
        <v>839</v>
      </c>
      <c r="D61" s="82"/>
      <c r="E61" s="73" t="n">
        <f aca="false">IF(D61&lt;&gt;"",1,0)</f>
        <v>0</v>
      </c>
      <c r="F61" s="83"/>
      <c r="G61" s="43" t="s">
        <v>595</v>
      </c>
    </row>
    <row r="62" customFormat="false" ht="15" hidden="false" customHeight="false" outlineLevel="0" collapsed="false">
      <c r="A62" s="75" t="n">
        <v>5</v>
      </c>
      <c r="B62" s="73" t="s">
        <v>337</v>
      </c>
      <c r="C62" s="4" t="s">
        <v>840</v>
      </c>
      <c r="D62" s="87"/>
      <c r="E62" s="73" t="n">
        <f aca="false">IF(D62&lt;&gt;"",1,0)</f>
        <v>0</v>
      </c>
      <c r="F62" s="88"/>
      <c r="G62" s="43" t="s">
        <v>841</v>
      </c>
    </row>
    <row r="63" customFormat="false" ht="15" hidden="false" customHeight="false" outlineLevel="0" collapsed="false">
      <c r="A63" s="75" t="n">
        <v>5</v>
      </c>
      <c r="B63" s="73" t="s">
        <v>337</v>
      </c>
      <c r="C63" s="4" t="s">
        <v>842</v>
      </c>
      <c r="D63" s="76"/>
      <c r="E63" s="73" t="n">
        <f aca="false">IF(D63&lt;&gt;"",1,0)</f>
        <v>0</v>
      </c>
      <c r="F63" s="77"/>
      <c r="G63" s="43"/>
    </row>
    <row r="64" customFormat="false" ht="15" hidden="false" customHeight="false" outlineLevel="0" collapsed="false">
      <c r="A64" s="75" t="n">
        <v>5</v>
      </c>
      <c r="B64" s="73" t="s">
        <v>337</v>
      </c>
      <c r="C64" s="4" t="s">
        <v>843</v>
      </c>
      <c r="D64" s="82"/>
      <c r="E64" s="73" t="n">
        <f aca="false">IF(D64&lt;&gt;"",1,0)</f>
        <v>0</v>
      </c>
      <c r="F64" s="83"/>
      <c r="G64" s="43" t="s">
        <v>595</v>
      </c>
    </row>
    <row r="65" customFormat="false" ht="15" hidden="false" customHeight="false" outlineLevel="0" collapsed="false">
      <c r="B65" s="73" t="s">
        <v>345</v>
      </c>
      <c r="C65" s="78" t="s">
        <v>346</v>
      </c>
    </row>
    <row r="66" customFormat="false" ht="23.85" hidden="false" customHeight="false" outlineLevel="0" collapsed="false">
      <c r="A66" s="75" t="n">
        <v>5</v>
      </c>
      <c r="B66" s="73" t="s">
        <v>347</v>
      </c>
      <c r="C66" s="4" t="s">
        <v>844</v>
      </c>
      <c r="D66" s="79"/>
      <c r="E66" s="73" t="n">
        <f aca="false">IF(D66="Y",1,0)</f>
        <v>0</v>
      </c>
      <c r="G66" s="80" t="s">
        <v>349</v>
      </c>
    </row>
    <row r="67" customFormat="false" ht="15" hidden="false" customHeight="false" outlineLevel="0" collapsed="false">
      <c r="B67" s="73" t="s">
        <v>351</v>
      </c>
      <c r="C67" s="81" t="s">
        <v>845</v>
      </c>
      <c r="D67" s="81"/>
      <c r="E67" s="81"/>
      <c r="F67" s="81"/>
      <c r="G67" s="81"/>
    </row>
    <row r="69" customFormat="false" ht="15" hidden="false" customHeight="false" outlineLevel="0" collapsed="false">
      <c r="A69" s="92" t="n">
        <v>6</v>
      </c>
      <c r="B69" s="93" t="s">
        <v>333</v>
      </c>
      <c r="C69" s="94" t="s">
        <v>846</v>
      </c>
      <c r="D69" s="94"/>
      <c r="E69" s="94"/>
      <c r="F69" s="94"/>
      <c r="G69" s="94"/>
    </row>
    <row r="70" customFormat="false" ht="30" hidden="false" customHeight="true" outlineLevel="0" collapsed="false">
      <c r="B70" s="73" t="s">
        <v>335</v>
      </c>
      <c r="C70" s="74" t="s">
        <v>847</v>
      </c>
      <c r="D70" s="74"/>
      <c r="E70" s="74"/>
      <c r="F70" s="74"/>
      <c r="G70" s="74"/>
    </row>
    <row r="71" customFormat="false" ht="15" hidden="false" customHeight="false" outlineLevel="0" collapsed="false">
      <c r="A71" s="75" t="n">
        <v>6</v>
      </c>
      <c r="B71" s="73" t="s">
        <v>337</v>
      </c>
      <c r="C71" s="4" t="s">
        <v>848</v>
      </c>
      <c r="D71" s="76"/>
      <c r="E71" s="73" t="n">
        <f aca="false">IF(D71&lt;&gt;"",1,0)</f>
        <v>0</v>
      </c>
      <c r="F71" s="77"/>
      <c r="G71" s="43" t="s">
        <v>344</v>
      </c>
    </row>
    <row r="72" customFormat="false" ht="15" hidden="false" customHeight="false" outlineLevel="0" collapsed="false">
      <c r="B72" s="73" t="s">
        <v>345</v>
      </c>
      <c r="C72" s="78" t="s">
        <v>346</v>
      </c>
    </row>
    <row r="73" customFormat="false" ht="15" hidden="false" customHeight="false" outlineLevel="0" collapsed="false">
      <c r="A73" s="75" t="n">
        <v>6</v>
      </c>
      <c r="B73" s="73" t="s">
        <v>347</v>
      </c>
      <c r="C73" s="4" t="s">
        <v>849</v>
      </c>
      <c r="D73" s="79"/>
      <c r="E73" s="73" t="n">
        <f aca="false">IF(D73="Y",1,0)</f>
        <v>0</v>
      </c>
      <c r="G73" s="80" t="s">
        <v>349</v>
      </c>
    </row>
    <row r="74" customFormat="false" ht="15" hidden="false" customHeight="false" outlineLevel="0" collapsed="false">
      <c r="A74" s="75" t="n">
        <v>6</v>
      </c>
      <c r="B74" s="73" t="s">
        <v>347</v>
      </c>
      <c r="C74" s="4" t="s">
        <v>850</v>
      </c>
      <c r="D74" s="79"/>
      <c r="E74" s="73" t="n">
        <f aca="false">IF(D74="Y",1,0)</f>
        <v>0</v>
      </c>
      <c r="G74" s="80" t="s">
        <v>349</v>
      </c>
    </row>
    <row r="75" customFormat="false" ht="15" hidden="false" customHeight="false" outlineLevel="0" collapsed="false">
      <c r="B75" s="73" t="s">
        <v>351</v>
      </c>
      <c r="C75" s="81" t="s">
        <v>851</v>
      </c>
      <c r="D75" s="81"/>
      <c r="E75" s="81"/>
      <c r="F75" s="81"/>
      <c r="G75" s="81"/>
    </row>
  </sheetData>
  <mergeCells count="21">
    <mergeCell ref="C2:G2"/>
    <mergeCell ref="C3:G3"/>
    <mergeCell ref="F13:G15"/>
    <mergeCell ref="C19:G19"/>
    <mergeCell ref="C20:G20"/>
    <mergeCell ref="C25:G25"/>
    <mergeCell ref="C27:G27"/>
    <mergeCell ref="C28:G28"/>
    <mergeCell ref="C36:G36"/>
    <mergeCell ref="C38:G38"/>
    <mergeCell ref="C39:G39"/>
    <mergeCell ref="C46:G46"/>
    <mergeCell ref="C48:G48"/>
    <mergeCell ref="C49:G49"/>
    <mergeCell ref="C57:G57"/>
    <mergeCell ref="C59:G59"/>
    <mergeCell ref="C60:G60"/>
    <mergeCell ref="C67:G67"/>
    <mergeCell ref="C69:G69"/>
    <mergeCell ref="C70:G70"/>
    <mergeCell ref="C75:G75"/>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4">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35" type="list">
      <formula1>Lists!$U$2:$U$3</formula1>
      <formula2>0</formula2>
    </dataValidation>
    <dataValidation allowBlank="true" errorStyle="stop" operator="between" showDropDown="false" showErrorMessage="false" showInputMessage="false" sqref="D45" type="list">
      <formula1>Lists!$U$2:$U$3</formula1>
      <formula2>0</formula2>
    </dataValidation>
    <dataValidation allowBlank="true" errorStyle="stop" operator="between" showDropDown="false" showErrorMessage="false" showInputMessage="false" sqref="D50" type="list">
      <formula1>Lists!$M$2:$M$5</formula1>
      <formula2>0</formula2>
    </dataValidation>
    <dataValidation allowBlank="true" errorStyle="stop" operator="between" showDropDown="false" showErrorMessage="false" showInputMessage="false" sqref="D53"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66" type="list">
      <formula1>Lists!$U$2:$U$3</formula1>
      <formula2>0</formula2>
    </dataValidation>
    <dataValidation allowBlank="true" errorStyle="stop" operator="between" showDropDown="false" showErrorMessage="false" showInputMessage="false" sqref="D71" type="list">
      <formula1>Lists!$N$2:$N$5</formula1>
      <formula2>0</formula2>
    </dataValidation>
    <dataValidation allowBlank="true" errorStyle="stop" operator="between" showDropDown="false" showErrorMessage="false" showInputMessage="false" sqref="D73" type="list">
      <formula1>Lists!$U$2:$U$3</formula1>
      <formula2>0</formula2>
    </dataValidation>
    <dataValidation allowBlank="true" errorStyle="stop" operator="between" showDropDown="false" showErrorMessage="false" showInputMessage="false" sqref="D74"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5926"/>
    <pageSetUpPr fitToPage="true"/>
  </sheetPr>
  <dimension ref="A1:I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55</v>
      </c>
      <c r="D1" s="64" t="s">
        <v>742</v>
      </c>
    </row>
    <row r="2" customFormat="false" ht="15" hidden="false" customHeight="false" outlineLevel="0" collapsed="false">
      <c r="C2" s="65" t="s">
        <v>852</v>
      </c>
      <c r="D2" s="65"/>
      <c r="E2" s="65"/>
      <c r="F2" s="65"/>
      <c r="G2" s="65"/>
    </row>
    <row r="3" customFormat="false" ht="78" hidden="false" customHeight="true" outlineLevel="0" collapsed="false">
      <c r="C3" s="66" t="s">
        <v>853</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2</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3</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3</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2</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2" t="n">
        <v>1</v>
      </c>
      <c r="B19" s="93" t="s">
        <v>333</v>
      </c>
      <c r="C19" s="94" t="s">
        <v>854</v>
      </c>
      <c r="D19" s="94"/>
      <c r="E19" s="94"/>
      <c r="F19" s="94"/>
      <c r="G19" s="94"/>
    </row>
    <row r="20" customFormat="false" ht="30" hidden="false" customHeight="true" outlineLevel="0" collapsed="false">
      <c r="B20" s="73" t="s">
        <v>335</v>
      </c>
      <c r="C20" s="74" t="s">
        <v>855</v>
      </c>
      <c r="D20" s="74"/>
      <c r="E20" s="74"/>
      <c r="F20" s="74"/>
      <c r="G20" s="74"/>
    </row>
    <row r="21" customFormat="false" ht="15" hidden="false" customHeight="false" outlineLevel="0" collapsed="false">
      <c r="A21" s="75" t="n">
        <v>1</v>
      </c>
      <c r="B21" s="73" t="s">
        <v>337</v>
      </c>
      <c r="C21" s="4" t="s">
        <v>856</v>
      </c>
      <c r="D21" s="76"/>
      <c r="E21" s="73" t="n">
        <f aca="false">IF(D21&lt;&gt;"",1,0)</f>
        <v>0</v>
      </c>
      <c r="F21" s="77" t="n">
        <v>2</v>
      </c>
      <c r="G21" s="43" t="s">
        <v>339</v>
      </c>
    </row>
    <row r="22" customFormat="false" ht="48" hidden="false" customHeight="true" outlineLevel="0" collapsed="false">
      <c r="A22" s="75" t="n">
        <v>1</v>
      </c>
      <c r="B22" s="73" t="s">
        <v>337</v>
      </c>
      <c r="C22" s="4" t="s">
        <v>857</v>
      </c>
      <c r="D22" s="76"/>
      <c r="E22" s="73" t="n">
        <f aca="false">IF(D22&lt;&gt;"",1,0)</f>
        <v>0</v>
      </c>
      <c r="F22" s="77"/>
      <c r="G22" s="43" t="s">
        <v>858</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859</v>
      </c>
      <c r="D24" s="79"/>
      <c r="E24" s="73" t="n">
        <f aca="false">IF(D24="Y",1,0)</f>
        <v>0</v>
      </c>
      <c r="G24" s="80" t="s">
        <v>349</v>
      </c>
    </row>
    <row r="25" customFormat="false" ht="15" hidden="false" customHeight="false" outlineLevel="0" collapsed="false">
      <c r="A25" s="75" t="n">
        <v>1</v>
      </c>
      <c r="B25" s="73" t="s">
        <v>347</v>
      </c>
      <c r="C25" s="4" t="s">
        <v>860</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92" t="n">
        <v>2</v>
      </c>
      <c r="B28" s="93" t="s">
        <v>333</v>
      </c>
      <c r="C28" s="94" t="s">
        <v>861</v>
      </c>
      <c r="D28" s="94"/>
      <c r="E28" s="94"/>
      <c r="F28" s="94"/>
      <c r="G28" s="94"/>
    </row>
    <row r="29" customFormat="false" ht="30" hidden="false" customHeight="true" outlineLevel="0" collapsed="false">
      <c r="B29" s="73" t="s">
        <v>335</v>
      </c>
      <c r="C29" s="74" t="s">
        <v>862</v>
      </c>
      <c r="D29" s="74"/>
      <c r="E29" s="74"/>
      <c r="F29" s="74"/>
      <c r="G29" s="74"/>
    </row>
    <row r="30" customFormat="false" ht="22.35" hidden="false" customHeight="false" outlineLevel="0" collapsed="false">
      <c r="A30" s="75" t="n">
        <v>2</v>
      </c>
      <c r="B30" s="73" t="s">
        <v>337</v>
      </c>
      <c r="C30" s="4" t="s">
        <v>863</v>
      </c>
      <c r="D30" s="76"/>
      <c r="E30" s="73" t="n">
        <f aca="false">IF(D30&lt;&gt;"",1,0)</f>
        <v>0</v>
      </c>
      <c r="F30" s="77" t="s">
        <v>864</v>
      </c>
      <c r="G30" s="43"/>
    </row>
    <row r="31" customFormat="false" ht="15" hidden="false" customHeight="false" outlineLevel="0" collapsed="false">
      <c r="A31" s="75" t="n">
        <v>2</v>
      </c>
      <c r="B31" s="73" t="s">
        <v>337</v>
      </c>
      <c r="C31" s="4" t="s">
        <v>865</v>
      </c>
      <c r="D31" s="76"/>
      <c r="E31" s="73" t="n">
        <f aca="false">IF(D31&lt;&gt;"",1,0)</f>
        <v>0</v>
      </c>
      <c r="F31" s="77" t="n">
        <v>12</v>
      </c>
      <c r="G31" s="43" t="s">
        <v>866</v>
      </c>
    </row>
    <row r="32" customFormat="false" ht="15" hidden="false" customHeight="false" outlineLevel="0" collapsed="false">
      <c r="A32" s="75" t="n">
        <v>2</v>
      </c>
      <c r="B32" s="73" t="s">
        <v>337</v>
      </c>
      <c r="C32" s="4" t="s">
        <v>867</v>
      </c>
      <c r="D32" s="76"/>
      <c r="E32" s="73" t="n">
        <f aca="false">IF(D32&lt;&gt;"",1,0)</f>
        <v>0</v>
      </c>
      <c r="F32" s="77" t="n">
        <v>7</v>
      </c>
      <c r="G32" s="43"/>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868</v>
      </c>
      <c r="D34" s="79"/>
      <c r="E34" s="73" t="n">
        <f aca="false">IF(D34="Y",1,0)</f>
        <v>0</v>
      </c>
      <c r="G34" s="80" t="s">
        <v>349</v>
      </c>
    </row>
    <row r="35" customFormat="false" ht="15" hidden="false" customHeight="false" outlineLevel="0" collapsed="false">
      <c r="B35" s="73" t="s">
        <v>351</v>
      </c>
      <c r="C35" s="81" t="s">
        <v>869</v>
      </c>
      <c r="D35" s="81"/>
      <c r="E35" s="81"/>
      <c r="F35" s="81"/>
      <c r="G35" s="81"/>
    </row>
    <row r="37" customFormat="false" ht="15" hidden="false" customHeight="false" outlineLevel="0" collapsed="false">
      <c r="A37" s="92" t="n">
        <v>3</v>
      </c>
      <c r="B37" s="93" t="s">
        <v>333</v>
      </c>
      <c r="C37" s="94" t="s">
        <v>870</v>
      </c>
      <c r="D37" s="94"/>
      <c r="E37" s="94"/>
      <c r="F37" s="94"/>
      <c r="G37" s="94"/>
    </row>
    <row r="38" customFormat="false" ht="30" hidden="false" customHeight="true" outlineLevel="0" collapsed="false">
      <c r="B38" s="73" t="s">
        <v>335</v>
      </c>
      <c r="C38" s="74" t="s">
        <v>871</v>
      </c>
      <c r="D38" s="74"/>
      <c r="E38" s="74"/>
      <c r="F38" s="74"/>
      <c r="G38" s="74"/>
    </row>
    <row r="39" customFormat="false" ht="60" hidden="false" customHeight="true" outlineLevel="0" collapsed="false">
      <c r="A39" s="75" t="n">
        <v>3</v>
      </c>
      <c r="B39" s="73" t="s">
        <v>337</v>
      </c>
      <c r="C39" s="4" t="s">
        <v>872</v>
      </c>
      <c r="D39" s="76"/>
      <c r="E39" s="73" t="n">
        <f aca="false">IF(D39&lt;&gt;"",1,0)</f>
        <v>0</v>
      </c>
      <c r="F39" s="77" t="s">
        <v>873</v>
      </c>
      <c r="G39" s="43" t="s">
        <v>874</v>
      </c>
    </row>
    <row r="40" customFormat="false" ht="60" hidden="false" customHeight="true" outlineLevel="0" collapsed="false">
      <c r="A40" s="75" t="n">
        <v>3</v>
      </c>
      <c r="B40" s="73" t="s">
        <v>337</v>
      </c>
      <c r="C40" s="4" t="s">
        <v>875</v>
      </c>
      <c r="D40" s="76"/>
      <c r="E40" s="73" t="n">
        <f aca="false">IF(D40&lt;&gt;"",1,0)</f>
        <v>0</v>
      </c>
      <c r="F40" s="77" t="s">
        <v>876</v>
      </c>
      <c r="G40" s="43" t="s">
        <v>449</v>
      </c>
    </row>
    <row r="41" customFormat="false" ht="60" hidden="false" customHeight="true" outlineLevel="0" collapsed="false">
      <c r="A41" s="75" t="n">
        <v>3</v>
      </c>
      <c r="B41" s="73" t="s">
        <v>337</v>
      </c>
      <c r="C41" s="4" t="s">
        <v>877</v>
      </c>
      <c r="D41" s="76"/>
      <c r="E41" s="73" t="n">
        <f aca="false">IF(D41&lt;&gt;"",1,0)</f>
        <v>0</v>
      </c>
      <c r="F41" s="77" t="s">
        <v>878</v>
      </c>
      <c r="G41" s="43" t="s">
        <v>879</v>
      </c>
    </row>
    <row r="42" customFormat="false" ht="15" hidden="false" customHeight="false" outlineLevel="0" collapsed="false">
      <c r="B42" s="73" t="s">
        <v>345</v>
      </c>
      <c r="C42" s="78" t="s">
        <v>346</v>
      </c>
    </row>
    <row r="43" customFormat="false" ht="15" hidden="false" customHeight="false" outlineLevel="0" collapsed="false">
      <c r="A43" s="75" t="n">
        <v>3</v>
      </c>
      <c r="B43" s="73" t="s">
        <v>347</v>
      </c>
      <c r="C43" s="4" t="s">
        <v>880</v>
      </c>
      <c r="D43" s="79"/>
      <c r="E43" s="73" t="n">
        <f aca="false">IF(D43="Y",1,0)</f>
        <v>0</v>
      </c>
      <c r="G43" s="80" t="s">
        <v>349</v>
      </c>
    </row>
    <row r="44" customFormat="false" ht="15" hidden="false" customHeight="false" outlineLevel="0" collapsed="false">
      <c r="A44" s="75" t="n">
        <v>3</v>
      </c>
      <c r="B44" s="73" t="s">
        <v>347</v>
      </c>
      <c r="C44" s="4" t="s">
        <v>881</v>
      </c>
      <c r="D44" s="79"/>
      <c r="E44" s="73" t="n">
        <f aca="false">IF(D44="Y",1,0)</f>
        <v>0</v>
      </c>
      <c r="G44" s="80" t="s">
        <v>349</v>
      </c>
    </row>
    <row r="45" customFormat="false" ht="15" hidden="false" customHeight="false" outlineLevel="0" collapsed="false">
      <c r="B45" s="73" t="s">
        <v>351</v>
      </c>
      <c r="C45" s="81" t="s">
        <v>882</v>
      </c>
      <c r="D45" s="81"/>
      <c r="E45" s="81"/>
      <c r="F45" s="81"/>
      <c r="G45" s="81"/>
    </row>
    <row r="47" customFormat="false" ht="15" hidden="false" customHeight="false" outlineLevel="0" collapsed="false">
      <c r="A47" s="92" t="n">
        <v>4</v>
      </c>
      <c r="B47" s="93" t="s">
        <v>333</v>
      </c>
      <c r="C47" s="94" t="s">
        <v>883</v>
      </c>
      <c r="D47" s="94"/>
      <c r="E47" s="94"/>
      <c r="F47" s="94"/>
      <c r="G47" s="94"/>
    </row>
    <row r="48" customFormat="false" ht="30" hidden="false" customHeight="true" outlineLevel="0" collapsed="false">
      <c r="B48" s="73" t="s">
        <v>335</v>
      </c>
      <c r="C48" s="74" t="s">
        <v>884</v>
      </c>
      <c r="D48" s="74"/>
      <c r="E48" s="74"/>
      <c r="F48" s="74"/>
      <c r="G48" s="74"/>
    </row>
    <row r="49" customFormat="false" ht="15" hidden="false" customHeight="false" outlineLevel="0" collapsed="false">
      <c r="A49" s="75" t="n">
        <v>4</v>
      </c>
      <c r="B49" s="73" t="s">
        <v>337</v>
      </c>
      <c r="C49" s="4" t="s">
        <v>885</v>
      </c>
      <c r="D49" s="76"/>
      <c r="E49" s="73" t="n">
        <f aca="false">IF(D49&lt;&gt;"",1,0)</f>
        <v>0</v>
      </c>
      <c r="F49" s="77"/>
      <c r="G49" s="43"/>
    </row>
    <row r="50" customFormat="false" ht="15" hidden="false" customHeight="false" outlineLevel="0" collapsed="false">
      <c r="A50" s="75" t="n">
        <v>4</v>
      </c>
      <c r="B50" s="73" t="s">
        <v>337</v>
      </c>
      <c r="C50" s="4" t="s">
        <v>886</v>
      </c>
      <c r="D50" s="76"/>
      <c r="E50" s="73" t="n">
        <f aca="false">IF(D50&lt;&gt;"",1,0)</f>
        <v>0</v>
      </c>
      <c r="F50" s="77"/>
      <c r="G50" s="43" t="s">
        <v>887</v>
      </c>
    </row>
    <row r="51" customFormat="false" ht="15" hidden="false" customHeight="false" outlineLevel="0" collapsed="false">
      <c r="B51" s="73" t="s">
        <v>345</v>
      </c>
      <c r="C51" s="78" t="s">
        <v>346</v>
      </c>
    </row>
    <row r="52" customFormat="false" ht="15" hidden="false" customHeight="false" outlineLevel="0" collapsed="false">
      <c r="A52" s="75" t="n">
        <v>4</v>
      </c>
      <c r="B52" s="73" t="s">
        <v>347</v>
      </c>
      <c r="C52" s="4" t="s">
        <v>888</v>
      </c>
      <c r="D52" s="79"/>
      <c r="E52" s="73" t="n">
        <f aca="false">IF(D52="Y",1,0)</f>
        <v>0</v>
      </c>
      <c r="G52" s="80" t="s">
        <v>349</v>
      </c>
    </row>
    <row r="53" customFormat="false" ht="15" hidden="false" customHeight="false" outlineLevel="0" collapsed="false">
      <c r="A53" s="75" t="n">
        <v>4</v>
      </c>
      <c r="B53" s="73" t="s">
        <v>347</v>
      </c>
      <c r="C53" s="4" t="s">
        <v>889</v>
      </c>
      <c r="D53" s="79"/>
      <c r="E53" s="73" t="n">
        <f aca="false">IF(D53="Y",1,0)</f>
        <v>0</v>
      </c>
      <c r="G53" s="80" t="s">
        <v>349</v>
      </c>
    </row>
    <row r="54" customFormat="false" ht="15" hidden="false" customHeight="false" outlineLevel="0" collapsed="false">
      <c r="A54" s="75" t="n">
        <v>4</v>
      </c>
      <c r="B54" s="73" t="s">
        <v>347</v>
      </c>
      <c r="C54" s="4" t="s">
        <v>890</v>
      </c>
      <c r="D54" s="79"/>
      <c r="E54" s="73" t="n">
        <f aca="false">IF(D54="Y",1,0)</f>
        <v>0</v>
      </c>
      <c r="G54" s="80" t="s">
        <v>349</v>
      </c>
    </row>
    <row r="55" customFormat="false" ht="15" hidden="false" customHeight="false" outlineLevel="0" collapsed="false">
      <c r="A55" s="75" t="n">
        <v>4</v>
      </c>
      <c r="B55" s="73" t="s">
        <v>347</v>
      </c>
      <c r="C55" s="4" t="s">
        <v>891</v>
      </c>
      <c r="D55" s="79"/>
      <c r="E55" s="73" t="n">
        <f aca="false">IF(D55="Y",1,0)</f>
        <v>0</v>
      </c>
      <c r="G55" s="80" t="s">
        <v>349</v>
      </c>
    </row>
    <row r="56" customFormat="false" ht="15" hidden="false" customHeight="false" outlineLevel="0" collapsed="false">
      <c r="A56" s="75" t="n">
        <v>4</v>
      </c>
      <c r="B56" s="73" t="s">
        <v>347</v>
      </c>
      <c r="C56" s="4" t="s">
        <v>892</v>
      </c>
      <c r="D56" s="79"/>
      <c r="E56" s="73" t="n">
        <f aca="false">IF(D56="Y",1,0)</f>
        <v>0</v>
      </c>
      <c r="G56" s="80" t="s">
        <v>349</v>
      </c>
    </row>
    <row r="57" customFormat="false" ht="15" hidden="false" customHeight="false" outlineLevel="0" collapsed="false">
      <c r="B57" s="73" t="s">
        <v>351</v>
      </c>
      <c r="C57" s="81" t="s">
        <v>893</v>
      </c>
      <c r="D57" s="81"/>
      <c r="E57" s="81"/>
      <c r="F57" s="81"/>
      <c r="G57" s="81"/>
    </row>
    <row r="59" customFormat="false" ht="15" hidden="false" customHeight="false" outlineLevel="0" collapsed="false">
      <c r="A59" s="92" t="n">
        <v>5</v>
      </c>
      <c r="B59" s="93" t="s">
        <v>333</v>
      </c>
      <c r="C59" s="94" t="s">
        <v>894</v>
      </c>
      <c r="D59" s="94"/>
      <c r="E59" s="94"/>
      <c r="F59" s="94"/>
      <c r="G59" s="94"/>
    </row>
    <row r="60" customFormat="false" ht="30" hidden="false" customHeight="true" outlineLevel="0" collapsed="false">
      <c r="B60" s="73" t="s">
        <v>335</v>
      </c>
      <c r="C60" s="74" t="s">
        <v>895</v>
      </c>
      <c r="D60" s="74"/>
      <c r="E60" s="74"/>
      <c r="F60" s="74"/>
      <c r="G60" s="74"/>
    </row>
    <row r="61" customFormat="false" ht="15" hidden="false" customHeight="false" outlineLevel="0" collapsed="false">
      <c r="A61" s="75" t="n">
        <v>5</v>
      </c>
      <c r="B61" s="73" t="s">
        <v>337</v>
      </c>
      <c r="C61" s="4" t="s">
        <v>896</v>
      </c>
      <c r="D61" s="76"/>
      <c r="E61" s="73" t="n">
        <f aca="false">IF(D61&lt;&gt;"",1,0)</f>
        <v>0</v>
      </c>
      <c r="F61" s="77"/>
      <c r="G61" s="43"/>
    </row>
    <row r="62" customFormat="false" ht="15" hidden="false" customHeight="false" outlineLevel="0" collapsed="false">
      <c r="A62" s="75" t="n">
        <v>5</v>
      </c>
      <c r="B62" s="73" t="s">
        <v>337</v>
      </c>
      <c r="C62" s="4" t="s">
        <v>897</v>
      </c>
      <c r="D62" s="76"/>
      <c r="E62" s="73" t="n">
        <f aca="false">IF(D62&lt;&gt;"",1,0)</f>
        <v>0</v>
      </c>
      <c r="F62" s="77"/>
      <c r="G62" s="43"/>
    </row>
    <row r="63" customFormat="false" ht="48" hidden="false" customHeight="true" outlineLevel="0" collapsed="false">
      <c r="A63" s="75" t="n">
        <v>5</v>
      </c>
      <c r="B63" s="73" t="s">
        <v>337</v>
      </c>
      <c r="C63" s="4" t="s">
        <v>898</v>
      </c>
      <c r="D63" s="76"/>
      <c r="E63" s="73" t="n">
        <f aca="false">IF(D63&lt;&gt;"",1,0)</f>
        <v>0</v>
      </c>
      <c r="F63" s="77"/>
      <c r="G63" s="43"/>
    </row>
    <row r="64" customFormat="false" ht="15" hidden="false" customHeight="false" outlineLevel="0" collapsed="false">
      <c r="B64" s="73" t="s">
        <v>345</v>
      </c>
      <c r="C64" s="78" t="s">
        <v>346</v>
      </c>
    </row>
    <row r="65" customFormat="false" ht="15" hidden="false" customHeight="false" outlineLevel="0" collapsed="false">
      <c r="A65" s="75" t="n">
        <v>5</v>
      </c>
      <c r="B65" s="73" t="s">
        <v>347</v>
      </c>
      <c r="C65" s="4" t="s">
        <v>899</v>
      </c>
      <c r="D65" s="79"/>
      <c r="E65" s="73" t="n">
        <f aca="false">IF(D65="Y",1,0)</f>
        <v>0</v>
      </c>
      <c r="G65" s="80" t="s">
        <v>349</v>
      </c>
    </row>
    <row r="66" customFormat="false" ht="15" hidden="false" customHeight="false" outlineLevel="0" collapsed="false">
      <c r="B66" s="73" t="s">
        <v>351</v>
      </c>
      <c r="C66" s="81" t="s">
        <v>900</v>
      </c>
      <c r="D66" s="81"/>
      <c r="E66" s="81"/>
      <c r="F66" s="81"/>
      <c r="G66" s="81"/>
    </row>
    <row r="68" customFormat="false" ht="15" hidden="false" customHeight="false" outlineLevel="0" collapsed="false">
      <c r="A68" s="92" t="n">
        <v>6</v>
      </c>
      <c r="B68" s="93" t="s">
        <v>333</v>
      </c>
      <c r="C68" s="94" t="s">
        <v>901</v>
      </c>
      <c r="D68" s="94"/>
      <c r="E68" s="94"/>
      <c r="F68" s="94"/>
      <c r="G68" s="94"/>
    </row>
    <row r="69" customFormat="false" ht="30" hidden="false" customHeight="true" outlineLevel="0" collapsed="false">
      <c r="B69" s="73" t="s">
        <v>335</v>
      </c>
      <c r="C69" s="74" t="s">
        <v>902</v>
      </c>
      <c r="D69" s="74"/>
      <c r="E69" s="74"/>
      <c r="F69" s="74"/>
      <c r="G69" s="74"/>
    </row>
    <row r="70" customFormat="false" ht="15" hidden="false" customHeight="false" outlineLevel="0" collapsed="false">
      <c r="A70" s="75" t="n">
        <v>6</v>
      </c>
      <c r="B70" s="73" t="s">
        <v>337</v>
      </c>
      <c r="C70" s="4" t="s">
        <v>408</v>
      </c>
      <c r="D70" s="76"/>
      <c r="E70" s="73" t="n">
        <f aca="false">IF(D70&lt;&gt;"",1,0)</f>
        <v>0</v>
      </c>
      <c r="F70" s="77"/>
      <c r="G70" s="43" t="s">
        <v>344</v>
      </c>
    </row>
    <row r="71" customFormat="false" ht="15" hidden="false" customHeight="false" outlineLevel="0" collapsed="false">
      <c r="A71" s="75" t="n">
        <v>6</v>
      </c>
      <c r="B71" s="73" t="s">
        <v>337</v>
      </c>
      <c r="C71" s="4" t="s">
        <v>903</v>
      </c>
      <c r="D71" s="76"/>
      <c r="E71" s="73" t="n">
        <f aca="false">IF(D71&lt;&gt;"",1,0)</f>
        <v>0</v>
      </c>
      <c r="F71" s="77"/>
      <c r="G71" s="43" t="s">
        <v>904</v>
      </c>
    </row>
    <row r="72" customFormat="false" ht="15" hidden="false" customHeight="false" outlineLevel="0" collapsed="false">
      <c r="B72" s="73" t="s">
        <v>345</v>
      </c>
      <c r="C72" s="78" t="s">
        <v>346</v>
      </c>
    </row>
    <row r="73" customFormat="false" ht="15" hidden="false" customHeight="false" outlineLevel="0" collapsed="false">
      <c r="A73" s="75" t="n">
        <v>6</v>
      </c>
      <c r="B73" s="73" t="s">
        <v>347</v>
      </c>
      <c r="C73" s="4" t="s">
        <v>905</v>
      </c>
      <c r="D73" s="79"/>
      <c r="E73" s="73" t="n">
        <f aca="false">IF(D73="Y",1,0)</f>
        <v>0</v>
      </c>
      <c r="G73" s="80" t="s">
        <v>349</v>
      </c>
    </row>
    <row r="74" customFormat="false" ht="15" hidden="false" customHeight="false" outlineLevel="0" collapsed="false">
      <c r="A74" s="75" t="n">
        <v>6</v>
      </c>
      <c r="B74" s="73" t="s">
        <v>347</v>
      </c>
      <c r="C74" s="4" t="s">
        <v>906</v>
      </c>
      <c r="D74" s="79"/>
      <c r="E74" s="73" t="n">
        <f aca="false">IF(D74="Y",1,0)</f>
        <v>0</v>
      </c>
      <c r="G74" s="80" t="s">
        <v>349</v>
      </c>
    </row>
    <row r="75" customFormat="false" ht="15" hidden="false" customHeight="false" outlineLevel="0" collapsed="false">
      <c r="B75" s="73" t="s">
        <v>351</v>
      </c>
      <c r="C75" s="81" t="s">
        <v>907</v>
      </c>
      <c r="D75" s="81"/>
      <c r="E75" s="81"/>
      <c r="F75" s="81"/>
      <c r="G75" s="81"/>
    </row>
  </sheetData>
  <mergeCells count="21">
    <mergeCell ref="C2:G2"/>
    <mergeCell ref="C3:G3"/>
    <mergeCell ref="F13:G15"/>
    <mergeCell ref="C19:G19"/>
    <mergeCell ref="C20:G20"/>
    <mergeCell ref="C26:G26"/>
    <mergeCell ref="C28:G28"/>
    <mergeCell ref="C29:G29"/>
    <mergeCell ref="C35:G35"/>
    <mergeCell ref="C37:G37"/>
    <mergeCell ref="C38:G38"/>
    <mergeCell ref="C45:G45"/>
    <mergeCell ref="C47:G47"/>
    <mergeCell ref="C48:G48"/>
    <mergeCell ref="C57:G57"/>
    <mergeCell ref="C59:G59"/>
    <mergeCell ref="C60:G60"/>
    <mergeCell ref="C66:G66"/>
    <mergeCell ref="C68:G68"/>
    <mergeCell ref="C69:G69"/>
    <mergeCell ref="C75:G75"/>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5">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43" type="list">
      <formula1>Lists!$U$2:$U$3</formula1>
      <formula2>0</formula2>
    </dataValidation>
    <dataValidation allowBlank="true" errorStyle="stop" operator="between" showDropDown="false" showErrorMessage="false" showInputMessage="false" sqref="D44" type="list">
      <formula1>Lists!$U$2:$U$3</formula1>
      <formula2>0</formula2>
    </dataValidation>
    <dataValidation allowBlank="true" errorStyle="stop" operator="between" showDropDown="false" showErrorMessage="false" showInputMessage="false" sqref="D52" type="list">
      <formula1>Lists!$U$2:$U$3</formula1>
      <formula2>0</formula2>
    </dataValidation>
    <dataValidation allowBlank="true" errorStyle="stop" operator="between" showDropDown="false" showErrorMessage="false" showInputMessage="false" sqref="D53"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65" type="list">
      <formula1>Lists!$U$2:$U$3</formula1>
      <formula2>0</formula2>
    </dataValidation>
    <dataValidation allowBlank="true" errorStyle="stop" operator="between" showDropDown="false" showErrorMessage="false" showInputMessage="false" sqref="D70" type="list">
      <formula1>Lists!$O$2:$O$5</formula1>
      <formula2>0</formula2>
    </dataValidation>
    <dataValidation allowBlank="true" errorStyle="stop" operator="between" showDropDown="false" showErrorMessage="false" showInputMessage="false" sqref="D73" type="list">
      <formula1>Lists!$U$2:$U$3</formula1>
      <formula2>0</formula2>
    </dataValidation>
    <dataValidation allowBlank="true" errorStyle="stop" operator="between" showDropDown="false" showErrorMessage="false" showInputMessage="false" sqref="D74"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85E9"/>
    <pageSetUpPr fitToPage="tru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57</v>
      </c>
      <c r="D1" s="64" t="s">
        <v>908</v>
      </c>
    </row>
    <row r="2" customFormat="false" ht="15" hidden="false" customHeight="false" outlineLevel="0" collapsed="false">
      <c r="C2" s="65" t="s">
        <v>909</v>
      </c>
      <c r="D2" s="65"/>
      <c r="E2" s="65"/>
      <c r="F2" s="65"/>
      <c r="G2" s="65"/>
    </row>
    <row r="3" customFormat="false" ht="78" hidden="false" customHeight="true" outlineLevel="0" collapsed="false">
      <c r="C3" s="66" t="s">
        <v>910</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3</v>
      </c>
      <c r="F7" s="8" t="n">
        <f aca="false">SUMIFS($E$19:$E$400,$A$19:$A$400,B7,$B$19:$B$400,"check")</f>
        <v>0</v>
      </c>
      <c r="G7" s="8" t="n">
        <f aca="false">COUNTIFS($A$19:$A$400,B7,$B$19:$B$400,"check")</f>
        <v>1</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4</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2</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1</v>
      </c>
      <c r="F12" s="8" t="n">
        <f aca="false">SUMIFS($E$19:$E$400,$A$19:$A$400,B12,$B$19:$B$400,"check")</f>
        <v>0</v>
      </c>
      <c r="G12" s="8" t="n">
        <f aca="false">COUNTIFS($A$19:$A$400,B12,$B$19:$B$400,"check")</f>
        <v>2</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5" t="n">
        <v>1</v>
      </c>
      <c r="B19" s="96" t="s">
        <v>333</v>
      </c>
      <c r="C19" s="97" t="s">
        <v>911</v>
      </c>
      <c r="D19" s="97"/>
      <c r="E19" s="97"/>
      <c r="F19" s="97"/>
      <c r="G19" s="97"/>
    </row>
    <row r="20" customFormat="false" ht="30" hidden="false" customHeight="true" outlineLevel="0" collapsed="false">
      <c r="B20" s="73" t="s">
        <v>335</v>
      </c>
      <c r="C20" s="74" t="s">
        <v>912</v>
      </c>
      <c r="D20" s="74"/>
      <c r="E20" s="74"/>
      <c r="F20" s="74"/>
      <c r="G20" s="74"/>
    </row>
    <row r="21" customFormat="false" ht="15" hidden="false" customHeight="false" outlineLevel="0" collapsed="false">
      <c r="A21" s="75" t="n">
        <v>1</v>
      </c>
      <c r="B21" s="73" t="s">
        <v>337</v>
      </c>
      <c r="C21" s="4" t="s">
        <v>913</v>
      </c>
      <c r="D21" s="76"/>
      <c r="E21" s="73" t="n">
        <f aca="false">IF(D21&lt;&gt;"",1,0)</f>
        <v>0</v>
      </c>
      <c r="F21" s="77" t="n">
        <v>1</v>
      </c>
      <c r="G21" s="43" t="s">
        <v>339</v>
      </c>
    </row>
    <row r="22" customFormat="false" ht="48" hidden="false" customHeight="true" outlineLevel="0" collapsed="false">
      <c r="A22" s="75" t="n">
        <v>1</v>
      </c>
      <c r="B22" s="73" t="s">
        <v>337</v>
      </c>
      <c r="C22" s="4" t="s">
        <v>914</v>
      </c>
      <c r="D22" s="76"/>
      <c r="E22" s="73" t="n">
        <f aca="false">IF(D22&lt;&gt;"",1,0)</f>
        <v>0</v>
      </c>
      <c r="F22" s="77"/>
      <c r="G22" s="43"/>
    </row>
    <row r="23" customFormat="false" ht="15" hidden="false" customHeight="false" outlineLevel="0" collapsed="false">
      <c r="A23" s="75" t="n">
        <v>1</v>
      </c>
      <c r="B23" s="73" t="s">
        <v>337</v>
      </c>
      <c r="C23" s="4" t="s">
        <v>915</v>
      </c>
      <c r="D23" s="82"/>
      <c r="E23" s="73" t="n">
        <f aca="false">IF(D23&lt;&gt;"",1,0)</f>
        <v>0</v>
      </c>
      <c r="F23" s="83" t="n">
        <v>5000</v>
      </c>
      <c r="G23" s="43" t="s">
        <v>916</v>
      </c>
    </row>
    <row r="24" customFormat="false" ht="15" hidden="false" customHeight="false" outlineLevel="0" collapsed="false">
      <c r="B24" s="73" t="s">
        <v>345</v>
      </c>
      <c r="C24" s="78" t="s">
        <v>346</v>
      </c>
    </row>
    <row r="25" customFormat="false" ht="15" hidden="false" customHeight="false" outlineLevel="0" collapsed="false">
      <c r="A25" s="75" t="n">
        <v>1</v>
      </c>
      <c r="B25" s="73" t="s">
        <v>347</v>
      </c>
      <c r="C25" s="4" t="s">
        <v>917</v>
      </c>
      <c r="D25" s="79"/>
      <c r="E25" s="73" t="n">
        <f aca="false">IF(D25="Y",1,0)</f>
        <v>0</v>
      </c>
      <c r="G25" s="80" t="s">
        <v>349</v>
      </c>
    </row>
    <row r="26" customFormat="false" ht="15" hidden="false" customHeight="false" outlineLevel="0" collapsed="false">
      <c r="B26" s="73" t="s">
        <v>351</v>
      </c>
      <c r="C26" s="81" t="s">
        <v>425</v>
      </c>
      <c r="D26" s="81"/>
      <c r="E26" s="81"/>
      <c r="F26" s="81"/>
      <c r="G26" s="81"/>
    </row>
    <row r="28" customFormat="false" ht="15" hidden="false" customHeight="false" outlineLevel="0" collapsed="false">
      <c r="A28" s="95" t="n">
        <v>2</v>
      </c>
      <c r="B28" s="96" t="s">
        <v>333</v>
      </c>
      <c r="C28" s="97" t="s">
        <v>918</v>
      </c>
      <c r="D28" s="97"/>
      <c r="E28" s="97"/>
      <c r="F28" s="97"/>
      <c r="G28" s="97"/>
    </row>
    <row r="29" customFormat="false" ht="30" hidden="false" customHeight="true" outlineLevel="0" collapsed="false">
      <c r="B29" s="73" t="s">
        <v>335</v>
      </c>
      <c r="C29" s="74" t="s">
        <v>919</v>
      </c>
      <c r="D29" s="74"/>
      <c r="E29" s="74"/>
      <c r="F29" s="74"/>
      <c r="G29" s="74"/>
    </row>
    <row r="30" customFormat="false" ht="23.85" hidden="false" customHeight="false" outlineLevel="0" collapsed="false">
      <c r="A30" s="75" t="n">
        <v>2</v>
      </c>
      <c r="B30" s="73" t="s">
        <v>337</v>
      </c>
      <c r="C30" s="4" t="s">
        <v>920</v>
      </c>
      <c r="D30" s="98" t="str">
        <f aca="false">IF('Lifetime Value'!$D$29="","",'Lifetime Value'!$D$29)</f>
        <v/>
      </c>
      <c r="E30" s="73" t="n">
        <f aca="false">IF(D30&lt;&gt;"",1,0)</f>
        <v>0</v>
      </c>
      <c r="G30" s="43" t="s">
        <v>921</v>
      </c>
    </row>
    <row r="31" customFormat="false" ht="23.85" hidden="false" customHeight="false" outlineLevel="0" collapsed="false">
      <c r="A31" s="75" t="n">
        <v>2</v>
      </c>
      <c r="B31" s="73" t="s">
        <v>337</v>
      </c>
      <c r="C31" s="4" t="s">
        <v>922</v>
      </c>
      <c r="D31" s="99" t="str">
        <f aca="false">IF('Lifetime Value'!$D$30="","",'Lifetime Value'!$D$30)</f>
        <v/>
      </c>
      <c r="E31" s="73" t="n">
        <f aca="false">IF(D31&lt;&gt;"",1,0)</f>
        <v>0</v>
      </c>
      <c r="G31" s="43" t="s">
        <v>921</v>
      </c>
    </row>
    <row r="32" customFormat="false" ht="15" hidden="false" customHeight="false" outlineLevel="0" collapsed="false">
      <c r="A32" s="75" t="n">
        <v>2</v>
      </c>
      <c r="B32" s="73" t="s">
        <v>337</v>
      </c>
      <c r="C32" s="4" t="s">
        <v>923</v>
      </c>
      <c r="D32" s="76"/>
      <c r="E32" s="73" t="n">
        <f aca="false">IF(D32&lt;&gt;"",1,0)</f>
        <v>0</v>
      </c>
      <c r="F32" s="77" t="n">
        <v>5</v>
      </c>
      <c r="G32" s="43"/>
    </row>
    <row r="33" customFormat="false" ht="15" hidden="false" customHeight="false" outlineLevel="0" collapsed="false">
      <c r="A33" s="75" t="n">
        <v>2</v>
      </c>
      <c r="B33" s="73" t="s">
        <v>337</v>
      </c>
      <c r="C33" s="4" t="s">
        <v>924</v>
      </c>
      <c r="D33" s="87"/>
      <c r="E33" s="73" t="n">
        <f aca="false">IF(D33&lt;&gt;"",1,0)</f>
        <v>0</v>
      </c>
      <c r="F33" s="88" t="n">
        <v>0.2</v>
      </c>
      <c r="G33" s="43" t="s">
        <v>925</v>
      </c>
    </row>
    <row r="34" customFormat="false" ht="15" hidden="false" customHeight="false" outlineLevel="0" collapsed="false">
      <c r="B34" s="73" t="s">
        <v>345</v>
      </c>
      <c r="C34" s="78" t="s">
        <v>346</v>
      </c>
    </row>
    <row r="35" customFormat="false" ht="15" hidden="false" customHeight="false" outlineLevel="0" collapsed="false">
      <c r="A35" s="75" t="n">
        <v>2</v>
      </c>
      <c r="B35" s="73" t="s">
        <v>347</v>
      </c>
      <c r="C35" s="4" t="s">
        <v>926</v>
      </c>
      <c r="D35" s="79"/>
      <c r="E35" s="73" t="n">
        <f aca="false">IF(D35="Y",1,0)</f>
        <v>0</v>
      </c>
      <c r="G35" s="80" t="s">
        <v>349</v>
      </c>
    </row>
    <row r="36" customFormat="false" ht="15" hidden="false" customHeight="false" outlineLevel="0" collapsed="false">
      <c r="B36" s="73" t="s">
        <v>351</v>
      </c>
      <c r="C36" s="81" t="s">
        <v>927</v>
      </c>
      <c r="D36" s="81"/>
      <c r="E36" s="81"/>
      <c r="F36" s="81"/>
      <c r="G36" s="81"/>
    </row>
    <row r="38" customFormat="false" ht="15" hidden="false" customHeight="false" outlineLevel="0" collapsed="false">
      <c r="A38" s="95" t="n">
        <v>3</v>
      </c>
      <c r="B38" s="96" t="s">
        <v>333</v>
      </c>
      <c r="C38" s="97" t="s">
        <v>928</v>
      </c>
      <c r="D38" s="97"/>
      <c r="E38" s="97"/>
      <c r="F38" s="97"/>
      <c r="G38" s="97"/>
    </row>
    <row r="39" customFormat="false" ht="30" hidden="false" customHeight="true" outlineLevel="0" collapsed="false">
      <c r="B39" s="73" t="s">
        <v>335</v>
      </c>
      <c r="C39" s="74" t="s">
        <v>929</v>
      </c>
      <c r="D39" s="74"/>
      <c r="E39" s="74"/>
      <c r="F39" s="74"/>
      <c r="G39" s="74"/>
    </row>
    <row r="40" customFormat="false" ht="60" hidden="false" customHeight="true" outlineLevel="0" collapsed="false">
      <c r="A40" s="75" t="n">
        <v>3</v>
      </c>
      <c r="B40" s="73" t="s">
        <v>337</v>
      </c>
      <c r="C40" s="4" t="s">
        <v>930</v>
      </c>
      <c r="D40" s="76"/>
      <c r="E40" s="73" t="n">
        <f aca="false">IF(D40&lt;&gt;"",1,0)</f>
        <v>0</v>
      </c>
      <c r="F40" s="77"/>
      <c r="G40" s="43" t="s">
        <v>931</v>
      </c>
    </row>
    <row r="41" customFormat="false" ht="48" hidden="false" customHeight="true" outlineLevel="0" collapsed="false">
      <c r="A41" s="75" t="n">
        <v>3</v>
      </c>
      <c r="B41" s="73" t="s">
        <v>337</v>
      </c>
      <c r="C41" s="4" t="s">
        <v>932</v>
      </c>
      <c r="D41" s="76"/>
      <c r="E41" s="73" t="n">
        <f aca="false">IF(D41&lt;&gt;"",1,0)</f>
        <v>0</v>
      </c>
      <c r="F41" s="77"/>
      <c r="G41" s="43" t="s">
        <v>933</v>
      </c>
    </row>
    <row r="42" customFormat="false" ht="15" hidden="false" customHeight="false" outlineLevel="0" collapsed="false">
      <c r="A42" s="75" t="n">
        <v>3</v>
      </c>
      <c r="B42" s="73" t="s">
        <v>337</v>
      </c>
      <c r="C42" s="4" t="s">
        <v>934</v>
      </c>
      <c r="D42" s="76"/>
      <c r="E42" s="73" t="n">
        <f aca="false">IF(D42&lt;&gt;"",1,0)</f>
        <v>0</v>
      </c>
      <c r="F42" s="77"/>
      <c r="G42" s="43" t="s">
        <v>344</v>
      </c>
    </row>
    <row r="43" customFormat="false" ht="15" hidden="false" customHeight="false" outlineLevel="0" collapsed="false">
      <c r="B43" s="73" t="s">
        <v>345</v>
      </c>
      <c r="C43" s="78" t="s">
        <v>346</v>
      </c>
    </row>
    <row r="44" customFormat="false" ht="15" hidden="false" customHeight="false" outlineLevel="0" collapsed="false">
      <c r="A44" s="75" t="n">
        <v>3</v>
      </c>
      <c r="B44" s="73" t="s">
        <v>347</v>
      </c>
      <c r="C44" s="4" t="s">
        <v>935</v>
      </c>
      <c r="D44" s="79"/>
      <c r="E44" s="73" t="n">
        <f aca="false">IF(D44="Y",1,0)</f>
        <v>0</v>
      </c>
      <c r="G44" s="80" t="s">
        <v>349</v>
      </c>
    </row>
    <row r="45" customFormat="false" ht="15" hidden="false" customHeight="false" outlineLevel="0" collapsed="false">
      <c r="A45" s="75" t="n">
        <v>3</v>
      </c>
      <c r="B45" s="73" t="s">
        <v>347</v>
      </c>
      <c r="C45" s="4" t="s">
        <v>936</v>
      </c>
      <c r="D45" s="79"/>
      <c r="E45" s="73" t="n">
        <f aca="false">IF(D45="Y",1,0)</f>
        <v>0</v>
      </c>
      <c r="G45" s="80" t="s">
        <v>349</v>
      </c>
    </row>
    <row r="46" customFormat="false" ht="15" hidden="false" customHeight="false" outlineLevel="0" collapsed="false">
      <c r="B46" s="73" t="s">
        <v>351</v>
      </c>
      <c r="C46" s="81" t="s">
        <v>937</v>
      </c>
      <c r="D46" s="81"/>
      <c r="E46" s="81"/>
      <c r="F46" s="81"/>
      <c r="G46" s="81"/>
    </row>
    <row r="48" customFormat="false" ht="15" hidden="false" customHeight="false" outlineLevel="0" collapsed="false">
      <c r="A48" s="95" t="n">
        <v>4</v>
      </c>
      <c r="B48" s="96" t="s">
        <v>333</v>
      </c>
      <c r="C48" s="97" t="s">
        <v>938</v>
      </c>
      <c r="D48" s="97"/>
      <c r="E48" s="97"/>
      <c r="F48" s="97"/>
      <c r="G48" s="97"/>
    </row>
    <row r="49" customFormat="false" ht="30" hidden="false" customHeight="true" outlineLevel="0" collapsed="false">
      <c r="B49" s="73" t="s">
        <v>335</v>
      </c>
      <c r="C49" s="74" t="s">
        <v>939</v>
      </c>
      <c r="D49" s="74"/>
      <c r="E49" s="74"/>
      <c r="F49" s="74"/>
      <c r="G49" s="74"/>
    </row>
    <row r="50" customFormat="false" ht="15" hidden="false" customHeight="false" outlineLevel="0" collapsed="false">
      <c r="A50" s="75" t="n">
        <v>4</v>
      </c>
      <c r="B50" s="73" t="s">
        <v>337</v>
      </c>
      <c r="C50" s="4" t="s">
        <v>940</v>
      </c>
      <c r="D50" s="82"/>
      <c r="E50" s="73" t="n">
        <f aca="false">IF(D50&lt;&gt;"",1,0)</f>
        <v>0</v>
      </c>
      <c r="F50" s="83"/>
      <c r="G50" s="43" t="s">
        <v>595</v>
      </c>
    </row>
    <row r="51" customFormat="false" ht="15" hidden="false" customHeight="false" outlineLevel="0" collapsed="false">
      <c r="A51" s="75" t="n">
        <v>4</v>
      </c>
      <c r="B51" s="73" t="s">
        <v>337</v>
      </c>
      <c r="C51" s="4" t="s">
        <v>941</v>
      </c>
      <c r="D51" s="76"/>
      <c r="E51" s="73" t="n">
        <f aca="false">IF(D51&lt;&gt;"",1,0)</f>
        <v>0</v>
      </c>
      <c r="F51" s="77"/>
      <c r="G51" s="43"/>
    </row>
    <row r="52" customFormat="false" ht="15" hidden="false" customHeight="false" outlineLevel="0" collapsed="false">
      <c r="B52" s="73" t="s">
        <v>345</v>
      </c>
      <c r="C52" s="78" t="s">
        <v>346</v>
      </c>
    </row>
    <row r="53" customFormat="false" ht="15" hidden="false" customHeight="false" outlineLevel="0" collapsed="false">
      <c r="A53" s="75" t="n">
        <v>4</v>
      </c>
      <c r="B53" s="73" t="s">
        <v>347</v>
      </c>
      <c r="C53" s="4" t="s">
        <v>942</v>
      </c>
      <c r="D53" s="79"/>
      <c r="E53" s="73" t="n">
        <f aca="false">IF(D53="Y",1,0)</f>
        <v>0</v>
      </c>
      <c r="G53" s="80" t="s">
        <v>349</v>
      </c>
    </row>
    <row r="54" customFormat="false" ht="15" hidden="false" customHeight="false" outlineLevel="0" collapsed="false">
      <c r="A54" s="75" t="n">
        <v>4</v>
      </c>
      <c r="B54" s="73" t="s">
        <v>347</v>
      </c>
      <c r="C54" s="4" t="s">
        <v>943</v>
      </c>
      <c r="D54" s="79"/>
      <c r="E54" s="73" t="n">
        <f aca="false">IF(D54="Y",1,0)</f>
        <v>0</v>
      </c>
      <c r="G54" s="80" t="s">
        <v>349</v>
      </c>
    </row>
    <row r="55" customFormat="false" ht="15" hidden="false" customHeight="false" outlineLevel="0" collapsed="false">
      <c r="A55" s="75" t="n">
        <v>4</v>
      </c>
      <c r="B55" s="73" t="s">
        <v>347</v>
      </c>
      <c r="C55" s="4" t="s">
        <v>944</v>
      </c>
      <c r="D55" s="79"/>
      <c r="E55" s="73" t="n">
        <f aca="false">IF(D55="Y",1,0)</f>
        <v>0</v>
      </c>
      <c r="G55" s="80" t="s">
        <v>349</v>
      </c>
    </row>
    <row r="56" customFormat="false" ht="23.85" hidden="false" customHeight="false" outlineLevel="0" collapsed="false">
      <c r="A56" s="75" t="n">
        <v>4</v>
      </c>
      <c r="B56" s="73" t="s">
        <v>347</v>
      </c>
      <c r="C56" s="4" t="s">
        <v>945</v>
      </c>
      <c r="D56" s="79"/>
      <c r="E56" s="73" t="n">
        <f aca="false">IF(D56="Y",1,0)</f>
        <v>0</v>
      </c>
      <c r="G56" s="80" t="s">
        <v>349</v>
      </c>
    </row>
    <row r="57" customFormat="false" ht="15" hidden="false" customHeight="false" outlineLevel="0" collapsed="false">
      <c r="A57" s="75" t="n">
        <v>4</v>
      </c>
      <c r="B57" s="73" t="s">
        <v>347</v>
      </c>
      <c r="C57" s="4" t="s">
        <v>946</v>
      </c>
      <c r="D57" s="79"/>
      <c r="E57" s="73" t="n">
        <f aca="false">IF(D57="Y",1,0)</f>
        <v>0</v>
      </c>
      <c r="G57" s="80" t="s">
        <v>349</v>
      </c>
    </row>
    <row r="58" customFormat="false" ht="15" hidden="false" customHeight="false" outlineLevel="0" collapsed="false">
      <c r="B58" s="73" t="s">
        <v>351</v>
      </c>
      <c r="C58" s="81" t="s">
        <v>947</v>
      </c>
      <c r="D58" s="81"/>
      <c r="E58" s="81"/>
      <c r="F58" s="81"/>
      <c r="G58" s="81"/>
    </row>
    <row r="60" customFormat="false" ht="15" hidden="false" customHeight="false" outlineLevel="0" collapsed="false">
      <c r="A60" s="95" t="n">
        <v>5</v>
      </c>
      <c r="B60" s="96" t="s">
        <v>333</v>
      </c>
      <c r="C60" s="97" t="s">
        <v>948</v>
      </c>
      <c r="D60" s="97"/>
      <c r="E60" s="97"/>
      <c r="F60" s="97"/>
      <c r="G60" s="97"/>
    </row>
    <row r="61" customFormat="false" ht="30" hidden="false" customHeight="true" outlineLevel="0" collapsed="false">
      <c r="B61" s="73" t="s">
        <v>335</v>
      </c>
      <c r="C61" s="74" t="s">
        <v>949</v>
      </c>
      <c r="D61" s="74"/>
      <c r="E61" s="74"/>
      <c r="F61" s="74"/>
      <c r="G61" s="74"/>
    </row>
    <row r="62" customFormat="false" ht="15" hidden="false" customHeight="false" outlineLevel="0" collapsed="false">
      <c r="A62" s="75" t="n">
        <v>5</v>
      </c>
      <c r="B62" s="73" t="s">
        <v>337</v>
      </c>
      <c r="C62" s="4" t="s">
        <v>950</v>
      </c>
      <c r="D62" s="76"/>
      <c r="E62" s="73" t="n">
        <f aca="false">IF(D62&lt;&gt;"",1,0)</f>
        <v>0</v>
      </c>
      <c r="F62" s="77"/>
      <c r="G62" s="43"/>
    </row>
    <row r="63" customFormat="false" ht="15" hidden="false" customHeight="false" outlineLevel="0" collapsed="false">
      <c r="A63" s="75" t="n">
        <v>5</v>
      </c>
      <c r="B63" s="73" t="s">
        <v>337</v>
      </c>
      <c r="C63" s="4" t="s">
        <v>951</v>
      </c>
      <c r="D63" s="82"/>
      <c r="E63" s="73" t="n">
        <f aca="false">IF(D63&lt;&gt;"",1,0)</f>
        <v>0</v>
      </c>
      <c r="F63" s="83"/>
      <c r="G63" s="43" t="s">
        <v>595</v>
      </c>
    </row>
    <row r="64" customFormat="false" ht="15" hidden="false" customHeight="false" outlineLevel="0" collapsed="false">
      <c r="B64" s="73" t="s">
        <v>345</v>
      </c>
      <c r="C64" s="78" t="s">
        <v>346</v>
      </c>
    </row>
    <row r="65" customFormat="false" ht="15" hidden="false" customHeight="false" outlineLevel="0" collapsed="false">
      <c r="A65" s="75" t="n">
        <v>5</v>
      </c>
      <c r="B65" s="73" t="s">
        <v>347</v>
      </c>
      <c r="C65" s="4" t="s">
        <v>952</v>
      </c>
      <c r="D65" s="79"/>
      <c r="E65" s="73" t="n">
        <f aca="false">IF(D65="Y",1,0)</f>
        <v>0</v>
      </c>
      <c r="G65" s="80" t="s">
        <v>349</v>
      </c>
    </row>
    <row r="66" customFormat="false" ht="15" hidden="false" customHeight="false" outlineLevel="0" collapsed="false">
      <c r="B66" s="73" t="s">
        <v>351</v>
      </c>
      <c r="C66" s="81" t="s">
        <v>953</v>
      </c>
      <c r="D66" s="81"/>
      <c r="E66" s="81"/>
      <c r="F66" s="81"/>
      <c r="G66" s="81"/>
    </row>
    <row r="68" customFormat="false" ht="15" hidden="false" customHeight="false" outlineLevel="0" collapsed="false">
      <c r="A68" s="95" t="n">
        <v>6</v>
      </c>
      <c r="B68" s="96" t="s">
        <v>333</v>
      </c>
      <c r="C68" s="97" t="s">
        <v>954</v>
      </c>
      <c r="D68" s="97"/>
      <c r="E68" s="97"/>
      <c r="F68" s="97"/>
      <c r="G68" s="97"/>
    </row>
    <row r="69" customFormat="false" ht="30" hidden="false" customHeight="true" outlineLevel="0" collapsed="false">
      <c r="B69" s="73" t="s">
        <v>335</v>
      </c>
      <c r="C69" s="74" t="s">
        <v>955</v>
      </c>
      <c r="D69" s="74"/>
      <c r="E69" s="74"/>
      <c r="F69" s="74"/>
      <c r="G69" s="74"/>
    </row>
    <row r="70" customFormat="false" ht="15" hidden="false" customHeight="false" outlineLevel="0" collapsed="false">
      <c r="A70" s="75" t="n">
        <v>6</v>
      </c>
      <c r="B70" s="73" t="s">
        <v>337</v>
      </c>
      <c r="C70" s="4" t="s">
        <v>408</v>
      </c>
      <c r="D70" s="76"/>
      <c r="E70" s="73" t="n">
        <f aca="false">IF(D70&lt;&gt;"",1,0)</f>
        <v>0</v>
      </c>
      <c r="F70" s="77"/>
      <c r="G70" s="43" t="s">
        <v>344</v>
      </c>
    </row>
    <row r="71" customFormat="false" ht="15" hidden="false" customHeight="false" outlineLevel="0" collapsed="false">
      <c r="B71" s="73" t="s">
        <v>345</v>
      </c>
      <c r="C71" s="78" t="s">
        <v>346</v>
      </c>
    </row>
    <row r="72" customFormat="false" ht="15" hidden="false" customHeight="false" outlineLevel="0" collapsed="false">
      <c r="A72" s="75" t="n">
        <v>6</v>
      </c>
      <c r="B72" s="73" t="s">
        <v>347</v>
      </c>
      <c r="C72" s="4" t="s">
        <v>956</v>
      </c>
      <c r="D72" s="79"/>
      <c r="E72" s="73" t="n">
        <f aca="false">IF(D72="Y",1,0)</f>
        <v>0</v>
      </c>
      <c r="G72" s="80" t="s">
        <v>349</v>
      </c>
    </row>
    <row r="73" customFormat="false" ht="15" hidden="false" customHeight="false" outlineLevel="0" collapsed="false">
      <c r="A73" s="75" t="n">
        <v>6</v>
      </c>
      <c r="B73" s="73" t="s">
        <v>347</v>
      </c>
      <c r="C73" s="4" t="s">
        <v>957</v>
      </c>
      <c r="D73" s="79"/>
      <c r="E73" s="73" t="n">
        <f aca="false">IF(D73="Y",1,0)</f>
        <v>0</v>
      </c>
      <c r="G73" s="80" t="s">
        <v>349</v>
      </c>
    </row>
    <row r="74" customFormat="false" ht="15" hidden="false" customHeight="false" outlineLevel="0" collapsed="false">
      <c r="B74" s="73" t="s">
        <v>351</v>
      </c>
      <c r="C74" s="81" t="s">
        <v>907</v>
      </c>
      <c r="D74" s="81"/>
      <c r="E74" s="81"/>
      <c r="F74" s="81"/>
      <c r="G74" s="81"/>
    </row>
  </sheetData>
  <mergeCells count="21">
    <mergeCell ref="C2:G2"/>
    <mergeCell ref="C3:G3"/>
    <mergeCell ref="F13:G15"/>
    <mergeCell ref="C19:G19"/>
    <mergeCell ref="C20:G20"/>
    <mergeCell ref="C26:G26"/>
    <mergeCell ref="C28:G28"/>
    <mergeCell ref="C29:G29"/>
    <mergeCell ref="C36:G36"/>
    <mergeCell ref="C38:G38"/>
    <mergeCell ref="C39:G39"/>
    <mergeCell ref="C46:G46"/>
    <mergeCell ref="C48:G48"/>
    <mergeCell ref="C49:G49"/>
    <mergeCell ref="C58:G58"/>
    <mergeCell ref="C60:G60"/>
    <mergeCell ref="C61:G61"/>
    <mergeCell ref="C66:G66"/>
    <mergeCell ref="C68:G68"/>
    <mergeCell ref="C69:G69"/>
    <mergeCell ref="C74:G74"/>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5">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5" type="list">
      <formula1>Lists!$U$2:$U$3</formula1>
      <formula2>0</formula2>
    </dataValidation>
    <dataValidation allowBlank="true" errorStyle="stop" operator="between" showDropDown="false" showErrorMessage="false" showInputMessage="false" sqref="D44" type="list">
      <formula1>Lists!$U$2:$U$3</formula1>
      <formula2>0</formula2>
    </dataValidation>
    <dataValidation allowBlank="true" errorStyle="stop" operator="between" showDropDown="false" showErrorMessage="false" showInputMessage="false" sqref="D53"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65" type="list">
      <formula1>Lists!$U$2:$U$3</formula1>
      <formula2>0</formula2>
    </dataValidation>
    <dataValidation allowBlank="true" errorStyle="stop" operator="between" showDropDown="false" showErrorMessage="false" showInputMessage="false" sqref="D73" type="list">
      <formula1>Lists!$U$2:$U$3</formula1>
      <formula2>0</formula2>
    </dataValidation>
    <dataValidation allowBlank="true" errorStyle="stop" operator="between" showDropDown="false" showErrorMessage="false" showInputMessage="false" sqref="D35" type="list">
      <formula1>Lists!$U$2:$U$3</formula1>
      <formula2>0</formula2>
    </dataValidation>
    <dataValidation allowBlank="true" errorStyle="stop" operator="between" showDropDown="false" showErrorMessage="false" showInputMessage="false" sqref="D42" type="list">
      <formula1>Lists!$P$2:$P$4</formula1>
      <formula2>0</formula2>
    </dataValidation>
    <dataValidation allowBlank="true" errorStyle="stop" operator="between" showDropDown="false" showErrorMessage="false" showInputMessage="false" sqref="D45" type="list">
      <formula1>Lists!$U$2:$U$3</formula1>
      <formula2>0</formula2>
    </dataValidation>
    <dataValidation allowBlank="true" errorStyle="stop" operator="between" showDropDown="false" showErrorMessage="false" showInputMessage="false" sqref="D57" type="list">
      <formula1>Lists!$U$2:$U$3</formula1>
      <formula2>0</formula2>
    </dataValidation>
    <dataValidation allowBlank="true" errorStyle="stop" operator="between" showDropDown="false" showErrorMessage="false" showInputMessage="false" sqref="D70" type="list">
      <formula1>Lists!$Q$2:$Q$5</formula1>
      <formula2>0</formula2>
    </dataValidation>
    <dataValidation allowBlank="true" errorStyle="stop" operator="between" showDropDown="false" showErrorMessage="false" showInputMessage="false" sqref="D72"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85E9"/>
    <pageSetUpPr fitToPage="true"/>
  </sheetPr>
  <dimension ref="A1:I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58</v>
      </c>
      <c r="D1" s="64" t="s">
        <v>908</v>
      </c>
    </row>
    <row r="2" customFormat="false" ht="15" hidden="false" customHeight="false" outlineLevel="0" collapsed="false">
      <c r="C2" s="65" t="s">
        <v>958</v>
      </c>
      <c r="D2" s="65"/>
      <c r="E2" s="65"/>
      <c r="F2" s="65"/>
      <c r="G2" s="65"/>
    </row>
    <row r="3" customFormat="false" ht="78" hidden="false" customHeight="true" outlineLevel="0" collapsed="false">
      <c r="C3" s="66" t="s">
        <v>959</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1</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4</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5</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2</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3</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1</v>
      </c>
      <c r="F12" s="8" t="n">
        <f aca="false">SUMIFS($E$19:$E$400,$A$19:$A$400,B12,$B$19:$B$400,"check")</f>
        <v>0</v>
      </c>
      <c r="G12" s="8" t="n">
        <f aca="false">COUNTIFS($A$19:$A$400,B12,$B$19:$B$400,"check")</f>
        <v>2</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5" t="n">
        <v>1</v>
      </c>
      <c r="B19" s="96" t="s">
        <v>333</v>
      </c>
      <c r="C19" s="97" t="s">
        <v>960</v>
      </c>
      <c r="D19" s="97"/>
      <c r="E19" s="97"/>
      <c r="F19" s="97"/>
      <c r="G19" s="97"/>
    </row>
    <row r="20" customFormat="false" ht="30" hidden="false" customHeight="true" outlineLevel="0" collapsed="false">
      <c r="B20" s="73" t="s">
        <v>335</v>
      </c>
      <c r="C20" s="74" t="s">
        <v>961</v>
      </c>
      <c r="D20" s="74"/>
      <c r="E20" s="74"/>
      <c r="F20" s="74"/>
      <c r="G20" s="74"/>
    </row>
    <row r="21" customFormat="false" ht="23.85" hidden="false" customHeight="false" outlineLevel="0" collapsed="false">
      <c r="A21" s="75" t="n">
        <v>1</v>
      </c>
      <c r="B21" s="73" t="s">
        <v>337</v>
      </c>
      <c r="C21" s="4" t="s">
        <v>962</v>
      </c>
      <c r="D21" s="76"/>
      <c r="E21" s="73" t="n">
        <f aca="false">IF(D21&lt;&gt;"",1,0)</f>
        <v>0</v>
      </c>
      <c r="F21" s="77" t="n">
        <v>1</v>
      </c>
      <c r="G21" s="43" t="s">
        <v>339</v>
      </c>
    </row>
    <row r="22" customFormat="false" ht="48" hidden="false" customHeight="true" outlineLevel="0" collapsed="false">
      <c r="A22" s="75" t="n">
        <v>1</v>
      </c>
      <c r="B22" s="73" t="s">
        <v>337</v>
      </c>
      <c r="C22" s="4" t="s">
        <v>963</v>
      </c>
      <c r="D22" s="76"/>
      <c r="E22" s="73" t="n">
        <f aca="false">IF(D22&lt;&gt;"",1,0)</f>
        <v>0</v>
      </c>
      <c r="F22" s="77"/>
      <c r="G22" s="43"/>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964</v>
      </c>
      <c r="D24" s="79"/>
      <c r="E24" s="73" t="n">
        <f aca="false">IF(D24="Y",1,0)</f>
        <v>0</v>
      </c>
      <c r="G24" s="80" t="s">
        <v>349</v>
      </c>
    </row>
    <row r="25" customFormat="false" ht="15" hidden="false" customHeight="false" outlineLevel="0" collapsed="false">
      <c r="B25" s="73" t="s">
        <v>351</v>
      </c>
      <c r="C25" s="81" t="s">
        <v>425</v>
      </c>
      <c r="D25" s="81"/>
      <c r="E25" s="81"/>
      <c r="F25" s="81"/>
      <c r="G25" s="81"/>
    </row>
    <row r="27" customFormat="false" ht="15" hidden="false" customHeight="false" outlineLevel="0" collapsed="false">
      <c r="A27" s="95" t="n">
        <v>2</v>
      </c>
      <c r="B27" s="96" t="s">
        <v>333</v>
      </c>
      <c r="C27" s="97" t="s">
        <v>965</v>
      </c>
      <c r="D27" s="97"/>
      <c r="E27" s="97"/>
      <c r="F27" s="97"/>
      <c r="G27" s="97"/>
    </row>
    <row r="28" customFormat="false" ht="30" hidden="false" customHeight="true" outlineLevel="0" collapsed="false">
      <c r="B28" s="73" t="s">
        <v>335</v>
      </c>
      <c r="C28" s="74" t="s">
        <v>966</v>
      </c>
      <c r="D28" s="74"/>
      <c r="E28" s="74"/>
      <c r="F28" s="74"/>
      <c r="G28" s="74"/>
    </row>
    <row r="29" customFormat="false" ht="15" hidden="false" customHeight="false" outlineLevel="0" collapsed="false">
      <c r="A29" s="75" t="n">
        <v>2</v>
      </c>
      <c r="B29" s="73" t="s">
        <v>337</v>
      </c>
      <c r="C29" s="4" t="s">
        <v>967</v>
      </c>
      <c r="D29" s="98" t="str">
        <f aca="false">IF('Lifetime Value'!$D$32="","",'Lifetime Value'!$D$32)</f>
        <v/>
      </c>
      <c r="E29" s="73" t="n">
        <f aca="false">IF(D29&lt;&gt;"",1,0)</f>
        <v>0</v>
      </c>
      <c r="G29" s="43" t="s">
        <v>921</v>
      </c>
    </row>
    <row r="30" customFormat="false" ht="15" hidden="false" customHeight="false" outlineLevel="0" collapsed="false">
      <c r="A30" s="75" t="n">
        <v>2</v>
      </c>
      <c r="B30" s="73" t="s">
        <v>337</v>
      </c>
      <c r="C30" s="4" t="s">
        <v>968</v>
      </c>
      <c r="D30" s="82"/>
      <c r="E30" s="73" t="n">
        <f aca="false">IF(D30&lt;&gt;"",1,0)</f>
        <v>0</v>
      </c>
      <c r="F30" s="83" t="n">
        <v>1500</v>
      </c>
      <c r="G30" s="43" t="s">
        <v>595</v>
      </c>
    </row>
    <row r="31" customFormat="false" ht="15" hidden="false" customHeight="false" outlineLevel="0" collapsed="false">
      <c r="A31" s="75" t="n">
        <v>2</v>
      </c>
      <c r="B31" s="73" t="s">
        <v>337</v>
      </c>
      <c r="C31" s="4" t="s">
        <v>969</v>
      </c>
      <c r="D31" s="82"/>
      <c r="E31" s="73" t="n">
        <f aca="false">IF(D31&lt;&gt;"",1,0)</f>
        <v>0</v>
      </c>
      <c r="F31" s="83" t="n">
        <v>200</v>
      </c>
      <c r="G31" s="43" t="s">
        <v>595</v>
      </c>
    </row>
    <row r="32" customFormat="false" ht="22.35" hidden="false" customHeight="false" outlineLevel="0" collapsed="false">
      <c r="A32" s="75" t="n">
        <v>2</v>
      </c>
      <c r="B32" s="73" t="s">
        <v>337</v>
      </c>
      <c r="C32" s="4" t="s">
        <v>970</v>
      </c>
      <c r="D32" s="87"/>
      <c r="E32" s="73" t="n">
        <f aca="false">IF(D32&lt;&gt;"",1,0)</f>
        <v>0</v>
      </c>
      <c r="F32" s="88" t="n">
        <v>0</v>
      </c>
      <c r="G32" s="43" t="s">
        <v>971</v>
      </c>
    </row>
    <row r="33" customFormat="false" ht="15" hidden="false" customHeight="false" outlineLevel="0" collapsed="false">
      <c r="B33" s="73" t="s">
        <v>345</v>
      </c>
      <c r="C33" s="78" t="s">
        <v>346</v>
      </c>
    </row>
    <row r="34" customFormat="false" ht="15" hidden="false" customHeight="false" outlineLevel="0" collapsed="false">
      <c r="A34" s="75" t="n">
        <v>2</v>
      </c>
      <c r="B34" s="73" t="s">
        <v>347</v>
      </c>
      <c r="C34" s="4" t="s">
        <v>972</v>
      </c>
      <c r="D34" s="79"/>
      <c r="E34" s="73" t="n">
        <f aca="false">IF(D34="Y",1,0)</f>
        <v>0</v>
      </c>
      <c r="G34" s="80" t="s">
        <v>349</v>
      </c>
    </row>
    <row r="35" customFormat="false" ht="15" hidden="false" customHeight="false" outlineLevel="0" collapsed="false">
      <c r="B35" s="73" t="s">
        <v>351</v>
      </c>
      <c r="C35" s="81" t="s">
        <v>973</v>
      </c>
      <c r="D35" s="81"/>
      <c r="E35" s="81"/>
      <c r="F35" s="81"/>
      <c r="G35" s="81"/>
    </row>
    <row r="37" customFormat="false" ht="15" hidden="false" customHeight="false" outlineLevel="0" collapsed="false">
      <c r="A37" s="95" t="n">
        <v>3</v>
      </c>
      <c r="B37" s="96" t="s">
        <v>333</v>
      </c>
      <c r="C37" s="97" t="s">
        <v>974</v>
      </c>
      <c r="D37" s="97"/>
      <c r="E37" s="97"/>
      <c r="F37" s="97"/>
      <c r="G37" s="97"/>
    </row>
    <row r="38" customFormat="false" ht="30" hidden="false" customHeight="true" outlineLevel="0" collapsed="false">
      <c r="B38" s="73" t="s">
        <v>335</v>
      </c>
      <c r="C38" s="74" t="s">
        <v>975</v>
      </c>
      <c r="D38" s="74"/>
      <c r="E38" s="74"/>
      <c r="F38" s="74"/>
      <c r="G38" s="74"/>
    </row>
    <row r="39" customFormat="false" ht="15" hidden="false" customHeight="false" outlineLevel="0" collapsed="false">
      <c r="A39" s="75" t="n">
        <v>3</v>
      </c>
      <c r="B39" s="73" t="s">
        <v>337</v>
      </c>
      <c r="C39" s="4" t="s">
        <v>976</v>
      </c>
      <c r="D39" s="76"/>
      <c r="E39" s="73" t="n">
        <f aca="false">IF(D39&lt;&gt;"",1,0)</f>
        <v>0</v>
      </c>
      <c r="F39" s="77"/>
      <c r="G39" s="43" t="s">
        <v>344</v>
      </c>
    </row>
    <row r="40" customFormat="false" ht="15" hidden="false" customHeight="false" outlineLevel="0" collapsed="false">
      <c r="A40" s="75" t="n">
        <v>3</v>
      </c>
      <c r="B40" s="73" t="s">
        <v>337</v>
      </c>
      <c r="C40" s="4" t="s">
        <v>977</v>
      </c>
      <c r="D40" s="76"/>
      <c r="E40" s="73" t="n">
        <f aca="false">IF(D40&lt;&gt;"",1,0)</f>
        <v>0</v>
      </c>
      <c r="F40" s="77"/>
      <c r="G40" s="43"/>
    </row>
    <row r="41" customFormat="false" ht="15" hidden="false" customHeight="false" outlineLevel="0" collapsed="false">
      <c r="A41" s="75" t="n">
        <v>3</v>
      </c>
      <c r="B41" s="73" t="s">
        <v>337</v>
      </c>
      <c r="C41" s="4" t="s">
        <v>978</v>
      </c>
      <c r="D41" s="76"/>
      <c r="E41" s="73" t="n">
        <f aca="false">IF(D41&lt;&gt;"",1,0)</f>
        <v>0</v>
      </c>
      <c r="F41" s="77"/>
      <c r="G41" s="43"/>
    </row>
    <row r="42" customFormat="false" ht="15" hidden="false" customHeight="false" outlineLevel="0" collapsed="false">
      <c r="A42" s="75" t="n">
        <v>3</v>
      </c>
      <c r="B42" s="73" t="s">
        <v>337</v>
      </c>
      <c r="C42" s="4" t="s">
        <v>979</v>
      </c>
      <c r="D42" s="76"/>
      <c r="E42" s="73" t="n">
        <f aca="false">IF(D42&lt;&gt;"",1,0)</f>
        <v>0</v>
      </c>
      <c r="F42" s="77"/>
      <c r="G42" s="43" t="s">
        <v>980</v>
      </c>
    </row>
    <row r="43" customFormat="false" ht="15" hidden="false" customHeight="false" outlineLevel="0" collapsed="false">
      <c r="A43" s="75" t="n">
        <v>3</v>
      </c>
      <c r="B43" s="73" t="s">
        <v>337</v>
      </c>
      <c r="C43" s="4" t="s">
        <v>981</v>
      </c>
      <c r="D43" s="76"/>
      <c r="E43" s="73" t="n">
        <f aca="false">IF(D43&lt;&gt;"",1,0)</f>
        <v>0</v>
      </c>
      <c r="F43" s="77"/>
      <c r="G43" s="43" t="s">
        <v>982</v>
      </c>
    </row>
    <row r="44" customFormat="false" ht="15" hidden="false" customHeight="false" outlineLevel="0" collapsed="false">
      <c r="B44" s="73" t="s">
        <v>345</v>
      </c>
      <c r="C44" s="78" t="s">
        <v>346</v>
      </c>
    </row>
    <row r="45" customFormat="false" ht="15" hidden="false" customHeight="false" outlineLevel="0" collapsed="false">
      <c r="A45" s="75" t="n">
        <v>3</v>
      </c>
      <c r="B45" s="73" t="s">
        <v>347</v>
      </c>
      <c r="C45" s="4" t="s">
        <v>983</v>
      </c>
      <c r="D45" s="79"/>
      <c r="E45" s="73" t="n">
        <f aca="false">IF(D45="Y",1,0)</f>
        <v>0</v>
      </c>
      <c r="G45" s="80" t="s">
        <v>349</v>
      </c>
    </row>
    <row r="46" customFormat="false" ht="15" hidden="false" customHeight="false" outlineLevel="0" collapsed="false">
      <c r="A46" s="75" t="n">
        <v>3</v>
      </c>
      <c r="B46" s="73" t="s">
        <v>347</v>
      </c>
      <c r="C46" s="4" t="s">
        <v>984</v>
      </c>
      <c r="D46" s="79"/>
      <c r="E46" s="73" t="n">
        <f aca="false">IF(D46="Y",1,0)</f>
        <v>0</v>
      </c>
      <c r="G46" s="80" t="s">
        <v>349</v>
      </c>
    </row>
    <row r="47" customFormat="false" ht="15" hidden="false" customHeight="false" outlineLevel="0" collapsed="false">
      <c r="B47" s="73" t="s">
        <v>351</v>
      </c>
      <c r="C47" s="81" t="s">
        <v>985</v>
      </c>
      <c r="D47" s="81"/>
      <c r="E47" s="81"/>
      <c r="F47" s="81"/>
      <c r="G47" s="81"/>
    </row>
    <row r="49" customFormat="false" ht="15" hidden="false" customHeight="false" outlineLevel="0" collapsed="false">
      <c r="A49" s="95" t="n">
        <v>4</v>
      </c>
      <c r="B49" s="96" t="s">
        <v>333</v>
      </c>
      <c r="C49" s="97" t="s">
        <v>986</v>
      </c>
      <c r="D49" s="97"/>
      <c r="E49" s="97"/>
      <c r="F49" s="97"/>
      <c r="G49" s="97"/>
    </row>
    <row r="50" customFormat="false" ht="30" hidden="false" customHeight="true" outlineLevel="0" collapsed="false">
      <c r="B50" s="73" t="s">
        <v>335</v>
      </c>
      <c r="C50" s="74" t="s">
        <v>987</v>
      </c>
      <c r="D50" s="74"/>
      <c r="E50" s="74"/>
      <c r="F50" s="74"/>
      <c r="G50" s="74"/>
    </row>
    <row r="51" customFormat="false" ht="15" hidden="false" customHeight="false" outlineLevel="0" collapsed="false">
      <c r="A51" s="75" t="n">
        <v>4</v>
      </c>
      <c r="B51" s="73" t="s">
        <v>337</v>
      </c>
      <c r="C51" s="4" t="s">
        <v>988</v>
      </c>
      <c r="D51" s="82"/>
      <c r="E51" s="73" t="n">
        <f aca="false">IF(D51&lt;&gt;"",1,0)</f>
        <v>0</v>
      </c>
      <c r="F51" s="83" t="n">
        <v>500</v>
      </c>
      <c r="G51" s="43" t="s">
        <v>595</v>
      </c>
    </row>
    <row r="52" customFormat="false" ht="15" hidden="false" customHeight="false" outlineLevel="0" collapsed="false">
      <c r="A52" s="75" t="n">
        <v>4</v>
      </c>
      <c r="B52" s="73" t="s">
        <v>337</v>
      </c>
      <c r="C52" s="4" t="s">
        <v>989</v>
      </c>
      <c r="D52" s="87"/>
      <c r="E52" s="73" t="n">
        <f aca="false">IF(D52&lt;&gt;"",1,0)</f>
        <v>0</v>
      </c>
      <c r="F52" s="88" t="n">
        <v>0.3</v>
      </c>
      <c r="G52" s="43" t="s">
        <v>841</v>
      </c>
    </row>
    <row r="53" customFormat="false" ht="15" hidden="false" customHeight="false" outlineLevel="0" collapsed="false">
      <c r="B53" s="73" t="s">
        <v>345</v>
      </c>
      <c r="C53" s="78" t="s">
        <v>346</v>
      </c>
    </row>
    <row r="54" customFormat="false" ht="15" hidden="false" customHeight="false" outlineLevel="0" collapsed="false">
      <c r="A54" s="75" t="n">
        <v>4</v>
      </c>
      <c r="B54" s="73" t="s">
        <v>347</v>
      </c>
      <c r="C54" s="4" t="s">
        <v>983</v>
      </c>
      <c r="D54" s="79"/>
      <c r="E54" s="73" t="n">
        <f aca="false">IF(D54="Y",1,0)</f>
        <v>0</v>
      </c>
      <c r="G54" s="80" t="s">
        <v>349</v>
      </c>
    </row>
    <row r="55" customFormat="false" ht="15" hidden="false" customHeight="false" outlineLevel="0" collapsed="false">
      <c r="A55" s="75" t="n">
        <v>4</v>
      </c>
      <c r="B55" s="73" t="s">
        <v>347</v>
      </c>
      <c r="C55" s="4" t="s">
        <v>990</v>
      </c>
      <c r="D55" s="79"/>
      <c r="E55" s="73" t="n">
        <f aca="false">IF(D55="Y",1,0)</f>
        <v>0</v>
      </c>
      <c r="G55" s="80" t="s">
        <v>349</v>
      </c>
    </row>
    <row r="56" customFormat="false" ht="15" hidden="false" customHeight="false" outlineLevel="0" collapsed="false">
      <c r="A56" s="75" t="n">
        <v>4</v>
      </c>
      <c r="B56" s="73" t="s">
        <v>347</v>
      </c>
      <c r="C56" s="4" t="s">
        <v>991</v>
      </c>
      <c r="D56" s="79"/>
      <c r="E56" s="73" t="n">
        <f aca="false">IF(D56="Y",1,0)</f>
        <v>0</v>
      </c>
      <c r="G56" s="80" t="s">
        <v>349</v>
      </c>
    </row>
    <row r="57" customFormat="false" ht="15" hidden="false" customHeight="false" outlineLevel="0" collapsed="false">
      <c r="A57" s="75" t="n">
        <v>4</v>
      </c>
      <c r="B57" s="73" t="s">
        <v>347</v>
      </c>
      <c r="C57" s="4" t="s">
        <v>992</v>
      </c>
      <c r="D57" s="79"/>
      <c r="E57" s="73" t="n">
        <f aca="false">IF(D57="Y",1,0)</f>
        <v>0</v>
      </c>
      <c r="G57" s="80" t="s">
        <v>349</v>
      </c>
    </row>
    <row r="58" customFormat="false" ht="15" hidden="false" customHeight="false" outlineLevel="0" collapsed="false">
      <c r="A58" s="75" t="n">
        <v>4</v>
      </c>
      <c r="B58" s="73" t="s">
        <v>347</v>
      </c>
      <c r="C58" s="4" t="s">
        <v>993</v>
      </c>
      <c r="D58" s="79"/>
      <c r="E58" s="73" t="n">
        <f aca="false">IF(D58="Y",1,0)</f>
        <v>0</v>
      </c>
      <c r="G58" s="80" t="s">
        <v>349</v>
      </c>
    </row>
    <row r="59" customFormat="false" ht="15" hidden="false" customHeight="false" outlineLevel="0" collapsed="false">
      <c r="B59" s="73" t="s">
        <v>351</v>
      </c>
      <c r="C59" s="81" t="s">
        <v>994</v>
      </c>
      <c r="D59" s="81"/>
      <c r="E59" s="81"/>
      <c r="F59" s="81"/>
      <c r="G59" s="81"/>
    </row>
    <row r="61" customFormat="false" ht="15" hidden="false" customHeight="false" outlineLevel="0" collapsed="false">
      <c r="A61" s="95" t="n">
        <v>5</v>
      </c>
      <c r="B61" s="96" t="s">
        <v>333</v>
      </c>
      <c r="C61" s="97" t="s">
        <v>995</v>
      </c>
      <c r="D61" s="97"/>
      <c r="E61" s="97"/>
      <c r="F61" s="97"/>
      <c r="G61" s="97"/>
    </row>
    <row r="62" customFormat="false" ht="30" hidden="false" customHeight="true" outlineLevel="0" collapsed="false">
      <c r="B62" s="73" t="s">
        <v>335</v>
      </c>
      <c r="C62" s="74" t="s">
        <v>996</v>
      </c>
      <c r="D62" s="74"/>
      <c r="E62" s="74"/>
      <c r="F62" s="74"/>
      <c r="G62" s="74"/>
    </row>
    <row r="63" customFormat="false" ht="15" hidden="false" customHeight="false" outlineLevel="0" collapsed="false">
      <c r="A63" s="75" t="n">
        <v>5</v>
      </c>
      <c r="B63" s="73" t="s">
        <v>337</v>
      </c>
      <c r="C63" s="4" t="s">
        <v>997</v>
      </c>
      <c r="D63" s="76"/>
      <c r="E63" s="73" t="n">
        <f aca="false">IF(D63&lt;&gt;"",1,0)</f>
        <v>0</v>
      </c>
      <c r="F63" s="77"/>
      <c r="G63" s="43"/>
    </row>
    <row r="64" customFormat="false" ht="15" hidden="false" customHeight="false" outlineLevel="0" collapsed="false">
      <c r="A64" s="75" t="n">
        <v>5</v>
      </c>
      <c r="B64" s="73" t="s">
        <v>337</v>
      </c>
      <c r="C64" s="4" t="s">
        <v>998</v>
      </c>
      <c r="D64" s="82"/>
      <c r="E64" s="73" t="n">
        <f aca="false">IF(D64&lt;&gt;"",1,0)</f>
        <v>0</v>
      </c>
      <c r="F64" s="83"/>
      <c r="G64" s="43" t="s">
        <v>595</v>
      </c>
    </row>
    <row r="65" customFormat="false" ht="15" hidden="false" customHeight="false" outlineLevel="0" collapsed="false">
      <c r="A65" s="75" t="n">
        <v>5</v>
      </c>
      <c r="B65" s="73" t="s">
        <v>337</v>
      </c>
      <c r="C65" s="4" t="s">
        <v>999</v>
      </c>
      <c r="D65" s="82"/>
      <c r="E65" s="73" t="n">
        <f aca="false">IF(D65&lt;&gt;"",1,0)</f>
        <v>0</v>
      </c>
      <c r="F65" s="83"/>
      <c r="G65" s="43" t="s">
        <v>595</v>
      </c>
    </row>
    <row r="66" customFormat="false" ht="15" hidden="false" customHeight="false" outlineLevel="0" collapsed="false">
      <c r="B66" s="73" t="s">
        <v>345</v>
      </c>
      <c r="C66" s="78" t="s">
        <v>346</v>
      </c>
    </row>
    <row r="67" customFormat="false" ht="15" hidden="false" customHeight="false" outlineLevel="0" collapsed="false">
      <c r="A67" s="75" t="n">
        <v>5</v>
      </c>
      <c r="B67" s="73" t="s">
        <v>347</v>
      </c>
      <c r="C67" s="4" t="s">
        <v>1000</v>
      </c>
      <c r="D67" s="79"/>
      <c r="E67" s="73" t="n">
        <f aca="false">IF(D67="Y",1,0)</f>
        <v>0</v>
      </c>
      <c r="G67" s="80" t="s">
        <v>349</v>
      </c>
    </row>
    <row r="68" customFormat="false" ht="15" hidden="false" customHeight="false" outlineLevel="0" collapsed="false">
      <c r="B68" s="73" t="s">
        <v>351</v>
      </c>
      <c r="C68" s="81" t="s">
        <v>1001</v>
      </c>
      <c r="D68" s="81"/>
      <c r="E68" s="81"/>
      <c r="F68" s="81"/>
      <c r="G68" s="81"/>
    </row>
    <row r="70" customFormat="false" ht="15" hidden="false" customHeight="false" outlineLevel="0" collapsed="false">
      <c r="A70" s="95" t="n">
        <v>6</v>
      </c>
      <c r="B70" s="96" t="s">
        <v>333</v>
      </c>
      <c r="C70" s="97" t="s">
        <v>1002</v>
      </c>
      <c r="D70" s="97"/>
      <c r="E70" s="97"/>
      <c r="F70" s="97"/>
      <c r="G70" s="97"/>
    </row>
    <row r="71" customFormat="false" ht="30" hidden="false" customHeight="true" outlineLevel="0" collapsed="false">
      <c r="B71" s="73" t="s">
        <v>335</v>
      </c>
      <c r="C71" s="74" t="s">
        <v>1003</v>
      </c>
      <c r="D71" s="74"/>
      <c r="E71" s="74"/>
      <c r="F71" s="74"/>
      <c r="G71" s="74"/>
    </row>
    <row r="72" customFormat="false" ht="15" hidden="false" customHeight="false" outlineLevel="0" collapsed="false">
      <c r="A72" s="75" t="n">
        <v>6</v>
      </c>
      <c r="B72" s="73" t="s">
        <v>337</v>
      </c>
      <c r="C72" s="4" t="s">
        <v>408</v>
      </c>
      <c r="D72" s="76"/>
      <c r="E72" s="73" t="n">
        <f aca="false">IF(D72&lt;&gt;"",1,0)</f>
        <v>0</v>
      </c>
      <c r="F72" s="77"/>
      <c r="G72" s="43" t="s">
        <v>344</v>
      </c>
    </row>
    <row r="73" customFormat="false" ht="15" hidden="false" customHeight="false" outlineLevel="0" collapsed="false">
      <c r="B73" s="73" t="s">
        <v>345</v>
      </c>
      <c r="C73" s="78" t="s">
        <v>346</v>
      </c>
    </row>
    <row r="74" customFormat="false" ht="15" hidden="false" customHeight="false" outlineLevel="0" collapsed="false">
      <c r="A74" s="75" t="n">
        <v>6</v>
      </c>
      <c r="B74" s="73" t="s">
        <v>347</v>
      </c>
      <c r="C74" s="4" t="s">
        <v>1004</v>
      </c>
      <c r="D74" s="79"/>
      <c r="E74" s="73" t="n">
        <f aca="false">IF(D74="Y",1,0)</f>
        <v>0</v>
      </c>
      <c r="G74" s="80" t="s">
        <v>349</v>
      </c>
    </row>
    <row r="75" customFormat="false" ht="15" hidden="false" customHeight="false" outlineLevel="0" collapsed="false">
      <c r="A75" s="75" t="n">
        <v>6</v>
      </c>
      <c r="B75" s="73" t="s">
        <v>347</v>
      </c>
      <c r="C75" s="4" t="s">
        <v>1005</v>
      </c>
      <c r="D75" s="79"/>
      <c r="E75" s="73" t="n">
        <f aca="false">IF(D75="Y",1,0)</f>
        <v>0</v>
      </c>
      <c r="G75" s="80" t="s">
        <v>349</v>
      </c>
    </row>
    <row r="76" customFormat="false" ht="15" hidden="false" customHeight="false" outlineLevel="0" collapsed="false">
      <c r="B76" s="73" t="s">
        <v>351</v>
      </c>
      <c r="C76" s="81" t="s">
        <v>907</v>
      </c>
      <c r="D76" s="81"/>
      <c r="E76" s="81"/>
      <c r="F76" s="81"/>
      <c r="G76" s="81"/>
    </row>
  </sheetData>
  <mergeCells count="21">
    <mergeCell ref="C2:G2"/>
    <mergeCell ref="C3:G3"/>
    <mergeCell ref="F13:G15"/>
    <mergeCell ref="C19:G19"/>
    <mergeCell ref="C20:G20"/>
    <mergeCell ref="C25:G25"/>
    <mergeCell ref="C27:G27"/>
    <mergeCell ref="C28:G28"/>
    <mergeCell ref="C35:G35"/>
    <mergeCell ref="C37:G37"/>
    <mergeCell ref="C38:G38"/>
    <mergeCell ref="C47:G47"/>
    <mergeCell ref="C49:G49"/>
    <mergeCell ref="C50:G50"/>
    <mergeCell ref="C59:G59"/>
    <mergeCell ref="C61:G61"/>
    <mergeCell ref="C62:G62"/>
    <mergeCell ref="C68:G68"/>
    <mergeCell ref="C70:G70"/>
    <mergeCell ref="C71:G71"/>
    <mergeCell ref="C76:G76"/>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5">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34" type="list">
      <formula1>Lists!$U$2:$U$3</formula1>
      <formula2>0</formula2>
    </dataValidation>
    <dataValidation allowBlank="true" errorStyle="stop" operator="between" showDropDown="false" showErrorMessage="false" showInputMessage="false" sqref="D54" type="list">
      <formula1>Lists!$U$2:$U$3</formula1>
      <formula2>0</formula2>
    </dataValidation>
    <dataValidation allowBlank="true" errorStyle="stop" operator="between" showDropDown="false" showErrorMessage="false" showInputMessage="false" sqref="D55" type="list">
      <formula1>Lists!$U$2:$U$3</formula1>
      <formula2>0</formula2>
    </dataValidation>
    <dataValidation allowBlank="true" errorStyle="stop" operator="between" showDropDown="false" showErrorMessage="false" showInputMessage="false" sqref="D56" type="list">
      <formula1>Lists!$U$2:$U$3</formula1>
      <formula2>0</formula2>
    </dataValidation>
    <dataValidation allowBlank="true" errorStyle="stop" operator="between" showDropDown="false" showErrorMessage="false" showInputMessage="false" sqref="D74" type="list">
      <formula1>Lists!$U$2:$U$3</formula1>
      <formula2>0</formula2>
    </dataValidation>
    <dataValidation allowBlank="true" errorStyle="stop" operator="between" showDropDown="false" showErrorMessage="false" showInputMessage="false" sqref="D45" type="list">
      <formula1>Lists!$U$2:$U$3</formula1>
      <formula2>0</formula2>
    </dataValidation>
    <dataValidation allowBlank="true" errorStyle="stop" operator="between" showDropDown="false" showErrorMessage="false" showInputMessage="false" sqref="D57" type="list">
      <formula1>Lists!$U$2:$U$3</formula1>
      <formula2>0</formula2>
    </dataValidation>
    <dataValidation allowBlank="true" errorStyle="stop" operator="between" showDropDown="false" showErrorMessage="false" showInputMessage="false" sqref="D39" type="list">
      <formula1>Lists!$R$2:$R$6</formula1>
      <formula2>0</formula2>
    </dataValidation>
    <dataValidation allowBlank="true" errorStyle="stop" operator="between" showDropDown="false" showErrorMessage="false" showInputMessage="false" sqref="D46" type="list">
      <formula1>Lists!$U$2:$U$3</formula1>
      <formula2>0</formula2>
    </dataValidation>
    <dataValidation allowBlank="true" errorStyle="stop" operator="between" showDropDown="false" showErrorMessage="false" showInputMessage="false" sqref="D58" type="list">
      <formula1>Lists!$U$2:$U$3</formula1>
      <formula2>0</formula2>
    </dataValidation>
    <dataValidation allowBlank="true" errorStyle="stop" operator="between" showDropDown="false" showErrorMessage="false" showInputMessage="false" sqref="D67" type="list">
      <formula1>Lists!$U$2:$U$3</formula1>
      <formula2>0</formula2>
    </dataValidation>
    <dataValidation allowBlank="true" errorStyle="stop" operator="between" showDropDown="false" showErrorMessage="false" showInputMessage="false" sqref="D72" type="list">
      <formula1>Lists!$S$2:$S$5</formula1>
      <formula2>0</formula2>
    </dataValidation>
    <dataValidation allowBlank="true" errorStyle="stop" operator="between" showDropDown="false" showErrorMessage="false" showInputMessage="false" sqref="D75"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85E9"/>
    <pageSetUpPr fitToPage="true"/>
  </sheetPr>
  <dimension ref="A1:I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6"/>
    <col collapsed="false" customWidth="true" hidden="false" outlineLevel="0" max="4" min="4" style="0" width="44"/>
    <col collapsed="false" customWidth="true" hidden="false" outlineLevel="0" max="5" min="5" style="0" width="5"/>
    <col collapsed="false" customWidth="true" hidden="false" outlineLevel="0" max="6" min="6" style="0" width="34"/>
    <col collapsed="false" customWidth="true" hidden="false" outlineLevel="0" max="7" min="7" style="0" width="46"/>
    <col collapsed="false" customWidth="true" hidden="false" outlineLevel="0" max="8" min="8" style="0" width="11"/>
    <col collapsed="false" customWidth="true" hidden="false" outlineLevel="0" max="9" min="9" style="0" width="6"/>
  </cols>
  <sheetData>
    <row r="1" customFormat="false" ht="22.05" hidden="false" customHeight="false" outlineLevel="0" collapsed="false">
      <c r="C1" s="63" t="s">
        <v>59</v>
      </c>
      <c r="D1" s="64" t="s">
        <v>908</v>
      </c>
    </row>
    <row r="2" customFormat="false" ht="15" hidden="false" customHeight="false" outlineLevel="0" collapsed="false">
      <c r="C2" s="65" t="s">
        <v>1006</v>
      </c>
      <c r="D2" s="65"/>
      <c r="E2" s="65"/>
      <c r="F2" s="65"/>
      <c r="G2" s="65"/>
    </row>
    <row r="3" customFormat="false" ht="78" hidden="false" customHeight="true" outlineLevel="0" collapsed="false">
      <c r="C3" s="66" t="s">
        <v>1007</v>
      </c>
      <c r="D3" s="66"/>
      <c r="E3" s="66"/>
      <c r="F3" s="66"/>
      <c r="G3" s="66"/>
    </row>
    <row r="5" customFormat="false" ht="15" hidden="false" customHeight="false" outlineLevel="0" collapsed="false">
      <c r="C5" s="67" t="s">
        <v>315</v>
      </c>
    </row>
    <row r="6" customFormat="false" ht="15" hidden="false" customHeight="false" outlineLevel="0" collapsed="false">
      <c r="B6" s="13" t="s">
        <v>316</v>
      </c>
      <c r="C6" s="13" t="s">
        <v>317</v>
      </c>
      <c r="D6" s="13" t="s">
        <v>34</v>
      </c>
      <c r="E6" s="13" t="s">
        <v>35</v>
      </c>
      <c r="F6" s="13" t="s">
        <v>36</v>
      </c>
      <c r="G6" s="13" t="s">
        <v>35</v>
      </c>
      <c r="H6" s="13" t="s">
        <v>318</v>
      </c>
    </row>
    <row r="7" customFormat="false" ht="15" hidden="false" customHeight="false" outlineLevel="0" collapsed="false">
      <c r="B7" s="8" t="n">
        <v>1</v>
      </c>
      <c r="C7" s="8" t="s">
        <v>319</v>
      </c>
      <c r="D7" s="8" t="n">
        <f aca="false">SUMIFS($E$19:$E$400,$A$19:$A$400,B7,$B$19:$B$400,"exercise")</f>
        <v>0</v>
      </c>
      <c r="E7" s="8" t="n">
        <f aca="false">COUNTIFS($A$19:$A$400,B7,$B$19:$B$400,"exercise")</f>
        <v>2</v>
      </c>
      <c r="F7" s="8" t="n">
        <f aca="false">SUMIFS($E$19:$E$400,$A$19:$A$400,B7,$B$19:$B$400,"check")</f>
        <v>0</v>
      </c>
      <c r="G7" s="8" t="n">
        <f aca="false">COUNTIFS($A$19:$A$400,B7,$B$19:$B$400,"check")</f>
        <v>1</v>
      </c>
      <c r="H7" s="29" t="str">
        <f aca="false">IF(AND(D7=E7,F7=G7),"done",IF(D7+F7&gt;0,"started","not yet"))</f>
        <v>not yet</v>
      </c>
      <c r="I7" s="68" t="n">
        <f aca="false">IF(H7="done",99,B7)</f>
        <v>1</v>
      </c>
    </row>
    <row r="8" customFormat="false" ht="15" hidden="false" customHeight="false" outlineLevel="0" collapsed="false">
      <c r="B8" s="8" t="n">
        <v>2</v>
      </c>
      <c r="C8" s="8" t="s">
        <v>320</v>
      </c>
      <c r="D8" s="8" t="n">
        <f aca="false">SUMIFS($E$19:$E$400,$A$19:$A$400,B8,$B$19:$B$400,"exercise")</f>
        <v>0</v>
      </c>
      <c r="E8" s="8" t="n">
        <f aca="false">COUNTIFS($A$19:$A$400,B8,$B$19:$B$400,"exercise")</f>
        <v>3</v>
      </c>
      <c r="F8" s="8" t="n">
        <f aca="false">SUMIFS($E$19:$E$400,$A$19:$A$400,B8,$B$19:$B$400,"check")</f>
        <v>0</v>
      </c>
      <c r="G8" s="8" t="n">
        <f aca="false">COUNTIFS($A$19:$A$400,B8,$B$19:$B$400,"check")</f>
        <v>1</v>
      </c>
      <c r="H8" s="29" t="str">
        <f aca="false">IF(AND(D8=E8,F8=G8),"done",IF(D8+F8&gt;0,"started","not yet"))</f>
        <v>not yet</v>
      </c>
      <c r="I8" s="68" t="n">
        <f aca="false">IF(H8="done",99,B8)</f>
        <v>2</v>
      </c>
    </row>
    <row r="9" customFormat="false" ht="15" hidden="false" customHeight="false" outlineLevel="0" collapsed="false">
      <c r="B9" s="8" t="n">
        <v>3</v>
      </c>
      <c r="C9" s="8" t="s">
        <v>321</v>
      </c>
      <c r="D9" s="8" t="n">
        <f aca="false">SUMIFS($E$19:$E$400,$A$19:$A$400,B9,$B$19:$B$400,"exercise")</f>
        <v>0</v>
      </c>
      <c r="E9" s="8" t="n">
        <f aca="false">COUNTIFS($A$19:$A$400,B9,$B$19:$B$400,"exercise")</f>
        <v>3</v>
      </c>
      <c r="F9" s="8" t="n">
        <f aca="false">SUMIFS($E$19:$E$400,$A$19:$A$400,B9,$B$19:$B$400,"check")</f>
        <v>0</v>
      </c>
      <c r="G9" s="8" t="n">
        <f aca="false">COUNTIFS($A$19:$A$400,B9,$B$19:$B$400,"check")</f>
        <v>2</v>
      </c>
      <c r="H9" s="29" t="str">
        <f aca="false">IF(AND(D9=E9,F9=G9),"done",IF(D9+F9&gt;0,"started","not yet"))</f>
        <v>not yet</v>
      </c>
      <c r="I9" s="68" t="n">
        <f aca="false">IF(H9="done",99,B9)</f>
        <v>3</v>
      </c>
    </row>
    <row r="10" customFormat="false" ht="15" hidden="false" customHeight="false" outlineLevel="0" collapsed="false">
      <c r="B10" s="8" t="n">
        <v>4</v>
      </c>
      <c r="C10" s="8" t="s">
        <v>322</v>
      </c>
      <c r="D10" s="8" t="n">
        <f aca="false">SUMIFS($E$19:$E$400,$A$19:$A$400,B10,$B$19:$B$400,"exercise")</f>
        <v>0</v>
      </c>
      <c r="E10" s="8" t="n">
        <f aca="false">COUNTIFS($A$19:$A$400,B10,$B$19:$B$400,"exercise")</f>
        <v>1</v>
      </c>
      <c r="F10" s="8" t="n">
        <f aca="false">SUMIFS($E$19:$E$400,$A$19:$A$400,B10,$B$19:$B$400,"check")</f>
        <v>0</v>
      </c>
      <c r="G10" s="8" t="n">
        <f aca="false">COUNTIFS($A$19:$A$400,B10,$B$19:$B$400,"check")</f>
        <v>5</v>
      </c>
      <c r="H10" s="29" t="str">
        <f aca="false">IF(AND(D10=E10,F10=G10),"done",IF(D10+F10&gt;0,"started","not yet"))</f>
        <v>not yet</v>
      </c>
      <c r="I10" s="68" t="n">
        <f aca="false">IF(H10="done",99,B10)</f>
        <v>4</v>
      </c>
    </row>
    <row r="11" customFormat="false" ht="15" hidden="false" customHeight="false" outlineLevel="0" collapsed="false">
      <c r="B11" s="8" t="n">
        <v>5</v>
      </c>
      <c r="C11" s="8" t="s">
        <v>323</v>
      </c>
      <c r="D11" s="8" t="n">
        <f aca="false">SUMIFS($E$19:$E$400,$A$19:$A$400,B11,$B$19:$B$400,"exercise")</f>
        <v>0</v>
      </c>
      <c r="E11" s="8" t="n">
        <f aca="false">COUNTIFS($A$19:$A$400,B11,$B$19:$B$400,"exercise")</f>
        <v>2</v>
      </c>
      <c r="F11" s="8" t="n">
        <f aca="false">SUMIFS($E$19:$E$400,$A$19:$A$400,B11,$B$19:$B$400,"check")</f>
        <v>0</v>
      </c>
      <c r="G11" s="8" t="n">
        <f aca="false">COUNTIFS($A$19:$A$400,B11,$B$19:$B$400,"check")</f>
        <v>1</v>
      </c>
      <c r="H11" s="29" t="str">
        <f aca="false">IF(AND(D11=E11,F11=G11),"done",IF(D11+F11&gt;0,"started","not yet"))</f>
        <v>not yet</v>
      </c>
      <c r="I11" s="68" t="n">
        <f aca="false">IF(H11="done",99,B11)</f>
        <v>5</v>
      </c>
    </row>
    <row r="12" customFormat="false" ht="15" hidden="false" customHeight="false" outlineLevel="0" collapsed="false">
      <c r="B12" s="8" t="n">
        <v>6</v>
      </c>
      <c r="C12" s="8" t="s">
        <v>324</v>
      </c>
      <c r="D12" s="8" t="n">
        <f aca="false">SUMIFS($E$19:$E$400,$A$19:$A$400,B12,$B$19:$B$400,"exercise")</f>
        <v>0</v>
      </c>
      <c r="E12" s="8" t="n">
        <f aca="false">COUNTIFS($A$19:$A$400,B12,$B$19:$B$400,"exercise")</f>
        <v>2</v>
      </c>
      <c r="F12" s="8" t="n">
        <f aca="false">SUMIFS($E$19:$E$400,$A$19:$A$400,B12,$B$19:$B$400,"check")</f>
        <v>0</v>
      </c>
      <c r="G12" s="8" t="n">
        <f aca="false">COUNTIFS($A$19:$A$400,B12,$B$19:$B$400,"check")</f>
        <v>3</v>
      </c>
      <c r="H12" s="29" t="str">
        <f aca="false">IF(AND(D12=E12,F12=G12),"done",IF(D12+F12&gt;0,"started","not yet"))</f>
        <v>not yet</v>
      </c>
      <c r="I12" s="68" t="n">
        <f aca="false">IF(H12="done",99,B12)</f>
        <v>6</v>
      </c>
    </row>
    <row r="13" customFormat="false" ht="15" hidden="false" customHeight="true" outlineLevel="0" collapsed="false">
      <c r="C13" s="25" t="s">
        <v>32</v>
      </c>
      <c r="D13" s="5" t="n">
        <f aca="false">COUNTIF(H7:H12,"done")</f>
        <v>0</v>
      </c>
      <c r="F13" s="27" t="s">
        <v>325</v>
      </c>
      <c r="G13" s="27"/>
    </row>
    <row r="14" customFormat="false" ht="15" hidden="false" customHeight="false" outlineLevel="0" collapsed="false">
      <c r="C14" s="25" t="s">
        <v>326</v>
      </c>
      <c r="D14" s="5" t="n">
        <f aca="false">IF(MIN(I7:I12)=99,"complete",MIN(I7:I12))</f>
        <v>1</v>
      </c>
      <c r="F14" s="27"/>
      <c r="G14" s="27"/>
    </row>
    <row r="15" customFormat="false" ht="15" hidden="false" customHeight="false" outlineLevel="0" collapsed="false">
      <c r="C15" s="25" t="s">
        <v>327</v>
      </c>
      <c r="D15" s="69" t="n">
        <f aca="false">IF(SUM(E7:E12,G7:G12)=0,0,SUM(D7:D12,F7:F12)/SUM(E7:E12,G7:G12))</f>
        <v>0</v>
      </c>
      <c r="F15" s="27"/>
      <c r="G15" s="27"/>
    </row>
    <row r="18" customFormat="false" ht="15" hidden="false" customHeight="false" outlineLevel="0" collapsed="false">
      <c r="A18" s="13" t="s">
        <v>317</v>
      </c>
      <c r="B18" s="13" t="s">
        <v>206</v>
      </c>
      <c r="C18" s="13" t="s">
        <v>328</v>
      </c>
      <c r="D18" s="13" t="s">
        <v>329</v>
      </c>
      <c r="E18" s="13" t="s">
        <v>330</v>
      </c>
      <c r="F18" s="13" t="s">
        <v>331</v>
      </c>
      <c r="G18" s="13" t="s">
        <v>332</v>
      </c>
    </row>
    <row r="19" customFormat="false" ht="15" hidden="false" customHeight="false" outlineLevel="0" collapsed="false">
      <c r="A19" s="95" t="n">
        <v>1</v>
      </c>
      <c r="B19" s="96" t="s">
        <v>333</v>
      </c>
      <c r="C19" s="97" t="s">
        <v>1008</v>
      </c>
      <c r="D19" s="97"/>
      <c r="E19" s="97"/>
      <c r="F19" s="97"/>
      <c r="G19" s="97"/>
    </row>
    <row r="20" customFormat="false" ht="30" hidden="false" customHeight="true" outlineLevel="0" collapsed="false">
      <c r="B20" s="73" t="s">
        <v>335</v>
      </c>
      <c r="C20" s="74" t="s">
        <v>1009</v>
      </c>
      <c r="D20" s="74"/>
      <c r="E20" s="74"/>
      <c r="F20" s="74"/>
      <c r="G20" s="74"/>
    </row>
    <row r="21" customFormat="false" ht="15" hidden="false" customHeight="false" outlineLevel="0" collapsed="false">
      <c r="A21" s="75" t="n">
        <v>1</v>
      </c>
      <c r="B21" s="73" t="s">
        <v>337</v>
      </c>
      <c r="C21" s="4" t="s">
        <v>1010</v>
      </c>
      <c r="D21" s="76"/>
      <c r="E21" s="73" t="n">
        <f aca="false">IF(D21&lt;&gt;"",1,0)</f>
        <v>0</v>
      </c>
      <c r="F21" s="77" t="n">
        <v>1</v>
      </c>
      <c r="G21" s="43" t="s">
        <v>339</v>
      </c>
    </row>
    <row r="22" customFormat="false" ht="60" hidden="false" customHeight="true" outlineLevel="0" collapsed="false">
      <c r="A22" s="75" t="n">
        <v>1</v>
      </c>
      <c r="B22" s="73" t="s">
        <v>337</v>
      </c>
      <c r="C22" s="4" t="s">
        <v>1011</v>
      </c>
      <c r="D22" s="76"/>
      <c r="E22" s="73" t="n">
        <f aca="false">IF(D22&lt;&gt;"",1,0)</f>
        <v>0</v>
      </c>
      <c r="F22" s="77"/>
      <c r="G22" s="43" t="s">
        <v>449</v>
      </c>
    </row>
    <row r="23" customFormat="false" ht="15" hidden="false" customHeight="false" outlineLevel="0" collapsed="false">
      <c r="B23" s="73" t="s">
        <v>345</v>
      </c>
      <c r="C23" s="78" t="s">
        <v>346</v>
      </c>
    </row>
    <row r="24" customFormat="false" ht="15" hidden="false" customHeight="false" outlineLevel="0" collapsed="false">
      <c r="A24" s="75" t="n">
        <v>1</v>
      </c>
      <c r="B24" s="73" t="s">
        <v>347</v>
      </c>
      <c r="C24" s="4" t="s">
        <v>1012</v>
      </c>
      <c r="D24" s="79"/>
      <c r="E24" s="73" t="n">
        <f aca="false">IF(D24="Y",1,0)</f>
        <v>0</v>
      </c>
      <c r="G24" s="80" t="s">
        <v>349</v>
      </c>
    </row>
    <row r="25" customFormat="false" ht="15" hidden="false" customHeight="false" outlineLevel="0" collapsed="false">
      <c r="B25" s="73" t="s">
        <v>351</v>
      </c>
      <c r="C25" s="81" t="s">
        <v>425</v>
      </c>
      <c r="D25" s="81"/>
      <c r="E25" s="81"/>
      <c r="F25" s="81"/>
      <c r="G25" s="81"/>
    </row>
    <row r="27" customFormat="false" ht="15" hidden="false" customHeight="false" outlineLevel="0" collapsed="false">
      <c r="A27" s="95" t="n">
        <v>2</v>
      </c>
      <c r="B27" s="96" t="s">
        <v>333</v>
      </c>
      <c r="C27" s="97" t="s">
        <v>1013</v>
      </c>
      <c r="D27" s="97"/>
      <c r="E27" s="97"/>
      <c r="F27" s="97"/>
      <c r="G27" s="97"/>
    </row>
    <row r="28" customFormat="false" ht="30" hidden="false" customHeight="true" outlineLevel="0" collapsed="false">
      <c r="B28" s="73" t="s">
        <v>335</v>
      </c>
      <c r="C28" s="74" t="s">
        <v>1014</v>
      </c>
      <c r="D28" s="74"/>
      <c r="E28" s="74"/>
      <c r="F28" s="74"/>
      <c r="G28" s="74"/>
    </row>
    <row r="29" customFormat="false" ht="15" hidden="false" customHeight="false" outlineLevel="0" collapsed="false">
      <c r="A29" s="75" t="n">
        <v>2</v>
      </c>
      <c r="B29" s="73" t="s">
        <v>337</v>
      </c>
      <c r="C29" s="4" t="s">
        <v>1015</v>
      </c>
      <c r="D29" s="76"/>
      <c r="E29" s="73" t="n">
        <f aca="false">IF(D29&lt;&gt;"",1,0)</f>
        <v>0</v>
      </c>
      <c r="F29" s="77" t="n">
        <v>4</v>
      </c>
      <c r="G29" s="43"/>
    </row>
    <row r="30" customFormat="false" ht="15" hidden="false" customHeight="false" outlineLevel="0" collapsed="false">
      <c r="A30" s="75" t="n">
        <v>2</v>
      </c>
      <c r="B30" s="73" t="s">
        <v>337</v>
      </c>
      <c r="C30" s="4" t="s">
        <v>1016</v>
      </c>
      <c r="D30" s="76"/>
      <c r="E30" s="73" t="n">
        <f aca="false">IF(D30&lt;&gt;"",1,0)</f>
        <v>0</v>
      </c>
      <c r="F30" s="77" t="n">
        <v>1</v>
      </c>
      <c r="G30" s="43"/>
    </row>
    <row r="31" customFormat="false" ht="15" hidden="false" customHeight="false" outlineLevel="0" collapsed="false">
      <c r="A31" s="75" t="n">
        <v>2</v>
      </c>
      <c r="B31" s="73" t="s">
        <v>337</v>
      </c>
      <c r="C31" s="4" t="s">
        <v>1017</v>
      </c>
      <c r="D31" s="76"/>
      <c r="E31" s="73" t="n">
        <f aca="false">IF(D31&lt;&gt;"",1,0)</f>
        <v>0</v>
      </c>
      <c r="F31" s="77" t="n">
        <v>15</v>
      </c>
      <c r="G31" s="43"/>
    </row>
    <row r="32" customFormat="false" ht="15" hidden="false" customHeight="false" outlineLevel="0" collapsed="false">
      <c r="B32" s="73" t="s">
        <v>345</v>
      </c>
      <c r="C32" s="78" t="s">
        <v>346</v>
      </c>
    </row>
    <row r="33" customFormat="false" ht="15" hidden="false" customHeight="false" outlineLevel="0" collapsed="false">
      <c r="A33" s="75" t="n">
        <v>2</v>
      </c>
      <c r="B33" s="73" t="s">
        <v>347</v>
      </c>
      <c r="C33" s="4" t="s">
        <v>1018</v>
      </c>
      <c r="D33" s="79"/>
      <c r="E33" s="73" t="n">
        <f aca="false">IF(D33="Y",1,0)</f>
        <v>0</v>
      </c>
      <c r="G33" s="80" t="s">
        <v>349</v>
      </c>
    </row>
    <row r="34" customFormat="false" ht="15" hidden="false" customHeight="false" outlineLevel="0" collapsed="false">
      <c r="B34" s="73" t="s">
        <v>351</v>
      </c>
      <c r="C34" s="81" t="s">
        <v>1019</v>
      </c>
      <c r="D34" s="81"/>
      <c r="E34" s="81"/>
      <c r="F34" s="81"/>
      <c r="G34" s="81"/>
    </row>
    <row r="36" customFormat="false" ht="15" hidden="false" customHeight="false" outlineLevel="0" collapsed="false">
      <c r="A36" s="95" t="n">
        <v>3</v>
      </c>
      <c r="B36" s="96" t="s">
        <v>333</v>
      </c>
      <c r="C36" s="97" t="s">
        <v>1020</v>
      </c>
      <c r="D36" s="97"/>
      <c r="E36" s="97"/>
      <c r="F36" s="97"/>
      <c r="G36" s="97"/>
    </row>
    <row r="37" customFormat="false" ht="30" hidden="false" customHeight="true" outlineLevel="0" collapsed="false">
      <c r="B37" s="73" t="s">
        <v>335</v>
      </c>
      <c r="C37" s="74" t="s">
        <v>1021</v>
      </c>
      <c r="D37" s="74"/>
      <c r="E37" s="74"/>
      <c r="F37" s="74"/>
      <c r="G37" s="74"/>
    </row>
    <row r="38" customFormat="false" ht="15" hidden="false" customHeight="false" outlineLevel="0" collapsed="false">
      <c r="A38" s="75" t="n">
        <v>3</v>
      </c>
      <c r="B38" s="73" t="s">
        <v>337</v>
      </c>
      <c r="C38" s="4" t="s">
        <v>1022</v>
      </c>
      <c r="D38" s="84" t="str">
        <f aca="false">IF(COUNTA(C40:D47)&gt;0,"logged","")</f>
        <v/>
      </c>
      <c r="E38" s="73" t="n">
        <f aca="false">IF(COUNTA(C40:D47)&gt;0,1,0)</f>
        <v>0</v>
      </c>
      <c r="F38" s="7"/>
      <c r="G38" s="43" t="s">
        <v>764</v>
      </c>
    </row>
    <row r="39" customFormat="false" ht="15" hidden="false" customHeight="false" outlineLevel="0" collapsed="false">
      <c r="B39" s="73" t="s">
        <v>464</v>
      </c>
      <c r="C39" s="85" t="s">
        <v>1023</v>
      </c>
      <c r="D39" s="85" t="s">
        <v>1024</v>
      </c>
    </row>
    <row r="40" customFormat="false" ht="15" hidden="false" customHeight="false" outlineLevel="0" collapsed="false">
      <c r="B40" s="73" t="s">
        <v>464</v>
      </c>
      <c r="C40" s="6"/>
      <c r="D40" s="6"/>
    </row>
    <row r="41" customFormat="false" ht="15" hidden="false" customHeight="false" outlineLevel="0" collapsed="false">
      <c r="B41" s="73" t="s">
        <v>464</v>
      </c>
      <c r="C41" s="6"/>
      <c r="D41" s="6"/>
    </row>
    <row r="42" customFormat="false" ht="15" hidden="false" customHeight="false" outlineLevel="0" collapsed="false">
      <c r="B42" s="73" t="s">
        <v>464</v>
      </c>
      <c r="C42" s="6"/>
      <c r="D42" s="6"/>
    </row>
    <row r="43" customFormat="false" ht="15" hidden="false" customHeight="false" outlineLevel="0" collapsed="false">
      <c r="B43" s="73" t="s">
        <v>464</v>
      </c>
      <c r="C43" s="6"/>
      <c r="D43" s="6"/>
    </row>
    <row r="44" customFormat="false" ht="15" hidden="false" customHeight="false" outlineLevel="0" collapsed="false">
      <c r="B44" s="73" t="s">
        <v>464</v>
      </c>
      <c r="C44" s="6"/>
      <c r="D44" s="6"/>
    </row>
    <row r="45" customFormat="false" ht="15" hidden="false" customHeight="false" outlineLevel="0" collapsed="false">
      <c r="B45" s="73" t="s">
        <v>464</v>
      </c>
      <c r="C45" s="6"/>
      <c r="D45" s="6"/>
    </row>
    <row r="46" customFormat="false" ht="15" hidden="false" customHeight="false" outlineLevel="0" collapsed="false">
      <c r="B46" s="73" t="s">
        <v>464</v>
      </c>
      <c r="C46" s="6"/>
      <c r="D46" s="6"/>
    </row>
    <row r="47" customFormat="false" ht="15" hidden="false" customHeight="false" outlineLevel="0" collapsed="false">
      <c r="B47" s="73" t="s">
        <v>464</v>
      </c>
      <c r="C47" s="6"/>
      <c r="D47" s="6"/>
    </row>
    <row r="48" customFormat="false" ht="48" hidden="false" customHeight="true" outlineLevel="0" collapsed="false">
      <c r="A48" s="75" t="n">
        <v>3</v>
      </c>
      <c r="B48" s="73" t="s">
        <v>337</v>
      </c>
      <c r="C48" s="4" t="s">
        <v>1025</v>
      </c>
      <c r="D48" s="76"/>
      <c r="E48" s="73" t="n">
        <f aca="false">IF(D48&lt;&gt;"",1,0)</f>
        <v>0</v>
      </c>
      <c r="F48" s="77"/>
      <c r="G48" s="43" t="s">
        <v>1026</v>
      </c>
    </row>
    <row r="49" customFormat="false" ht="23.85" hidden="false" customHeight="false" outlineLevel="0" collapsed="false">
      <c r="A49" s="75" t="n">
        <v>3</v>
      </c>
      <c r="B49" s="73" t="s">
        <v>337</v>
      </c>
      <c r="C49" s="4" t="s">
        <v>1027</v>
      </c>
      <c r="D49" s="84" t="str">
        <f aca="false">IF(COUNTA(C51:D58)&gt;0,"logged","")</f>
        <v/>
      </c>
      <c r="E49" s="73" t="n">
        <f aca="false">IF(COUNTA(C51:D58)&gt;0,1,0)</f>
        <v>0</v>
      </c>
      <c r="F49" s="7"/>
      <c r="G49" s="43" t="s">
        <v>764</v>
      </c>
    </row>
    <row r="50" customFormat="false" ht="15" hidden="false" customHeight="false" outlineLevel="0" collapsed="false">
      <c r="B50" s="73" t="s">
        <v>464</v>
      </c>
      <c r="C50" s="85" t="s">
        <v>1028</v>
      </c>
      <c r="D50" s="85" t="s">
        <v>1029</v>
      </c>
    </row>
    <row r="51" customFormat="false" ht="15" hidden="false" customHeight="false" outlineLevel="0" collapsed="false">
      <c r="B51" s="73" t="s">
        <v>464</v>
      </c>
      <c r="C51" s="6"/>
      <c r="D51" s="6"/>
    </row>
    <row r="52" customFormat="false" ht="15" hidden="false" customHeight="false" outlineLevel="0" collapsed="false">
      <c r="B52" s="73" t="s">
        <v>464</v>
      </c>
      <c r="C52" s="6"/>
      <c r="D52" s="6"/>
    </row>
    <row r="53" customFormat="false" ht="15" hidden="false" customHeight="false" outlineLevel="0" collapsed="false">
      <c r="B53" s="73" t="s">
        <v>464</v>
      </c>
      <c r="C53" s="6"/>
      <c r="D53" s="6"/>
    </row>
    <row r="54" customFormat="false" ht="15" hidden="false" customHeight="false" outlineLevel="0" collapsed="false">
      <c r="B54" s="73" t="s">
        <v>464</v>
      </c>
      <c r="C54" s="6"/>
      <c r="D54" s="6"/>
    </row>
    <row r="55" customFormat="false" ht="15" hidden="false" customHeight="false" outlineLevel="0" collapsed="false">
      <c r="B55" s="73" t="s">
        <v>464</v>
      </c>
      <c r="C55" s="6"/>
      <c r="D55" s="6"/>
    </row>
    <row r="56" customFormat="false" ht="15" hidden="false" customHeight="false" outlineLevel="0" collapsed="false">
      <c r="B56" s="73" t="s">
        <v>464</v>
      </c>
      <c r="C56" s="6"/>
      <c r="D56" s="6"/>
    </row>
    <row r="57" customFormat="false" ht="15" hidden="false" customHeight="false" outlineLevel="0" collapsed="false">
      <c r="B57" s="73" t="s">
        <v>464</v>
      </c>
      <c r="C57" s="6"/>
      <c r="D57" s="6"/>
    </row>
    <row r="58" customFormat="false" ht="15" hidden="false" customHeight="false" outlineLevel="0" collapsed="false">
      <c r="B58" s="73" t="s">
        <v>464</v>
      </c>
      <c r="C58" s="6"/>
      <c r="D58" s="6"/>
    </row>
    <row r="59" customFormat="false" ht="15" hidden="false" customHeight="false" outlineLevel="0" collapsed="false">
      <c r="B59" s="73" t="s">
        <v>345</v>
      </c>
      <c r="C59" s="78" t="s">
        <v>346</v>
      </c>
    </row>
    <row r="60" customFormat="false" ht="15" hidden="false" customHeight="false" outlineLevel="0" collapsed="false">
      <c r="A60" s="75" t="n">
        <v>3</v>
      </c>
      <c r="B60" s="73" t="s">
        <v>347</v>
      </c>
      <c r="C60" s="4" t="s">
        <v>1030</v>
      </c>
      <c r="D60" s="79"/>
      <c r="E60" s="73" t="n">
        <f aca="false">IF(D60="Y",1,0)</f>
        <v>0</v>
      </c>
      <c r="G60" s="80" t="s">
        <v>349</v>
      </c>
    </row>
    <row r="61" customFormat="false" ht="15" hidden="false" customHeight="false" outlineLevel="0" collapsed="false">
      <c r="A61" s="75" t="n">
        <v>3</v>
      </c>
      <c r="B61" s="73" t="s">
        <v>347</v>
      </c>
      <c r="C61" s="4" t="s">
        <v>1031</v>
      </c>
      <c r="D61" s="79"/>
      <c r="E61" s="73" t="n">
        <f aca="false">IF(D61="Y",1,0)</f>
        <v>0</v>
      </c>
      <c r="G61" s="80" t="s">
        <v>349</v>
      </c>
    </row>
    <row r="62" customFormat="false" ht="15" hidden="false" customHeight="false" outlineLevel="0" collapsed="false">
      <c r="B62" s="73" t="s">
        <v>351</v>
      </c>
      <c r="C62" s="81" t="s">
        <v>1032</v>
      </c>
      <c r="D62" s="81"/>
      <c r="E62" s="81"/>
      <c r="F62" s="81"/>
      <c r="G62" s="81"/>
    </row>
    <row r="64" customFormat="false" ht="15" hidden="false" customHeight="false" outlineLevel="0" collapsed="false">
      <c r="A64" s="95" t="n">
        <v>4</v>
      </c>
      <c r="B64" s="96" t="s">
        <v>333</v>
      </c>
      <c r="C64" s="97" t="s">
        <v>1033</v>
      </c>
      <c r="D64" s="97"/>
      <c r="E64" s="97"/>
      <c r="F64" s="97"/>
      <c r="G64" s="97"/>
    </row>
    <row r="65" customFormat="false" ht="30" hidden="false" customHeight="true" outlineLevel="0" collapsed="false">
      <c r="B65" s="73" t="s">
        <v>335</v>
      </c>
      <c r="C65" s="74" t="s">
        <v>1034</v>
      </c>
      <c r="D65" s="74"/>
      <c r="E65" s="74"/>
      <c r="F65" s="74"/>
      <c r="G65" s="74"/>
    </row>
    <row r="66" customFormat="false" ht="15" hidden="false" customHeight="false" outlineLevel="0" collapsed="false">
      <c r="A66" s="75" t="n">
        <v>4</v>
      </c>
      <c r="B66" s="73" t="s">
        <v>337</v>
      </c>
      <c r="C66" s="4" t="s">
        <v>1035</v>
      </c>
      <c r="D66" s="76"/>
      <c r="E66" s="73" t="n">
        <f aca="false">IF(D66&lt;&gt;"",1,0)</f>
        <v>0</v>
      </c>
      <c r="F66" s="77"/>
      <c r="G66" s="43"/>
    </row>
    <row r="67" customFormat="false" ht="15" hidden="false" customHeight="false" outlineLevel="0" collapsed="false">
      <c r="B67" s="73" t="s">
        <v>345</v>
      </c>
      <c r="C67" s="78" t="s">
        <v>346</v>
      </c>
    </row>
    <row r="68" customFormat="false" ht="15" hidden="false" customHeight="false" outlineLevel="0" collapsed="false">
      <c r="A68" s="75" t="n">
        <v>4</v>
      </c>
      <c r="B68" s="73" t="s">
        <v>347</v>
      </c>
      <c r="C68" s="4" t="s">
        <v>1036</v>
      </c>
      <c r="D68" s="79"/>
      <c r="E68" s="73" t="n">
        <f aca="false">IF(D68="Y",1,0)</f>
        <v>0</v>
      </c>
      <c r="G68" s="80" t="s">
        <v>349</v>
      </c>
    </row>
    <row r="69" customFormat="false" ht="15" hidden="false" customHeight="false" outlineLevel="0" collapsed="false">
      <c r="A69" s="75" t="n">
        <v>4</v>
      </c>
      <c r="B69" s="73" t="s">
        <v>347</v>
      </c>
      <c r="C69" s="4" t="s">
        <v>1037</v>
      </c>
      <c r="D69" s="79"/>
      <c r="E69" s="73" t="n">
        <f aca="false">IF(D69="Y",1,0)</f>
        <v>0</v>
      </c>
      <c r="G69" s="80" t="s">
        <v>349</v>
      </c>
    </row>
    <row r="70" customFormat="false" ht="15" hidden="false" customHeight="false" outlineLevel="0" collapsed="false">
      <c r="A70" s="75" t="n">
        <v>4</v>
      </c>
      <c r="B70" s="73" t="s">
        <v>347</v>
      </c>
      <c r="C70" s="4" t="s">
        <v>1038</v>
      </c>
      <c r="D70" s="79"/>
      <c r="E70" s="73" t="n">
        <f aca="false">IF(D70="Y",1,0)</f>
        <v>0</v>
      </c>
      <c r="G70" s="80" t="s">
        <v>349</v>
      </c>
    </row>
    <row r="71" customFormat="false" ht="15" hidden="false" customHeight="false" outlineLevel="0" collapsed="false">
      <c r="A71" s="75" t="n">
        <v>4</v>
      </c>
      <c r="B71" s="73" t="s">
        <v>347</v>
      </c>
      <c r="C71" s="4" t="s">
        <v>1039</v>
      </c>
      <c r="D71" s="79"/>
      <c r="E71" s="73" t="n">
        <f aca="false">IF(D71="Y",1,0)</f>
        <v>0</v>
      </c>
      <c r="G71" s="80" t="s">
        <v>349</v>
      </c>
    </row>
    <row r="72" customFormat="false" ht="15" hidden="false" customHeight="false" outlineLevel="0" collapsed="false">
      <c r="A72" s="75" t="n">
        <v>4</v>
      </c>
      <c r="B72" s="73" t="s">
        <v>347</v>
      </c>
      <c r="C72" s="4" t="s">
        <v>1040</v>
      </c>
      <c r="D72" s="79"/>
      <c r="E72" s="73" t="n">
        <f aca="false">IF(D72="Y",1,0)</f>
        <v>0</v>
      </c>
      <c r="G72" s="80" t="s">
        <v>349</v>
      </c>
    </row>
    <row r="73" customFormat="false" ht="15" hidden="false" customHeight="false" outlineLevel="0" collapsed="false">
      <c r="B73" s="73" t="s">
        <v>351</v>
      </c>
      <c r="C73" s="81" t="s">
        <v>1041</v>
      </c>
      <c r="D73" s="81"/>
      <c r="E73" s="81"/>
      <c r="F73" s="81"/>
      <c r="G73" s="81"/>
    </row>
    <row r="75" customFormat="false" ht="15" hidden="false" customHeight="false" outlineLevel="0" collapsed="false">
      <c r="A75" s="95" t="n">
        <v>5</v>
      </c>
      <c r="B75" s="96" t="s">
        <v>333</v>
      </c>
      <c r="C75" s="97" t="s">
        <v>1042</v>
      </c>
      <c r="D75" s="97"/>
      <c r="E75" s="97"/>
      <c r="F75" s="97"/>
      <c r="G75" s="97"/>
    </row>
    <row r="76" customFormat="false" ht="30" hidden="false" customHeight="true" outlineLevel="0" collapsed="false">
      <c r="B76" s="73" t="s">
        <v>335</v>
      </c>
      <c r="C76" s="74" t="s">
        <v>1043</v>
      </c>
      <c r="D76" s="74"/>
      <c r="E76" s="74"/>
      <c r="F76" s="74"/>
      <c r="G76" s="74"/>
    </row>
    <row r="77" customFormat="false" ht="15" hidden="false" customHeight="false" outlineLevel="0" collapsed="false">
      <c r="A77" s="75" t="n">
        <v>5</v>
      </c>
      <c r="B77" s="73" t="s">
        <v>337</v>
      </c>
      <c r="C77" s="4" t="s">
        <v>1044</v>
      </c>
      <c r="D77" s="84" t="str">
        <f aca="false">IF(COUNTA(C79:G86)&gt;0,"logged","")</f>
        <v/>
      </c>
      <c r="E77" s="73" t="n">
        <f aca="false">IF(COUNTA(C79:G86)&gt;0,1,0)</f>
        <v>0</v>
      </c>
      <c r="F77" s="7" t="s">
        <v>1045</v>
      </c>
      <c r="G77" s="43" t="s">
        <v>1046</v>
      </c>
    </row>
    <row r="78" customFormat="false" ht="15" hidden="false" customHeight="false" outlineLevel="0" collapsed="false">
      <c r="B78" s="73" t="s">
        <v>464</v>
      </c>
      <c r="C78" s="85" t="s">
        <v>1047</v>
      </c>
      <c r="D78" s="85" t="s">
        <v>1048</v>
      </c>
      <c r="E78" s="85" t="s">
        <v>1049</v>
      </c>
      <c r="F78" s="85" t="s">
        <v>1050</v>
      </c>
      <c r="G78" s="85" t="s">
        <v>1051</v>
      </c>
    </row>
    <row r="79" customFormat="false" ht="15" hidden="false" customHeight="false" outlineLevel="0" collapsed="false">
      <c r="B79" s="73" t="s">
        <v>464</v>
      </c>
      <c r="C79" s="6"/>
      <c r="D79" s="6"/>
      <c r="E79" s="6"/>
      <c r="F79" s="6"/>
      <c r="G79" s="100"/>
    </row>
    <row r="80" customFormat="false" ht="15" hidden="false" customHeight="false" outlineLevel="0" collapsed="false">
      <c r="B80" s="73" t="s">
        <v>464</v>
      </c>
      <c r="C80" s="6"/>
      <c r="D80" s="6"/>
      <c r="E80" s="6"/>
      <c r="F80" s="6"/>
      <c r="G80" s="100"/>
    </row>
    <row r="81" customFormat="false" ht="15" hidden="false" customHeight="false" outlineLevel="0" collapsed="false">
      <c r="B81" s="73" t="s">
        <v>464</v>
      </c>
      <c r="C81" s="6"/>
      <c r="D81" s="6"/>
      <c r="E81" s="6"/>
      <c r="F81" s="6"/>
      <c r="G81" s="100"/>
    </row>
    <row r="82" customFormat="false" ht="15" hidden="false" customHeight="false" outlineLevel="0" collapsed="false">
      <c r="B82" s="73" t="s">
        <v>464</v>
      </c>
      <c r="C82" s="6"/>
      <c r="D82" s="6"/>
      <c r="E82" s="6"/>
      <c r="F82" s="6"/>
      <c r="G82" s="100"/>
    </row>
    <row r="83" customFormat="false" ht="15" hidden="false" customHeight="false" outlineLevel="0" collapsed="false">
      <c r="B83" s="73" t="s">
        <v>464</v>
      </c>
      <c r="C83" s="6"/>
      <c r="D83" s="6"/>
      <c r="E83" s="6"/>
      <c r="F83" s="6"/>
      <c r="G83" s="100"/>
    </row>
    <row r="84" customFormat="false" ht="15" hidden="false" customHeight="false" outlineLevel="0" collapsed="false">
      <c r="B84" s="73" t="s">
        <v>464</v>
      </c>
      <c r="C84" s="6"/>
      <c r="D84" s="6"/>
      <c r="E84" s="6"/>
      <c r="F84" s="6"/>
      <c r="G84" s="100"/>
    </row>
    <row r="85" customFormat="false" ht="15" hidden="false" customHeight="false" outlineLevel="0" collapsed="false">
      <c r="B85" s="73" t="s">
        <v>464</v>
      </c>
      <c r="C85" s="6"/>
      <c r="D85" s="6"/>
      <c r="E85" s="6"/>
      <c r="F85" s="6"/>
      <c r="G85" s="100"/>
    </row>
    <row r="86" customFormat="false" ht="15" hidden="false" customHeight="false" outlineLevel="0" collapsed="false">
      <c r="B86" s="73" t="s">
        <v>464</v>
      </c>
      <c r="C86" s="6"/>
      <c r="D86" s="6"/>
      <c r="E86" s="6"/>
      <c r="F86" s="6"/>
      <c r="G86" s="100"/>
    </row>
    <row r="87" customFormat="false" ht="15" hidden="false" customHeight="false" outlineLevel="0" collapsed="false">
      <c r="A87" s="75" t="n">
        <v>5</v>
      </c>
      <c r="B87" s="73" t="s">
        <v>337</v>
      </c>
      <c r="C87" s="4" t="s">
        <v>1052</v>
      </c>
      <c r="D87" s="76"/>
      <c r="E87" s="73" t="n">
        <f aca="false">IF(D87&lt;&gt;"",1,0)</f>
        <v>0</v>
      </c>
      <c r="F87" s="77" t="n">
        <v>9</v>
      </c>
      <c r="G87" s="43"/>
    </row>
    <row r="88" customFormat="false" ht="15" hidden="false" customHeight="false" outlineLevel="0" collapsed="false">
      <c r="B88" s="73" t="s">
        <v>345</v>
      </c>
      <c r="C88" s="78" t="s">
        <v>346</v>
      </c>
    </row>
    <row r="89" customFormat="false" ht="15" hidden="false" customHeight="false" outlineLevel="0" collapsed="false">
      <c r="A89" s="75" t="n">
        <v>5</v>
      </c>
      <c r="B89" s="73" t="s">
        <v>347</v>
      </c>
      <c r="C89" s="4" t="s">
        <v>1053</v>
      </c>
      <c r="D89" s="79"/>
      <c r="E89" s="73" t="n">
        <f aca="false">IF(D89="Y",1,0)</f>
        <v>0</v>
      </c>
      <c r="G89" s="80" t="s">
        <v>349</v>
      </c>
    </row>
    <row r="90" customFormat="false" ht="15" hidden="false" customHeight="false" outlineLevel="0" collapsed="false">
      <c r="B90" s="73" t="s">
        <v>351</v>
      </c>
      <c r="C90" s="81" t="s">
        <v>1054</v>
      </c>
      <c r="D90" s="81"/>
      <c r="E90" s="81"/>
      <c r="F90" s="81"/>
      <c r="G90" s="81"/>
    </row>
    <row r="92" customFormat="false" ht="15" hidden="false" customHeight="false" outlineLevel="0" collapsed="false">
      <c r="A92" s="95" t="n">
        <v>6</v>
      </c>
      <c r="B92" s="96" t="s">
        <v>333</v>
      </c>
      <c r="C92" s="97" t="s">
        <v>1055</v>
      </c>
      <c r="D92" s="97"/>
      <c r="E92" s="97"/>
      <c r="F92" s="97"/>
      <c r="G92" s="97"/>
    </row>
    <row r="93" customFormat="false" ht="30" hidden="false" customHeight="true" outlineLevel="0" collapsed="false">
      <c r="B93" s="73" t="s">
        <v>335</v>
      </c>
      <c r="C93" s="74" t="s">
        <v>1056</v>
      </c>
      <c r="D93" s="74"/>
      <c r="E93" s="74"/>
      <c r="F93" s="74"/>
      <c r="G93" s="74"/>
    </row>
    <row r="94" customFormat="false" ht="15" hidden="false" customHeight="false" outlineLevel="0" collapsed="false">
      <c r="A94" s="75" t="n">
        <v>6</v>
      </c>
      <c r="B94" s="73" t="s">
        <v>337</v>
      </c>
      <c r="C94" s="4" t="s">
        <v>408</v>
      </c>
      <c r="D94" s="76"/>
      <c r="E94" s="73" t="n">
        <f aca="false">IF(D94&lt;&gt;"",1,0)</f>
        <v>0</v>
      </c>
      <c r="F94" s="77"/>
      <c r="G94" s="43" t="s">
        <v>344</v>
      </c>
    </row>
    <row r="95" customFormat="false" ht="15" hidden="false" customHeight="false" outlineLevel="0" collapsed="false">
      <c r="A95" s="75" t="n">
        <v>6</v>
      </c>
      <c r="B95" s="73" t="s">
        <v>337</v>
      </c>
      <c r="C95" s="4" t="s">
        <v>1057</v>
      </c>
      <c r="D95" s="76"/>
      <c r="E95" s="73" t="n">
        <f aca="false">IF(D95&lt;&gt;"",1,0)</f>
        <v>0</v>
      </c>
      <c r="F95" s="77"/>
      <c r="G95" s="43"/>
    </row>
    <row r="96" customFormat="false" ht="15" hidden="false" customHeight="false" outlineLevel="0" collapsed="false">
      <c r="B96" s="73" t="s">
        <v>345</v>
      </c>
      <c r="C96" s="78" t="s">
        <v>346</v>
      </c>
    </row>
    <row r="97" customFormat="false" ht="15" hidden="false" customHeight="false" outlineLevel="0" collapsed="false">
      <c r="A97" s="75" t="n">
        <v>6</v>
      </c>
      <c r="B97" s="73" t="s">
        <v>347</v>
      </c>
      <c r="C97" s="4" t="s">
        <v>1058</v>
      </c>
      <c r="D97" s="79"/>
      <c r="E97" s="73" t="n">
        <f aca="false">IF(D97="Y",1,0)</f>
        <v>0</v>
      </c>
      <c r="G97" s="80" t="s">
        <v>349</v>
      </c>
    </row>
    <row r="98" customFormat="false" ht="15" hidden="false" customHeight="false" outlineLevel="0" collapsed="false">
      <c r="A98" s="75" t="n">
        <v>6</v>
      </c>
      <c r="B98" s="73" t="s">
        <v>347</v>
      </c>
      <c r="C98" s="4" t="s">
        <v>1059</v>
      </c>
      <c r="D98" s="79"/>
      <c r="E98" s="73" t="n">
        <f aca="false">IF(D98="Y",1,0)</f>
        <v>0</v>
      </c>
      <c r="G98" s="80" t="s">
        <v>349</v>
      </c>
    </row>
    <row r="99" customFormat="false" ht="15" hidden="false" customHeight="false" outlineLevel="0" collapsed="false">
      <c r="A99" s="75" t="n">
        <v>6</v>
      </c>
      <c r="B99" s="73" t="s">
        <v>347</v>
      </c>
      <c r="C99" s="4" t="s">
        <v>1060</v>
      </c>
      <c r="D99" s="79"/>
      <c r="E99" s="73" t="n">
        <f aca="false">IF(D99="Y",1,0)</f>
        <v>0</v>
      </c>
      <c r="G99" s="80" t="s">
        <v>349</v>
      </c>
    </row>
    <row r="100" customFormat="false" ht="15" hidden="false" customHeight="false" outlineLevel="0" collapsed="false">
      <c r="B100" s="73" t="s">
        <v>351</v>
      </c>
      <c r="C100" s="81" t="s">
        <v>907</v>
      </c>
      <c r="D100" s="81"/>
      <c r="E100" s="81"/>
      <c r="F100" s="81"/>
      <c r="G100" s="81"/>
    </row>
  </sheetData>
  <mergeCells count="21">
    <mergeCell ref="C2:G2"/>
    <mergeCell ref="C3:G3"/>
    <mergeCell ref="F13:G15"/>
    <mergeCell ref="C19:G19"/>
    <mergeCell ref="C20:G20"/>
    <mergeCell ref="C25:G25"/>
    <mergeCell ref="C27:G27"/>
    <mergeCell ref="C28:G28"/>
    <mergeCell ref="C34:G34"/>
    <mergeCell ref="C36:G36"/>
    <mergeCell ref="C37:G37"/>
    <mergeCell ref="C62:G62"/>
    <mergeCell ref="C64:G64"/>
    <mergeCell ref="C65:G65"/>
    <mergeCell ref="C73:G73"/>
    <mergeCell ref="C75:G75"/>
    <mergeCell ref="C76:G76"/>
    <mergeCell ref="C90:G90"/>
    <mergeCell ref="C92:G92"/>
    <mergeCell ref="C93:G93"/>
    <mergeCell ref="C100:G100"/>
  </mergeCells>
  <conditionalFormatting sqref="H7:H12">
    <cfRule type="cellIs" priority="2" operator="equal" aboveAverage="0" equalAverage="0" bottom="0" percent="0" rank="0" text="" dxfId="0">
      <formula>"done"</formula>
    </cfRule>
    <cfRule type="cellIs" priority="3" operator="equal" aboveAverage="0" equalAverage="0" bottom="0" percent="0" rank="0" text="" dxfId="1">
      <formula>"started"</formula>
    </cfRule>
  </conditionalFormatting>
  <conditionalFormatting sqref="D19:D400">
    <cfRule type="cellIs" priority="4" operator="equal" aboveAverage="0" equalAverage="0" bottom="0" percent="0" rank="0" text="" dxfId="0">
      <formula>"Y"</formula>
    </cfRule>
  </conditionalFormatting>
  <dataValidations count="15">
    <dataValidation allowBlank="true" errorStyle="stop" operator="between" showDropDown="false" showErrorMessage="false" showInputMessage="false" sqref="D21" type="list">
      <formula1>"1,2,3,4,5"</formula1>
      <formula2>0</formula2>
    </dataValidation>
    <dataValidation allowBlank="true" errorStyle="stop" operator="between" showDropDown="false" showErrorMessage="false" showInputMessage="false" sqref="D24" type="list">
      <formula1>Lists!$U$2:$U$3</formula1>
      <formula2>0</formula2>
    </dataValidation>
    <dataValidation allowBlank="true" errorStyle="stop" operator="between" showDropDown="false" showErrorMessage="false" showInputMessage="false" sqref="D72" type="list">
      <formula1>Lists!$U$2:$U$3</formula1>
      <formula2>0</formula2>
    </dataValidation>
    <dataValidation allowBlank="true" errorStyle="stop" operator="between" showDropDown="false" showErrorMessage="false" showInputMessage="false" sqref="D33" type="list">
      <formula1>Lists!$U$2:$U$3</formula1>
      <formula2>0</formula2>
    </dataValidation>
    <dataValidation allowBlank="true" errorStyle="stop" operator="between" showDropDown="false" showErrorMessage="false" showInputMessage="false" sqref="D60" type="list">
      <formula1>Lists!$U$2:$U$3</formula1>
      <formula2>0</formula2>
    </dataValidation>
    <dataValidation allowBlank="true" errorStyle="stop" operator="between" showDropDown="false" showErrorMessage="false" showInputMessage="false" sqref="D61" type="list">
      <formula1>Lists!$U$2:$U$3</formula1>
      <formula2>0</formula2>
    </dataValidation>
    <dataValidation allowBlank="true" errorStyle="stop" operator="between" showDropDown="false" showErrorMessage="false" showInputMessage="false" sqref="D68" type="list">
      <formula1>Lists!$U$2:$U$3</formula1>
      <formula2>0</formula2>
    </dataValidation>
    <dataValidation allowBlank="true" errorStyle="stop" operator="between" showDropDown="false" showErrorMessage="false" showInputMessage="false" sqref="D69" type="list">
      <formula1>Lists!$U$2:$U$3</formula1>
      <formula2>0</formula2>
    </dataValidation>
    <dataValidation allowBlank="true" errorStyle="stop" operator="between" showDropDown="false" showErrorMessage="false" showInputMessage="false" sqref="D70" type="list">
      <formula1>Lists!$U$2:$U$3</formula1>
      <formula2>0</formula2>
    </dataValidation>
    <dataValidation allowBlank="true" errorStyle="stop" operator="between" showDropDown="false" showErrorMessage="false" showInputMessage="false" sqref="D71" type="list">
      <formula1>Lists!$U$2:$U$3</formula1>
      <formula2>0</formula2>
    </dataValidation>
    <dataValidation allowBlank="true" errorStyle="stop" operator="between" showDropDown="false" showErrorMessage="false" showInputMessage="false" sqref="D89" type="list">
      <formula1>Lists!$U$2:$U$3</formula1>
      <formula2>0</formula2>
    </dataValidation>
    <dataValidation allowBlank="true" errorStyle="stop" operator="between" showDropDown="false" showErrorMessage="false" showInputMessage="false" sqref="D94" type="list">
      <formula1>Lists!$T$2:$T$5</formula1>
      <formula2>0</formula2>
    </dataValidation>
    <dataValidation allowBlank="true" errorStyle="stop" operator="between" showDropDown="false" showErrorMessage="false" showInputMessage="false" sqref="D97" type="list">
      <formula1>Lists!$U$2:$U$3</formula1>
      <formula2>0</formula2>
    </dataValidation>
    <dataValidation allowBlank="true" errorStyle="stop" operator="between" showDropDown="false" showErrorMessage="false" showInputMessage="false" sqref="D98" type="list">
      <formula1>Lists!$U$2:$U$3</formula1>
      <formula2>0</formula2>
    </dataValidation>
    <dataValidation allowBlank="true" errorStyle="stop" operator="between" showDropDown="false" showErrorMessage="false" showInputMessage="false" sqref="D99" type="list">
      <formula1>Lists!$U$2:$U$3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2026-09-26T18:11:50Z</dcterms:created>
  <dc:creator>openpyxl</dc:creator>
  <dc:description/>
  <dc:language>en-US</dc:language>
  <cp:lastModifiedBy/>
  <dcterms:modified xsi:type="dcterms:W3CDTF">2026-09-26T18:11:52Z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