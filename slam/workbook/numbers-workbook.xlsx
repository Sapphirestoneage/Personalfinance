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Numbers" sheetId="2" state="visible" r:id="rId4"/>
    <sheet name="This Month" sheetId="3" state="visible" r:id="rId5"/>
    <sheet name="Levers" sheetId="4" state="visible" r:id="rId6"/>
    <sheet name="Three Futures" sheetId="5" state="visible" r:id="rId7"/>
    <sheet name="Plan" sheetId="6" state="visible" r:id="rId8"/>
    <sheet name="Check-in" sheetId="7" state="visible" r:id="rId9"/>
    <sheet name="Clients" sheetId="8" state="visible" r:id="rId10"/>
    <sheet name="Defini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<sst xmlns="http://schemas.openxmlformats.org/spreadsheetml/2006/main" count="512" uniqueCount="416">
  <si>
    <t xml:space="preserve">SLAM</t>
  </si>
  <si>
    <t xml:space="preserve">Stress Less About Money. How every decision flows to profit, in one workbook.</t>
  </si>
  <si>
    <t xml:space="preserve">Three steps</t>
  </si>
  <si>
    <t xml:space="preserve">1</t>
  </si>
  <si>
    <t xml:space="preserve">Open the My Numbers tab and fill the pink cells.</t>
  </si>
  <si>
    <t xml:space="preserve">Start with just three: contacts last month, how many booked, and your price. Every other pink cell already holds a typical number; change it when you know better.</t>
  </si>
  <si>
    <t xml:space="preserve">2</t>
  </si>
  <si>
    <t xml:space="preserve">Read This Month.</t>
  </si>
  <si>
    <t xml:space="preserve">Your profit, what each business brings, and the one step where the money leaks. Everything on it updates itself.</t>
  </si>
  <si>
    <t xml:space="preserve">3</t>
  </si>
  <si>
    <t xml:space="preserve">Each week, add a row to Check-in.</t>
  </si>
  <si>
    <t xml:space="preserve">Five numbers, one minute. After four weeks the sheet tells you whether your real weeks match the model.</t>
  </si>
  <si>
    <t xml:space="preserve">How to read the cells</t>
  </si>
  <si>
    <t xml:space="preserve">Pink cell</t>
  </si>
  <si>
    <t xml:space="preserve">Yours to type. Nothing else needs touching.</t>
  </si>
  <si>
    <t xml:space="preserve">White cell</t>
  </si>
  <si>
    <t xml:space="preserve">Computed. It updates itself; leave it alone.</t>
  </si>
  <si>
    <t xml:space="preserve">Gold note</t>
  </si>
  <si>
    <t xml:space="preserve">An estimate or a caution the sheet wants you to see.</t>
  </si>
  <si>
    <t xml:space="preserve">Green note</t>
  </si>
  <si>
    <t xml:space="preserve">Good news: on track, or above the goal.</t>
  </si>
  <si>
    <t xml:space="preserve">The tabs</t>
  </si>
  <si>
    <t xml:space="preserve">My Numbers</t>
  </si>
  <si>
    <t xml:space="preserve">Every number you can change, with a typical value and where to find yours.</t>
  </si>
  <si>
    <t xml:space="preserve">This Month</t>
  </si>
  <si>
    <t xml:space="preserve">Profit, gross profit, hours, each business, the bottleneck, and the charts.</t>
  </si>
  <si>
    <t xml:space="preserve">Levers</t>
  </si>
  <si>
    <t xml:space="preserve">What one small move on each number does to your month.</t>
  </si>
  <si>
    <t xml:space="preserve">Three Futures</t>
  </si>
  <si>
    <t xml:space="preserve">Normal, Dream and Disaster side by side, and how long your cash lasts.</t>
  </si>
  <si>
    <t xml:space="preserve">Plan</t>
  </si>
  <si>
    <t xml:space="preserve">What your goal needs, what your offer is worth per hour, and what a client is worth over time.</t>
  </si>
  <si>
    <t xml:space="preserve">Check-in</t>
  </si>
  <si>
    <t xml:space="preserve">One row a week. Four weeks in, the sheet compares your real weeks to the model.</t>
  </si>
  <si>
    <t xml:space="preserve">Clients</t>
  </si>
  <si>
    <t xml:space="preserve">A list of aliases and stages. Never names, never documents.</t>
  </si>
  <si>
    <t xml:space="preserve">Definitions</t>
  </si>
  <si>
    <t xml:space="preserve">Every word and every formula, in plain English.</t>
  </si>
  <si>
    <t xml:space="preserve">Three promises</t>
  </si>
  <si>
    <t xml:space="preserve">Empty is not zero. Leave a pink cell blank and This Month counts the blanks and tells you, rather than quietly treating it as a zero.</t>
  </si>
  <si>
    <t xml:space="preserve">Screening is never a sales step. Nothing here suggests loosening it.</t>
  </si>
  <si>
    <t xml:space="preserve">This file is yours. Keep it somewhere private. Its name says nothing about what you do.</t>
  </si>
  <si>
    <t xml:space="preserve">SLAM gives no legal, tax or investment advice; for those, ask a professional. Some frameworks follow ideas published by Alex Hormozi; SLAM is independent and not affiliated.</t>
  </si>
  <si>
    <t xml:space="preserve">Pink cells are yours. Each one comes with a typical number already in it, so every tab works from the first minute. Change what you know; leave the rest.</t>
  </si>
  <si>
    <t xml:space="preserve">Shared: the numbers every business reads</t>
  </si>
  <si>
    <t xml:space="preserve">What</t>
  </si>
  <si>
    <t xml:space="preserve">Yours</t>
  </si>
  <si>
    <t xml:space="preserve">Typical</t>
  </si>
  <si>
    <t xml:space="preserve">Where to look, and what to do with no idea</t>
  </si>
  <si>
    <t xml:space="preserve">Hours a week you can work (all of it: sessions, messages, posting, admin)</t>
  </si>
  <si>
    <t xml:space="preserve">Think of last week: days worked times hours each. Most land between 20 and 40.</t>
  </si>
  <si>
    <t xml:space="preserve">Days off a week (never zero)</t>
  </si>
  <si>
    <t xml:space="preserve">How many days in the last two weeks were fully off? Two is common.</t>
  </si>
  <si>
    <t xml:space="preserve">Money that leaves every month whether you work or not</t>
  </si>
  <si>
    <t xml:space="preserve">Last month's bank statement: rent for a space, subscriptions, phone, insurance, tools. Guess low rather than skip.</t>
  </si>
  <si>
    <t xml:space="preserve">What you want left for yourself each month</t>
  </si>
  <si>
    <t xml:space="preserve">Your rent and bills plus what you want on top. Start with what makes you feel safe.</t>
  </si>
  <si>
    <t xml:space="preserve">Share to set aside for tax (a reminder line only)</t>
  </si>
  <si>
    <t xml:space="preserve">Ask an accountant for your rate; a quarter is a common placeholder. No tax advice here.</t>
  </si>
  <si>
    <t xml:space="preserve">Cash you could live on if nothing came in</t>
  </si>
  <si>
    <t xml:space="preserve">Savings you could reach this week. Leave empty and Runway says "not yet".</t>
  </si>
  <si>
    <t xml:space="preserve">What an hour of your time is worth to you</t>
  </si>
  <si>
    <t xml:space="preserve">Profit last month divided by hours worked is a fine start. Used to compare a move's hours with its money.</t>
  </si>
  <si>
    <t xml:space="preserve">Money spent finding clients a month (ads, listings, promo)</t>
  </si>
  <si>
    <t xml:space="preserve">Card statement. If you pay nothing to be found, 0 is right.</t>
  </si>
  <si>
    <t xml:space="preserve">Hours a month spent finding clients (posting, replying, listings)</t>
  </si>
  <si>
    <t xml:space="preserve">A normal week times four.</t>
  </si>
  <si>
    <t xml:space="preserve">In person</t>
  </si>
  <si>
    <t xml:space="preserve">Counted? (Yes or No)</t>
  </si>
  <si>
    <t xml:space="preserve">Yes</t>
  </si>
  <si>
    <t xml:space="preserve">No means it leaves every total.</t>
  </si>
  <si>
    <t xml:space="preserve">Priority (1 = your main engine; it gets your hours first)</t>
  </si>
  <si>
    <t xml:space="preserve">Each counted business needs a different number.</t>
  </si>
  <si>
    <t xml:space="preserve">People who contacted you last month</t>
  </si>
  <si>
    <t xml:space="preserve">Inbox, DMs, booking form. Count new names once, before screening. No idea? Count last week and multiply by four.</t>
  </si>
  <si>
    <t xml:space="preserve">Share who pass your screening</t>
  </si>
  <si>
    <t xml:space="preserve">Of the last 10 who contacted you, how many passed? Times 10 is the percent. Your screening is yours; nothing here suggests loosening it.</t>
  </si>
  <si>
    <t xml:space="preserve">Share of screened people who book</t>
  </si>
  <si>
    <t xml:space="preserve">Of the last 10 who passed, how many booked? Type contacts and bookings on This Month if that is easier.</t>
  </si>
  <si>
    <t xml:space="preserve">Share of bookings who turn up</t>
  </si>
  <si>
    <t xml:space="preserve">Of your last 10 bookings, how many happened? 8 or 9 in 10 with a deposit.</t>
  </si>
  <si>
    <t xml:space="preserve">Extra sessions per new client (30% = every 10 new clients bring 3 more sessions)</t>
  </si>
  <si>
    <t xml:space="preserve">Of your last 10 new clients, how many booked again? Times 10 is the percent.</t>
  </si>
  <si>
    <t xml:space="preserve">Most sessions you want in a month (blank = no cap; your hours still cap it)</t>
  </si>
  <si>
    <t xml:space="preserve">Your busiest month you would happily repeat.</t>
  </si>
  <si>
    <t xml:space="preserve">Price of one session</t>
  </si>
  <si>
    <t xml:space="preserve">Your rate card.</t>
  </si>
  <si>
    <t xml:space="preserve">What one session costs you to deliver (space, travel, supplies)</t>
  </si>
  <si>
    <t xml:space="preserve">Think of your last one and what you paid out to make it happen. Guess low.</t>
  </si>
  <si>
    <t xml:space="preserve">Hours one session really takes, all in (prep, travel, the session, recovery, messages)</t>
  </si>
  <si>
    <t xml:space="preserve">Most people undercount. Double what the session itself takes.</t>
  </si>
  <si>
    <t xml:space="preserve">Cut a platform or processor takes from each sale</t>
  </si>
  <si>
    <t xml:space="preserve">Payouts page, or the gap between the price and what lands in your account.</t>
  </si>
  <si>
    <t xml:space="preserve">Add-on offered? (Yes or No)</t>
  </si>
  <si>
    <t xml:space="preserve">Add-on price</t>
  </si>
  <si>
    <t xml:space="preserve">Share of new clients who take the add-on</t>
  </si>
  <si>
    <t xml:space="preserve">Of your last 10 new clients, how many took it?</t>
  </si>
  <si>
    <t xml:space="preserve">Retainer offered? (Yes or No)</t>
  </si>
  <si>
    <t xml:space="preserve">Retainer price a month</t>
  </si>
  <si>
    <t xml:space="preserve">Your arrangement.</t>
  </si>
  <si>
    <t xml:space="preserve">Sessions a month the retainer includes</t>
  </si>
  <si>
    <t xml:space="preserve">Share of new clients who take the retainer</t>
  </si>
  <si>
    <t xml:space="preserve">One in ten is a common start.</t>
  </si>
  <si>
    <t xml:space="preserve">Months a retainer client usually stays</t>
  </si>
  <si>
    <t xml:space="preserve">Think of the last few. How long did they stay?</t>
  </si>
  <si>
    <t xml:space="preserve">Program (several sessions over weeks) as the main offer? (Yes or No)</t>
  </si>
  <si>
    <t xml:space="preserve">No</t>
  </si>
  <si>
    <t xml:space="preserve">Yes turns the funnel into consultations: price, sessions, close rate and hours below apply, and the single session, add-on and retainer are not counted.</t>
  </si>
  <si>
    <t xml:space="preserve">Program price</t>
  </si>
  <si>
    <t xml:space="preserve">Sessions the program includes</t>
  </si>
  <si>
    <t xml:space="preserve">Share of consultations that say yes</t>
  </si>
  <si>
    <t xml:space="preserve">Of your last 10 conversations, how many went ahead?</t>
  </si>
  <si>
    <t xml:space="preserve">What the whole program costs you to deliver</t>
  </si>
  <si>
    <t xml:space="preserve">Cut taken on the program</t>
  </si>
  <si>
    <t xml:space="preserve">Hours the whole program takes, all in</t>
  </si>
  <si>
    <t xml:space="preserve">Content</t>
  </si>
  <si>
    <t xml:space="preserve">Priority</t>
  </si>
  <si>
    <t xml:space="preserve">Followers, all platforms together</t>
  </si>
  <si>
    <t xml:space="preserve">Each app shows it on your profile. Add the two biggest and stop.</t>
  </si>
  <si>
    <t xml:space="preserve">Share of followers who subscribe each month</t>
  </si>
  <si>
    <t xml:space="preserve">New subscribers last month divided by followers.</t>
  </si>
  <si>
    <t xml:space="preserve">Paying subscribers right now</t>
  </si>
  <si>
    <t xml:space="preserve">The app knows; copy the number.</t>
  </si>
  <si>
    <t xml:space="preserve">Share of subscribers who leave each month</t>
  </si>
  <si>
    <t xml:space="preserve">Cancelled this month divided by subscribers. One in five is common.</t>
  </si>
  <si>
    <t xml:space="preserve">Subscription price a month</t>
  </si>
  <si>
    <t xml:space="preserve">Your profile shows it.</t>
  </si>
  <si>
    <t xml:space="preserve">Cut the platform keeps on subscriptions</t>
  </si>
  <si>
    <t xml:space="preserve">20% means you keep 80.</t>
  </si>
  <si>
    <t xml:space="preserve">Customs a month</t>
  </si>
  <si>
    <t xml:space="preserve">Your messages or order list.</t>
  </si>
  <si>
    <t xml:space="preserve">Custom price</t>
  </si>
  <si>
    <t xml:space="preserve">Cut the platform keeps on customs</t>
  </si>
  <si>
    <t xml:space="preserve">Hours one custom takes</t>
  </si>
  <si>
    <t xml:space="preserve">Digital products sold a month</t>
  </si>
  <si>
    <t xml:space="preserve">0 if you do not sell these.</t>
  </si>
  <si>
    <t xml:space="preserve">Digital product price</t>
  </si>
  <si>
    <t xml:space="preserve">What you keep of it</t>
  </si>
  <si>
    <t xml:space="preserve">Hours a month on content, all in</t>
  </si>
  <si>
    <t xml:space="preserve">Calls</t>
  </si>
  <si>
    <t xml:space="preserve">Calls a month (rebooks included)</t>
  </si>
  <si>
    <t xml:space="preserve">Your calendar. Count last week and multiply by four.</t>
  </si>
  <si>
    <t xml:space="preserve">Share who do not show</t>
  </si>
  <si>
    <t xml:space="preserve">Of your last 10 calls, how many did not happen?</t>
  </si>
  <si>
    <t xml:space="preserve">Paid even when they do not show? (Yes or No)</t>
  </si>
  <si>
    <t xml:space="preserve">If people pay before the call, Yes.</t>
  </si>
  <si>
    <t xml:space="preserve">Price per block</t>
  </si>
  <si>
    <t xml:space="preserve">Cut the platform keeps</t>
  </si>
  <si>
    <t xml:space="preserve">Hours one call really takes</t>
  </si>
  <si>
    <t xml:space="preserve">Regulars</t>
  </si>
  <si>
    <t xml:space="preserve">People who send you something every month right now</t>
  </si>
  <si>
    <t xml:space="preserve">Last month's payments grouped by person.</t>
  </si>
  <si>
    <t xml:space="preserve">What a regular sends a month, on average</t>
  </si>
  <si>
    <t xml:space="preserve">Add last month's payments from regulars and divide by how many.</t>
  </si>
  <si>
    <t xml:space="preserve">Cut the processor keeps</t>
  </si>
  <si>
    <t xml:space="preserve">Months a regular usually stays</t>
  </si>
  <si>
    <t xml:space="preserve">Share lost to chargebacks</t>
  </si>
  <si>
    <t xml:space="preserve">Your processor's disputes page. If it has not happened, 0.</t>
  </si>
  <si>
    <t xml:space="preserve">Followers who could send one-off tributes</t>
  </si>
  <si>
    <t xml:space="preserve">Share of followers who send a one-off tribute each month</t>
  </si>
  <si>
    <t xml:space="preserve">New senders last month divided by followers. Small numbers are normal.</t>
  </si>
  <si>
    <t xml:space="preserve">Typical one-off tribute</t>
  </si>
  <si>
    <t xml:space="preserve">Hours a month on this, all in</t>
  </si>
  <si>
    <t xml:space="preserve">Three futures: how far the futures move</t>
  </si>
  <si>
    <t xml:space="preserve">What it means</t>
  </si>
  <si>
    <t xml:space="preserve">Dream: contacts and audience change by</t>
  </si>
  <si>
    <t xml:space="preserve">+30% means 60 contacts become 78.</t>
  </si>
  <si>
    <t xml:space="preserve">Dream: conversion (close rate, follower to subscriber or tribute) changes by</t>
  </si>
  <si>
    <t xml:space="preserve">Never touches screening, booking or show rates.</t>
  </si>
  <si>
    <t xml:space="preserve">Disaster: contacts and audience change by</t>
  </si>
  <si>
    <t xml:space="preserve">Disaster: conversion changes by</t>
  </si>
  <si>
    <t xml:space="preserve">Disaster event: share of contacts that stop if your main source stops</t>
  </si>
  <si>
    <t xml:space="preserve">100% if one source sends everyone.</t>
  </si>
  <si>
    <t xml:space="preserve">Disaster event: price cut in a price war</t>
  </si>
  <si>
    <t xml:space="preserve">Switch on: the source stops? (Yes or No)</t>
  </si>
  <si>
    <t xml:space="preserve">Switch on: price war? (Yes or No)</t>
  </si>
  <si>
    <t xml:space="preserve">Switch on: a month off sick? (Yes or No)</t>
  </si>
  <si>
    <t xml:space="preserve">Sessions, calls and customs stop; subscriptions and regulars continue.</t>
  </si>
  <si>
    <t xml:space="preserve">From your numbers. Every white cell recomputes when a pink cell changes. Charts are on the right.</t>
  </si>
  <si>
    <t xml:space="preserve">The month in four numbers</t>
  </si>
  <si>
    <t xml:space="preserve">Profit this month</t>
  </si>
  <si>
    <t xml:space="preserve">Gross profit</t>
  </si>
  <si>
    <t xml:space="preserve">Sessions (in person)</t>
  </si>
  <si>
    <t xml:space="preserve">Hours used of sellable</t>
  </si>
  <si>
    <t xml:space="preserve">The bottleneck</t>
  </si>
  <si>
    <t xml:space="preserve">Blank pink cells on My Numbers</t>
  </si>
  <si>
    <t xml:space="preserve">Shared hours</t>
  </si>
  <si>
    <t xml:space="preserve">Sellable hours a month (hours a week × 52 ÷ 12)</t>
  </si>
  <si>
    <t xml:space="preserve">Working days a week</t>
  </si>
  <si>
    <t xml:space="preserve">In person: from contacts to sessions</t>
  </si>
  <si>
    <t xml:space="preserve">New clients = contacts × pass × booking × show</t>
  </si>
  <si>
    <t xml:space="preserve">Retainer clients = new clients × retainer take</t>
  </si>
  <si>
    <t xml:space="preserve">Single sessions = (new − retainer clients) × (1 + rebook) + retainer clients' first sessions</t>
  </si>
  <si>
    <t xml:space="preserve">Continuity sessions = retainer clients × sessions a month × months</t>
  </si>
  <si>
    <t xml:space="preserve">Program clients = new clients × close rate (only when the program is the main offer)</t>
  </si>
  <si>
    <t xml:space="preserve">Sessions wanted (demand)</t>
  </si>
  <si>
    <t xml:space="preserve">Hours per session, all in</t>
  </si>
  <si>
    <t xml:space="preserve">Hours the demand would take</t>
  </si>
  <si>
    <t xml:space="preserve">Hours available to in person (after higher-priority businesses)</t>
  </si>
  <si>
    <t xml:space="preserve">Cap from hours = hours available ÷ hours per session</t>
  </si>
  <si>
    <t xml:space="preserve">Cap from your session ceiling</t>
  </si>
  <si>
    <t xml:space="preserve">Capacity = the tighter of the two</t>
  </si>
  <si>
    <t xml:space="preserve">Scale = capacity ÷ demand when demand is above it, else 1</t>
  </si>
  <si>
    <t xml:space="preserve">Sessions this month</t>
  </si>
  <si>
    <t xml:space="preserve">Gross profit per session = price × (1 − cut) − delivery</t>
  </si>
  <si>
    <t xml:space="preserve">From single sessions</t>
  </si>
  <si>
    <t xml:space="preserve">From add-ons = new clients × take × add-on price × (1 − cut)</t>
  </si>
  <si>
    <t xml:space="preserve">From retainers = retainer clients × months × (price × (1 − cut) − sessions × delivery)</t>
  </si>
  <si>
    <t xml:space="preserve">From the program = program clients × (price × (1 − cut) − delivery)</t>
  </si>
  <si>
    <t xml:space="preserve">In person gross profit a month</t>
  </si>
  <si>
    <t xml:space="preserve">In person hours used</t>
  </si>
  <si>
    <t xml:space="preserve">The funnel this month (feeds the chart)</t>
  </si>
  <si>
    <t xml:space="preserve">Gross profit per contact (before any cap)</t>
  </si>
  <si>
    <t xml:space="preserve">Contacts</t>
  </si>
  <si>
    <t xml:space="preserve">Sessions per contact (before any cap)</t>
  </si>
  <si>
    <t xml:space="preserve">Passed</t>
  </si>
  <si>
    <t xml:space="preserve">Booked</t>
  </si>
  <si>
    <t xml:space="preserve">Content, Calls, Regulars</t>
  </si>
  <si>
    <t xml:space="preserve">Showed</t>
  </si>
  <si>
    <t xml:space="preserve">Content: subscriptions = subscribers × price × (1 − cut)</t>
  </si>
  <si>
    <t xml:space="preserve">Sessions</t>
  </si>
  <si>
    <t xml:space="preserve">Content: customs = customs × price × (1 − cut)</t>
  </si>
  <si>
    <t xml:space="preserve">Content: digital = sold × what you keep</t>
  </si>
  <si>
    <t xml:space="preserve">Content gross profit a month, before the hours share</t>
  </si>
  <si>
    <t xml:space="preserve">Content hours wanted</t>
  </si>
  <si>
    <t xml:space="preserve">Content: new subscribers a month = followers × rate</t>
  </si>
  <si>
    <t xml:space="preserve">Content: months a subscriber stays = 1 ÷ churn</t>
  </si>
  <si>
    <t xml:space="preserve">Calls: paid calls = calls × (1 − no-shows that go unpaid)</t>
  </si>
  <si>
    <t xml:space="preserve">Calls gross profit a month, before the hours share = paid calls × price × (1 − cut)</t>
  </si>
  <si>
    <t xml:space="preserve">Calls hours wanted</t>
  </si>
  <si>
    <t xml:space="preserve">Regulars: per regular a month = average × (1 − chargebacks) × (1 − cut)</t>
  </si>
  <si>
    <t xml:space="preserve">Regulars: new one-off tributes = followers × rate × typical × (1 − chargebacks) × (1 − cut)</t>
  </si>
  <si>
    <t xml:space="preserve">Regulars gross profit a month, before the hours share</t>
  </si>
  <si>
    <t xml:space="preserve">Regulars hours wanted</t>
  </si>
  <si>
    <t xml:space="preserve">Hours in priority order (your #1 takes its hours first)</t>
  </si>
  <si>
    <t xml:space="preserve">Rank</t>
  </si>
  <si>
    <t xml:space="preserve">Business</t>
  </si>
  <si>
    <t xml:space="preserve">Hours wanted</t>
  </si>
  <si>
    <t xml:space="preserve">Hours allowed</t>
  </si>
  <si>
    <t xml:space="preserve">Share allowed</t>
  </si>
  <si>
    <t xml:space="preserve">Hours open to it</t>
  </si>
  <si>
    <t xml:space="preserve">helper: business</t>
  </si>
  <si>
    <t xml:space="preserve">priority</t>
  </si>
  <si>
    <t xml:space="preserve">hours wanted</t>
  </si>
  <si>
    <t xml:space="preserve">4</t>
  </si>
  <si>
    <t xml:space="preserve">Each business, counted</t>
  </si>
  <si>
    <t xml:space="preserve">Share</t>
  </si>
  <si>
    <t xml:space="preserve">Hours used</t>
  </si>
  <si>
    <t xml:space="preserve">Note</t>
  </si>
  <si>
    <t xml:space="preserve">Total</t>
  </si>
  <si>
    <t xml:space="preserve">Profit</t>
  </si>
  <si>
    <t xml:space="preserve">Gross profit, all counted businesses</t>
  </si>
  <si>
    <t xml:space="preserve">Fixed costs</t>
  </si>
  <si>
    <t xml:space="preserve">Spent finding clients</t>
  </si>
  <si>
    <t xml:space="preserve">Profit = gross profit − finding clients − fixed costs</t>
  </si>
  <si>
    <t xml:space="preserve">Set aside for tax (a reminder, never advice)</t>
  </si>
  <si>
    <t xml:space="preserve">Yours to keep after the set-aside</t>
  </si>
  <si>
    <t xml:space="preserve">Against your goal (positive = above it)</t>
  </si>
  <si>
    <t xml:space="preserve">The bottleneck: which step is furthest below typical, and what it is worth</t>
  </si>
  <si>
    <t xml:space="preserve">Step</t>
  </si>
  <si>
    <t xml:space="preserve">Worth a month at typical</t>
  </si>
  <si>
    <t xml:space="preserve">Booking rate</t>
  </si>
  <si>
    <t xml:space="preserve">0.4</t>
  </si>
  <si>
    <t xml:space="preserve">Show rate</t>
  </si>
  <si>
    <t xml:space="preserve">0.85</t>
  </si>
  <si>
    <t xml:space="preserve">Rebook rate</t>
  </si>
  <si>
    <t xml:space="preserve">0.3</t>
  </si>
  <si>
    <t xml:space="preserve">Session price</t>
  </si>
  <si>
    <t xml:space="preserve">500</t>
  </si>
  <si>
    <t xml:space="preserve">Screening is not on this list on purpose. Your screening is yours.</t>
  </si>
  <si>
    <t xml:space="preserve">What one small move on each number does to in-person gross profit this month. Biggest first is the one to work on. Screening is not here on purpose.</t>
  </si>
  <si>
    <t xml:space="preserve">Move</t>
  </si>
  <si>
    <t xml:space="preserve">Change a month</t>
  </si>
  <si>
    <t xml:space="preserve">How it is worked out</t>
  </si>
  <si>
    <t xml:space="preserve">Booking rate +1 point</t>
  </si>
  <si>
    <t xml:space="preserve">The booking rate raised by one point, everything else the same.</t>
  </si>
  <si>
    <t xml:space="preserve">Show rate +1 point</t>
  </si>
  <si>
    <t xml:space="preserve">Rebook rate +1 point</t>
  </si>
  <si>
    <t xml:space="preserve">Session price +1%</t>
  </si>
  <si>
    <t xml:space="preserve">Contacts +1%</t>
  </si>
  <si>
    <t xml:space="preserve">Delivery cost −1%</t>
  </si>
  <si>
    <t xml:space="preserve">The biggest single move</t>
  </si>
  <si>
    <t xml:space="preserve">Normal is your numbers as they stand. Dream and Disaster move contacts, audience and conversion by the amounts on My Numbers; the Disaster switches add events. Runway is how many months your cash covers the gap to your goal.</t>
  </si>
  <si>
    <t xml:space="preserve">Disaster</t>
  </si>
  <si>
    <t xml:space="preserve">Normal</t>
  </si>
  <si>
    <t xml:space="preserve">Dream</t>
  </si>
  <si>
    <t xml:space="preserve">Fixed costs and finding clients</t>
  </si>
  <si>
    <t xml:space="preserve">Gap to your goal (negative = short)</t>
  </si>
  <si>
    <t xml:space="preserve">Runway: months your cash covers the gap</t>
  </si>
  <si>
    <t xml:space="preserve">Disaster switches live on My Numbers: the source stops, a price war, a month off sick. Dream adds nothing on top of its multipliers; add your own upside in the pink cells.</t>
  </si>
  <si>
    <t xml:space="preserve">What your goal needs, what your offer is worth per hour of you, and what a client is worth over time against what one costs to find.</t>
  </si>
  <si>
    <t xml:space="preserve">What the goal needs (in person)</t>
  </si>
  <si>
    <t xml:space="preserve">Gross profit needed = goal + fixed costs + finding clients</t>
  </si>
  <si>
    <t xml:space="preserve">Gross profit one contact brings (before any cap)</t>
  </si>
  <si>
    <t xml:space="preserve">Contacts a month the goal needs</t>
  </si>
  <si>
    <t xml:space="preserve">You have</t>
  </si>
  <si>
    <t xml:space="preserve">Sessions that would mean</t>
  </si>
  <si>
    <t xml:space="preserve">Within your capacity?</t>
  </si>
  <si>
    <t xml:space="preserve">Your offer, per hour of you</t>
  </si>
  <si>
    <t xml:space="preserve">Per all-in hour = (price − delivery) ÷ all-in hours</t>
  </si>
  <si>
    <t xml:space="preserve">Program: gross profit per client</t>
  </si>
  <si>
    <t xml:space="preserve">Program: clients a month for the goal, and hours</t>
  </si>
  <si>
    <t xml:space="preserve">The value stack: what a client gets, in dollars, next to the price</t>
  </si>
  <si>
    <t xml:space="preserve">Piece</t>
  </si>
  <si>
    <t xml:space="preserve">Worth to them</t>
  </si>
  <si>
    <t xml:space="preserve">Leave a piece empty if it does not apply</t>
  </si>
  <si>
    <t xml:space="preserve">The core result: what the time itself is worth to them</t>
  </si>
  <si>
    <t xml:space="preserve">Preparation done for them before they arrive</t>
  </si>
  <si>
    <t xml:space="preserve">Aftercare and follow-up</t>
  </si>
  <si>
    <t xml:space="preserve">Priority access or a guaranteed date</t>
  </si>
  <si>
    <t xml:space="preserve">Something only you do</t>
  </si>
  <si>
    <t xml:space="preserve">A bonus that costs you little and means a lot</t>
  </si>
  <si>
    <t xml:space="preserve">The stack adds up to</t>
  </si>
  <si>
    <t xml:space="preserve">Stack ÷ price (3x or more makes the price feel small)</t>
  </si>
  <si>
    <t xml:space="preserve">Price the stack supports at 3x</t>
  </si>
  <si>
    <t xml:space="preserve">Value equation and value stack after Alex Hormozi ($100M Offers). SLAM is independent; no book text is reproduced.</t>
  </si>
  <si>
    <t xml:space="preserve">What a client is worth, against what one costs to find</t>
  </si>
  <si>
    <t xml:space="preserve">Worth over their time = gross profit per session × (1 + rebook)</t>
  </si>
  <si>
    <t xml:space="preserve">Cost to find one = (spend + hours × your hourly value) ÷ new clients</t>
  </si>
  <si>
    <t xml:space="preserve">Worth : cost (aim for 3 : 1 or better)</t>
  </si>
  <si>
    <t xml:space="preserve">Days to pay back = cost ÷ (gross profit per session ÷ 30)</t>
  </si>
  <si>
    <t xml:space="preserve">Worth-to-cost after Alex Hormozi ($100M Leads). SLAM is independent.</t>
  </si>
  <si>
    <t xml:space="preserve">One row a week, one minute. Type the Monday date and what happened. After four rows the sheet compares your real weeks to the model.</t>
  </si>
  <si>
    <t xml:space="preserve">Week of</t>
  </si>
  <si>
    <t xml:space="preserve">Bookings</t>
  </si>
  <si>
    <t xml:space="preserve">Sessions or calls held</t>
  </si>
  <si>
    <t xml:space="preserve">Reach actions (posts, messages)</t>
  </si>
  <si>
    <t xml:space="preserve">Energy 1-5</t>
  </si>
  <si>
    <t xml:space="preserve">Note (keep it plain)</t>
  </si>
  <si>
    <t xml:space="preserve">example row: replace with your own week</t>
  </si>
  <si>
    <t xml:space="preserve">Your last four weeks against the model</t>
  </si>
  <si>
    <t xml:space="preserve">Contacts a week, average of the last four</t>
  </si>
  <si>
    <t xml:space="preserve">That is, a month</t>
  </si>
  <si>
    <t xml:space="preserve">The model assumes</t>
  </si>
  <si>
    <t xml:space="preserve">Gap</t>
  </si>
  <si>
    <t xml:space="preserve">Bookings a week, last four</t>
  </si>
  <si>
    <t xml:space="preserve">Reach actions a week, last four</t>
  </si>
  <si>
    <t xml:space="preserve">Contacts per reach action</t>
  </si>
  <si>
    <t xml:space="preserve">Check-ins saved</t>
  </si>
  <si>
    <t xml:space="preserve">Momentum shows after four check-ins of real numbers. Volume is what moves contacts; consistency beats bursts.</t>
  </si>
  <si>
    <t xml:space="preserve">Aliases only. Never names, documents, photos or addresses. Screening keeps a result, never a reason. Regulars carry an agreed monthly budget; the sheet flags anyone past it.</t>
  </si>
  <si>
    <t xml:space="preserve">Alias</t>
  </si>
  <si>
    <t xml:space="preserve">Stage</t>
  </si>
  <si>
    <t xml:space="preserve">Screening result</t>
  </si>
  <si>
    <t xml:space="preserve">Deposit</t>
  </si>
  <si>
    <t xml:space="preserve">Agreed budget a month</t>
  </si>
  <si>
    <t xml:space="preserve">Sent this month</t>
  </si>
  <si>
    <t xml:space="preserve">Next action</t>
  </si>
  <si>
    <t xml:space="preserve">Blue</t>
  </si>
  <si>
    <t xml:space="preserve">Client</t>
  </si>
  <si>
    <t xml:space="preserve">Paid</t>
  </si>
  <si>
    <t xml:space="preserve">example row: replace with your own</t>
  </si>
  <si>
    <t xml:space="preserve">Fern</t>
  </si>
  <si>
    <t xml:space="preserve">Regular</t>
  </si>
  <si>
    <t xml:space="preserve">None</t>
  </si>
  <si>
    <t xml:space="preserve">past their budget: time for a check-in</t>
  </si>
  <si>
    <t xml:space="preserve">Where everyone is</t>
  </si>
  <si>
    <t xml:space="preserve">Contacted</t>
  </si>
  <si>
    <t xml:space="preserve">Screening</t>
  </si>
  <si>
    <t xml:space="preserve">Lost</t>
  </si>
  <si>
    <t xml:space="preserve">From your log (last 40 rows)</t>
  </si>
  <si>
    <t xml:space="preserve">Contacts logged</t>
  </si>
  <si>
    <t xml:space="preserve">Passed screening</t>
  </si>
  <si>
    <t xml:space="preserve">Booked or further</t>
  </si>
  <si>
    <t xml:space="preserve">Pass rate from your log</t>
  </si>
  <si>
    <t xml:space="preserve">Booking rate from your log</t>
  </si>
  <si>
    <t xml:space="preserve">After ten contacts these can replace the estimates on My Numbers. Copy them across when they look right.</t>
  </si>
  <si>
    <t xml:space="preserve">Every word and every formula in this workbook, in plain English.</t>
  </si>
  <si>
    <t xml:space="preserve">Every new person who reached out in a month, counted once.</t>
  </si>
  <si>
    <t xml:space="preserve">Pass rate</t>
  </si>
  <si>
    <t xml:space="preserve">The share of contacts who pass your screening. Never a sales lever.</t>
  </si>
  <si>
    <t xml:space="preserve">The share of screened people who book.</t>
  </si>
  <si>
    <t xml:space="preserve">The share of bookings who turn up.</t>
  </si>
  <si>
    <t xml:space="preserve">Extra sessions each new client brings over time. 30% = every 10 new clients bring 3 more sessions.</t>
  </si>
  <si>
    <t xml:space="preserve">Take rate</t>
  </si>
  <si>
    <t xml:space="preserve">The share of new clients who add an offer on.</t>
  </si>
  <si>
    <t xml:space="preserve">Price × (1 − cut) − what it cost to deliver, added up.</t>
  </si>
  <si>
    <t xml:space="preserve">Money that leaves every month whether you work or not.</t>
  </si>
  <si>
    <t xml:space="preserve">Gross profit − money spent finding clients − fixed costs.</t>
  </si>
  <si>
    <t xml:space="preserve">All-in hours</t>
  </si>
  <si>
    <t xml:space="preserve">Everything one sale really costs in time: prep, travel, the thing itself, recovery, messages.</t>
  </si>
  <si>
    <t xml:space="preserve">Capacity</t>
  </si>
  <si>
    <t xml:space="preserve">The most sessions a month allows: your session ceiling or your hours ÷ all-in hours, whichever is tighter.</t>
  </si>
  <si>
    <t xml:space="preserve">Runway</t>
  </si>
  <si>
    <t xml:space="preserve">Months your cash covers the gap between profit and your goal.</t>
  </si>
  <si>
    <t xml:space="preserve">A starting number so every tab works from the first minute. Yours replaces it.</t>
  </si>
  <si>
    <t xml:space="preserve">F01</t>
  </si>
  <si>
    <t xml:space="preserve">clients = contacts × pass × booking × show (× close for a program)</t>
  </si>
  <si>
    <t xml:space="preserve">F02</t>
  </si>
  <si>
    <t xml:space="preserve">gross profit per sale = price × (1 − cut) − delivery cost</t>
  </si>
  <si>
    <t xml:space="preserve">F03</t>
  </si>
  <si>
    <t xml:space="preserve">sessions = new clients × (1 + rebook) + retainer sessions</t>
  </si>
  <si>
    <t xml:space="preserve">F04</t>
  </si>
  <si>
    <t xml:space="preserve">sessions never exceed capacity; when they would, everything scales by capacity ÷ demand</t>
  </si>
  <si>
    <t xml:space="preserve">F05</t>
  </si>
  <si>
    <t xml:space="preserve">profit = gross profit − finding clients − fixed costs</t>
  </si>
  <si>
    <t xml:space="preserve">F06</t>
  </si>
  <si>
    <t xml:space="preserve">worth over time = gross profit a month × months kept</t>
  </si>
  <si>
    <t xml:space="preserve">F07</t>
  </si>
  <si>
    <t xml:space="preserve">cost to find one = (spend + hours × hourly value) ÷ new clients</t>
  </si>
  <si>
    <t xml:space="preserve">F08</t>
  </si>
  <si>
    <t xml:space="preserve">worth : cost; payback days = cost ÷ daily gross profit</t>
  </si>
  <si>
    <t xml:space="preserve">F09</t>
  </si>
  <si>
    <t xml:space="preserve">per hour = (price − delivery) ÷ all-in hours</t>
  </si>
  <si>
    <t xml:space="preserve">F10</t>
  </si>
  <si>
    <t xml:space="preserve">contacts needed = (goal + fixed + spend) ÷ gross profit per contact, then the capacity check</t>
  </si>
  <si>
    <t xml:space="preserve">F23</t>
  </si>
  <si>
    <t xml:space="preserve">only counted businesses enter a total; hours go to #1 first, then #2, and so on</t>
  </si>
  <si>
    <t xml:space="preserve">F24</t>
  </si>
  <si>
    <t xml:space="preserve">futures apply their multipliers and switches; runway = cash ÷ monthly gap</t>
  </si>
  <si>
    <t xml:space="preserve">Privacy</t>
  </si>
  <si>
    <t xml:space="preserve">This file holds your numbers in plain text. Keep it somewhere private. Nothing in it names the kind of work.</t>
  </si>
  <si>
    <t xml:space="preserve">Advice</t>
  </si>
  <si>
    <t xml:space="preserve">SLAM gives no legal, tax or investment advice. For those, ask a professional.</t>
  </si>
  <si>
    <t xml:space="preserve">Credit</t>
  </si>
  <si>
    <t xml:space="preserve">The value equation, value stack, volume and worth-to-cost follow ideas published by Alex Hormozi. SLAM is independent and not affiliated; no book text is reproduced.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</si>
</sst>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#,##0;\(#,##0\);\-"/>
    <numFmt numFmtId="167" formatCode="\$#,##0"/>
    <numFmt numFmtId="168" formatCode="\$#,##0;&quot;($&quot;#,##0\);\-"/>
    <numFmt numFmtId="169" formatCode="0%"/>
    <numFmt numFmtId="170" formatCode="0%;\(0%\);\-"/>
    <numFmt numFmtId="171" formatCode="#,##0.0"/>
    <numFmt numFmtId="172" formatCode="#,##0.0;\(#,##0.0\);\-"/>
    <numFmt numFmtId="173" formatCode="0.0%"/>
    <numFmt numFmtId="174" formatCode="0.0%;\(0.0%\);\-"/>
    <numFmt numFmtId="175" formatCode="\$#,##0.00;&quot;($&quot;#,##0.00\);\-"/>
    <numFmt numFmtId="176" formatCode="0.000"/>
    <numFmt numFmtId="177" formatCode="0.0\x"/>
    <numFmt numFmtId="178" formatCode="0.0&quot; : 1&quot;"/>
    <numFmt numFmtId="179" formatCode="yyyy\-mm\-dd"/>
    <numFmt numFmtId="180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Georgia"/>
      <family val="0"/>
      <charset val="1"/>
    </font>
    <font>
      <i val="true"/>
      <sz val="10"/>
      <color rgb="FF85687A"/>
      <name val="Arial"/>
      <family val="0"/>
      <charset val="1"/>
    </font>
    <font>
      <b val="true"/>
      <sz val="13"/>
      <color rgb="FFBE185D"/>
      <name val="Georgia"/>
      <family val="0"/>
      <charset val="1"/>
    </font>
    <font>
      <b val="true"/>
      <sz val="16"/>
      <color rgb="FFBE185D"/>
      <name val="Georgia"/>
      <family val="0"/>
      <charset val="1"/>
    </font>
    <font>
      <b val="true"/>
      <sz val="10"/>
      <color rgb="FF22131D"/>
      <name val="Arial"/>
      <family val="0"/>
      <charset val="1"/>
    </font>
    <font>
      <sz val="10"/>
      <color rgb="FF85687A"/>
      <name val="Arial"/>
      <family val="0"/>
      <charset val="1"/>
    </font>
    <font>
      <b val="true"/>
      <sz val="10"/>
      <color rgb="FFBE185D"/>
      <name val="Arial"/>
      <family val="0"/>
      <charset val="1"/>
    </font>
    <font>
      <b val="true"/>
      <sz val="10"/>
      <color rgb="FF9A6512"/>
      <name val="Arial"/>
      <family val="0"/>
      <charset val="1"/>
    </font>
    <font>
      <b val="true"/>
      <sz val="10"/>
      <color rgb="FF1F6B47"/>
      <name val="Arial"/>
      <family val="0"/>
      <charset val="1"/>
    </font>
    <font>
      <b val="true"/>
      <sz val="9"/>
      <color rgb="FF85687A"/>
      <name val="Arial"/>
      <family val="0"/>
      <charset val="1"/>
    </font>
    <font>
      <sz val="10"/>
      <color rgb="FF22131D"/>
      <name val="Arial"/>
      <family val="0"/>
      <charset val="1"/>
    </font>
    <font>
      <b val="true"/>
      <sz val="11"/>
      <color rgb="FFBE185D"/>
      <name val="Arial"/>
      <family val="0"/>
      <charset val="1"/>
    </font>
    <font>
      <sz val="9"/>
      <color rgb="FF85687A"/>
      <name val="Arial"/>
      <family val="0"/>
      <charset val="1"/>
    </font>
    <font>
      <b val="true"/>
      <sz val="16"/>
      <color rgb="FF1F6B47"/>
      <name val="Arial"/>
      <family val="0"/>
      <charset val="1"/>
    </font>
    <font>
      <sz val="12"/>
      <color rgb="FF22131D"/>
      <name val="Arial"/>
      <family val="0"/>
      <charset val="1"/>
    </font>
    <font>
      <sz val="10"/>
      <color rgb="FF9A6512"/>
      <name val="Arial"/>
      <family val="0"/>
      <charset val="1"/>
    </font>
    <font>
      <b val="true"/>
      <sz val="9"/>
      <color rgb="FFBE185D"/>
      <name val="Arial"/>
      <family val="0"/>
      <charset val="1"/>
    </font>
    <font>
      <sz val="8"/>
      <color rgb="FF85687A"/>
      <name val="Arial"/>
      <family val="0"/>
      <charset val="1"/>
    </font>
    <font>
      <sz val="10"/>
      <color rgb="FF1F6B4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2131D"/>
        <bgColor rgb="FF000000"/>
      </patternFill>
    </fill>
    <fill>
      <patternFill patternType="solid">
        <fgColor rgb="FFFDF2F8"/>
        <bgColor rgb="FFFDF6EC"/>
      </patternFill>
    </fill>
    <fill>
      <patternFill patternType="solid">
        <fgColor rgb="FFFCE7F3"/>
        <bgColor rgb="FFFDF2F8"/>
      </patternFill>
    </fill>
    <fill>
      <patternFill patternType="solid">
        <fgColor rgb="FFFFFFFF"/>
        <bgColor rgb="FFFDF6EC"/>
      </patternFill>
    </fill>
    <fill>
      <patternFill patternType="solid">
        <fgColor rgb="FFFDF6EC"/>
        <bgColor rgb="FFFDF2F8"/>
      </patternFill>
    </fill>
    <fill>
      <patternFill patternType="solid">
        <fgColor rgb="FFE4F3EA"/>
        <bgColor rgb="FFFDF6E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9A8D4"/>
      </bottom>
      <diagonal/>
    </border>
    <border diagonalUp="false" diagonalDown="false">
      <left style="thin">
        <color rgb="FFECDCE6"/>
      </left>
      <right style="thin">
        <color rgb="FFECDCE6"/>
      </right>
      <top style="thin">
        <color rgb="FFECDCE6"/>
      </top>
      <bottom style="thin">
        <color rgb="FFECDCE6"/>
      </bottom>
      <diagonal/>
    </border>
    <border diagonalUp="false" diagonalDown="false">
      <left/>
      <right/>
      <top style="thin">
        <color rgb="FFBE185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A6512"/>
        <sz val="16"/>
      </font>
    </dxf>
    <dxf>
      <font>
        <name val="Arial"/>
        <charset val="1"/>
        <family val="0"/>
        <b val="1"/>
        <color rgb="FF9A6512"/>
        <sz val="11"/>
      </font>
      <fill>
        <patternFill>
          <bgColor rgb="FFFDF6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512"/>
      <rgbColor rgb="FF800080"/>
      <rgbColor rgb="FF1F6B47"/>
      <rgbColor rgb="FFC0C0C0"/>
      <rgbColor rgb="FF878787"/>
      <rgbColor rgb="FF9999FF"/>
      <rgbColor rgb="FFBE185D"/>
      <rgbColor rgb="FFFDF6EC"/>
      <rgbColor rgb="FFE4F3EA"/>
      <rgbColor rgb="FF660066"/>
      <rgbColor rgb="FFF472B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2F8"/>
      <rgbColor rgb="FFECDCE6"/>
      <rgbColor rgb="FFFCE7F3"/>
      <rgbColor rgb="FF99CCFF"/>
      <rgbColor rgb="FFF9A8D4"/>
      <rgbColor rgb="FFCC99FF"/>
      <rgbColor rgb="FFFBCFE8"/>
      <rgbColor rgb="FF4F81BD"/>
      <rgbColor rgb="FF33CCCC"/>
      <rgbColor rgb="FF99CC00"/>
      <rgbColor rgb="FFFFCC00"/>
      <rgbColor rgb="FFFF9900"/>
      <rgbColor rgb="FFFF6600"/>
      <rgbColor rgb="FF85687A"/>
      <rgbColor rgb="FF969696"/>
      <rgbColor rgb="FF003366"/>
      <rgbColor rgb="FF339966"/>
      <rgbColor rgb="FF003300"/>
      <rgbColor rgb="FF333300"/>
      <rgbColor rgb="FF993300"/>
      <rgbColor rgb="FFEC4899"/>
      <rgbColor rgb="FF333399"/>
      <rgbColor rgb="FF2213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gross profit comes from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'This Month'!C64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be18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c489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9a8d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bcfe8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'This Month'!$B$65:$B$68</c:f>
              <c:strCache>
                <c:ptCount val="4"/>
                <c:pt idx="0">
                  <c:v>In person</c:v>
                </c:pt>
                <c:pt idx="1">
                  <c:v>Content</c:v>
                </c:pt>
                <c:pt idx="2">
                  <c:v>Calls</c:v>
                </c:pt>
                <c:pt idx="3">
                  <c:v>Regulars</c:v>
                </c:pt>
              </c:strCache>
            </c:strRef>
          </c:cat>
          <c:val>
            <c:numRef>
              <c:f>'This Month'!$C$65:$C$68</c:f>
              <c:numCache>
                <c:formatCode>\$#,##0;"($"#,##0\);\-</c:formatCode>
                <c:ptCount val="4"/>
                <c:pt idx="0">
                  <c:v>8815.21739130435</c:v>
                </c:pt>
                <c:pt idx="1">
                  <c:v>2600</c:v>
                </c:pt>
                <c:pt idx="2">
                  <c:v>1440</c:v>
                </c:pt>
                <c:pt idx="3">
                  <c:v>1800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month goes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e18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'This Month'!$B$72:$B$75</c:f>
              <c:strCache>
                <c:ptCount val="4"/>
                <c:pt idx="0">
                  <c:v>Gross profit, all counted businesses</c:v>
                </c:pt>
                <c:pt idx="1">
                  <c:v>Fixed costs</c:v>
                </c:pt>
                <c:pt idx="2">
                  <c:v>Spent finding clients</c:v>
                </c:pt>
                <c:pt idx="3">
                  <c:v>Profit = gross profit − finding clients − fixed costs</c:v>
                </c:pt>
              </c:strCache>
            </c:strRef>
          </c:cat>
          <c:val>
            <c:numRef>
              <c:f>'This Month'!$C$72:$C$75</c:f>
              <c:numCache>
                <c:formatCode>\$#,##0;"($"#,##0\);\-</c:formatCode>
                <c:ptCount val="4"/>
                <c:pt idx="0">
                  <c:v>14655.2173913043</c:v>
                </c:pt>
                <c:pt idx="1">
                  <c:v>-1500</c:v>
                </c:pt>
                <c:pt idx="2">
                  <c:v>-0</c:v>
                </c:pt>
                <c:pt idx="3">
                  <c:v>13155.2173913043</c:v>
                </c:pt>
              </c:numCache>
            </c:numRef>
          </c:val>
        </c:ser>
        <c:gapWidth val="150"/>
        <c:overlap val="0"/>
        <c:axId val="12676768"/>
        <c:axId val="34299535"/>
      </c:barChart>
      <c:catAx>
        <c:axId val="126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99535"/>
        <c:crosses val="autoZero"/>
        <c:auto val="1"/>
        <c:lblAlgn val="ctr"/>
        <c:lblOffset val="100"/>
        <c:noMultiLvlLbl val="0"/>
      </c:catAx>
      <c:valAx>
        <c:axId val="34299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76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From contacts to sessions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472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'This Month'!$M$37:$M$41</c:f>
              <c:strCache>
                <c:ptCount val="5"/>
                <c:pt idx="0">
                  <c:v>Contacts</c:v>
                </c:pt>
                <c:pt idx="1">
                  <c:v>Passed</c:v>
                </c:pt>
                <c:pt idx="2">
                  <c:v>Booked</c:v>
                </c:pt>
                <c:pt idx="3">
                  <c:v>Showed</c:v>
                </c:pt>
                <c:pt idx="4">
                  <c:v>Sessions</c:v>
                </c:pt>
              </c:strCache>
            </c:strRef>
          </c:cat>
          <c:val>
            <c:numRef>
              <c:f>'This Month'!$N$37:$N$41</c:f>
              <c:numCache>
                <c:formatCode>#,##0.0;\(#,##0.0\);\-</c:formatCode>
                <c:ptCount val="5"/>
                <c:pt idx="0">
                  <c:v>60</c:v>
                </c:pt>
                <c:pt idx="1">
                  <c:v>30</c:v>
                </c:pt>
                <c:pt idx="2">
                  <c:v>12</c:v>
                </c:pt>
                <c:pt idx="3">
                  <c:v>10.2</c:v>
                </c:pt>
                <c:pt idx="4">
                  <c:v>18</c:v>
                </c:pt>
              </c:numCache>
            </c:numRef>
          </c:val>
        </c:ser>
        <c:gapWidth val="150"/>
        <c:overlap val="0"/>
        <c:axId val="40305625"/>
        <c:axId val="98425240"/>
      </c:barChart>
      <c:catAx>
        <c:axId val="403056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25240"/>
        <c:crosses val="autoZero"/>
        <c:auto val="1"/>
        <c:lblAlgn val="ctr"/>
        <c:lblOffset val="100"/>
        <c:noMultiLvlLbl val="0"/>
      </c:catAx>
      <c:valAx>
        <c:axId val="98425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056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in gross profit a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e18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Levers!$B$5:$B$10</c:f>
              <c:strCache>
                <c:ptCount val="6"/>
                <c:pt idx="0">
                  <c:v>Booking rate +1 point</c:v>
                </c:pt>
                <c:pt idx="1">
                  <c:v>Show rate +1 point</c:v>
                </c:pt>
                <c:pt idx="2">
                  <c:v>Rebook rate +1 point</c:v>
                </c:pt>
                <c:pt idx="3">
                  <c:v>Session price +1%</c:v>
                </c:pt>
                <c:pt idx="4">
                  <c:v>Contacts +1%</c:v>
                </c:pt>
                <c:pt idx="5">
                  <c:v>Delivery cost −1%</c:v>
                </c:pt>
              </c:strCache>
            </c:strRef>
          </c:cat>
          <c:val>
            <c:numRef>
              <c:f>Levers!$C$5:$C$10</c:f>
              <c:numCache>
                <c:formatCode>\$#,##0;"($"#,##0\);\-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-8.94033502729144</c:v>
                </c:pt>
                <c:pt idx="3">
                  <c:v>52.45652173913</c:v>
                </c:pt>
                <c:pt idx="4">
                  <c:v>0</c:v>
                </c:pt>
                <c:pt idx="5">
                  <c:v>18</c:v>
                </c:pt>
              </c:numCache>
            </c:numRef>
          </c:val>
        </c:ser>
        <c:gapWidth val="150"/>
        <c:overlap val="0"/>
        <c:axId val="11772483"/>
        <c:axId val="13918382"/>
      </c:barChart>
      <c:catAx>
        <c:axId val="11772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18382"/>
        <c:crosses val="autoZero"/>
        <c:auto val="1"/>
        <c:lblAlgn val="ctr"/>
        <c:lblOffset val="100"/>
        <c:noMultiLvlLbl val="0"/>
      </c:catAx>
      <c:valAx>
        <c:axId val="13918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72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a month in each future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e18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'Three Futures'!$C$4:$E$4</c:f>
              <c:strCache>
                <c:ptCount val="3"/>
                <c:pt idx="0">
                  <c:v>Disaster</c:v>
                </c:pt>
                <c:pt idx="1">
                  <c:v>Normal</c:v>
                </c:pt>
                <c:pt idx="2">
                  <c:v>Dream</c:v>
                </c:pt>
              </c:strCache>
            </c:strRef>
          </c:cat>
          <c:val>
            <c:numRef>
              <c:f>'Three Futures'!$C$11:$E$11</c:f>
              <c:numCache>
                <c:formatCode>\$#,##0;"($"#,##0\);\-</c:formatCode>
                <c:ptCount val="3"/>
                <c:pt idx="0">
                  <c:v>8208.15</c:v>
                </c:pt>
                <c:pt idx="1">
                  <c:v>13155.2173913043</c:v>
                </c:pt>
                <c:pt idx="2">
                  <c:v>14907.2173913043</c:v>
                </c:pt>
              </c:numCache>
            </c:numRef>
          </c:val>
        </c:ser>
        <c:gapWidth val="150"/>
        <c:overlap val="0"/>
        <c:axId val="63261194"/>
        <c:axId val="48368772"/>
      </c:barChart>
      <c:catAx>
        <c:axId val="63261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68772"/>
        <c:crosses val="autoZero"/>
        <c:auto val="1"/>
        <c:lblAlgn val="ctr"/>
        <c:lblOffset val="100"/>
        <c:noMultiLvlLbl val="0"/>
      </c:catAx>
      <c:valAx>
        <c:axId val="48368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61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Each business in each future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'Three Futures'!B5</c:f>
              <c:strCache>
                <c:ptCount val="1"/>
                <c:pt idx="0">
                  <c:v>In person</c:v>
                </c:pt>
              </c:strCache>
            </c:strRef>
          </c:tx>
          <c:spPr>
            <a:solidFill>
              <a:srgbClr val="be185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'Three Futures'!$C$4:$E$4</c:f>
              <c:strCache>
                <c:ptCount val="3"/>
                <c:pt idx="0">
                  <c:v>Disaster</c:v>
                </c:pt>
                <c:pt idx="1">
                  <c:v>Normal</c:v>
                </c:pt>
                <c:pt idx="2">
                  <c:v>Dream</c:v>
                </c:pt>
              </c:strCache>
            </c:strRef>
          </c:cat>
          <c:val>
            <c:numRef>
              <c:f>'Three Futures'!$C$5:$E$5</c:f>
              <c:numCache>
                <c:formatCode>\$#,##0;"($"#,##0\);\-</c:formatCode>
                <c:ptCount val="3"/>
                <c:pt idx="0">
                  <c:v>6204.15</c:v>
                </c:pt>
                <c:pt idx="1">
                  <c:v>8815.21739130435</c:v>
                </c:pt>
                <c:pt idx="2">
                  <c:v>8815.21739130435</c:v>
                </c:pt>
              </c:numCache>
            </c:numRef>
          </c:val>
        </c:ser>
        <c:ser>
          <c:idx val="1"/>
          <c:order val="1"/>
          <c:tx>
            <c:strRef>
              <c:f>'Three Futures'!B6</c:f>
              <c:strCache>
                <c:ptCount val="1"/>
                <c:pt idx="0">
                  <c:v>Content</c:v>
                </c:pt>
              </c:strCache>
            </c:strRef>
          </c:tx>
          <c:spPr>
            <a:solidFill>
              <a:srgbClr val="ec489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'Three Futures'!$C$4:$E$4</c:f>
              <c:strCache>
                <c:ptCount val="3"/>
                <c:pt idx="0">
                  <c:v>Disaster</c:v>
                </c:pt>
                <c:pt idx="1">
                  <c:v>Normal</c:v>
                </c:pt>
                <c:pt idx="2">
                  <c:v>Dream</c:v>
                </c:pt>
              </c:strCache>
            </c:strRef>
          </c:cat>
          <c:val>
            <c:numRef>
              <c:f>'Three Futures'!$C$6:$E$6</c:f>
              <c:numCache>
                <c:formatCode>\$#,##0;"($"#,##0\);\-</c:formatCode>
                <c:ptCount val="3"/>
                <c:pt idx="0">
                  <c:v>1560</c:v>
                </c:pt>
                <c:pt idx="1">
                  <c:v>2600</c:v>
                </c:pt>
                <c:pt idx="2">
                  <c:v>3380</c:v>
                </c:pt>
              </c:numCache>
            </c:numRef>
          </c:val>
        </c:ser>
        <c:ser>
          <c:idx val="2"/>
          <c:order val="2"/>
          <c:tx>
            <c:strRef>
              <c:f>'Three Futures'!B7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rgbClr val="f9a8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'Three Futures'!$C$4:$E$4</c:f>
              <c:strCache>
                <c:ptCount val="3"/>
                <c:pt idx="0">
                  <c:v>Disaster</c:v>
                </c:pt>
                <c:pt idx="1">
                  <c:v>Normal</c:v>
                </c:pt>
                <c:pt idx="2">
                  <c:v>Dream</c:v>
                </c:pt>
              </c:strCache>
            </c:strRef>
          </c:cat>
          <c:val>
            <c:numRef>
              <c:f>'Three Futures'!$C$7:$E$7</c:f>
              <c:numCache>
                <c:formatCode>\$#,##0;"($"#,##0\);\-</c:formatCode>
                <c:ptCount val="3"/>
                <c:pt idx="0">
                  <c:v>864</c:v>
                </c:pt>
                <c:pt idx="1">
                  <c:v>1440</c:v>
                </c:pt>
                <c:pt idx="2">
                  <c:v>1872</c:v>
                </c:pt>
              </c:numCache>
            </c:numRef>
          </c:val>
        </c:ser>
        <c:ser>
          <c:idx val="3"/>
          <c:order val="3"/>
          <c:tx>
            <c:strRef>
              <c:f>'Three Futures'!B8</c:f>
              <c:strCache>
                <c:ptCount val="1"/>
                <c:pt idx="0">
                  <c:v>Regulars</c:v>
                </c:pt>
              </c:strCache>
            </c:strRef>
          </c:tx>
          <c:spPr>
            <a:solidFill>
              <a:srgbClr val="fbcfe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'Three Futures'!$C$4:$E$4</c:f>
              <c:strCache>
                <c:ptCount val="3"/>
                <c:pt idx="0">
                  <c:v>Disaster</c:v>
                </c:pt>
                <c:pt idx="1">
                  <c:v>Normal</c:v>
                </c:pt>
                <c:pt idx="2">
                  <c:v>Dream</c:v>
                </c:pt>
              </c:strCache>
            </c:strRef>
          </c:cat>
          <c:val>
            <c:numRef>
              <c:f>'Three Futures'!$C$8:$E$8</c:f>
              <c:numCache>
                <c:formatCode>\$#,##0;"($"#,##0\);\-</c:formatCode>
                <c:ptCount val="3"/>
                <c:pt idx="0">
                  <c:v>1080</c:v>
                </c:pt>
                <c:pt idx="1">
                  <c:v>1800</c:v>
                </c:pt>
                <c:pt idx="2">
                  <c:v>2340</c:v>
                </c:pt>
              </c:numCache>
            </c:numRef>
          </c:val>
        </c:ser>
        <c:gapWidth val="150"/>
        <c:overlap val="100"/>
        <c:axId val="55457619"/>
        <c:axId val="22475425"/>
      </c:barChart>
      <c:catAx>
        <c:axId val="55457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75425"/>
        <c:crosses val="autoZero"/>
        <c:auto val="1"/>
        <c:lblAlgn val="ctr"/>
        <c:lblOffset val="100"/>
        <c:noMultiLvlLbl val="0"/>
      </c:catAx>
      <c:valAx>
        <c:axId val="22475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57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value stack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472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Plan!$B$20:$B$25</c:f>
              <c:strCache>
                <c:ptCount val="6"/>
                <c:pt idx="0">
                  <c:v>The core result: what the time itself is worth to them</c:v>
                </c:pt>
                <c:pt idx="1">
                  <c:v>Preparation done for them before they arrive</c:v>
                </c:pt>
                <c:pt idx="2">
                  <c:v>Aftercare and follow-up</c:v>
                </c:pt>
                <c:pt idx="3">
                  <c:v>Priority access or a guaranteed date</c:v>
                </c:pt>
                <c:pt idx="4">
                  <c:v>Something only you do</c:v>
                </c:pt>
                <c:pt idx="5">
                  <c:v>A bonus that costs you little and means a lot</c:v>
                </c:pt>
              </c:strCache>
            </c:strRef>
          </c:cat>
          <c:val>
            <c:numRef>
              <c:f>Plan!$C$20:$C$25</c:f>
              <c:numCache>
                <c:formatCode>\$#,##0</c:formatCode>
                <c:ptCount val="6"/>
                <c:pt idx="0">
                  <c:v>800</c:v>
                </c:pt>
                <c:pt idx="1">
                  <c:v>200</c:v>
                </c:pt>
                <c:pt idx="2">
                  <c:v>150</c:v>
                </c:pt>
                <c:pt idx="3">
                  <c:v>300</c:v>
                </c:pt>
                <c:pt idx="4">
                  <c:v>400</c:v>
                </c:pt>
                <c:pt idx="5">
                  <c:v>100</c:v>
                </c:pt>
              </c:numCache>
            </c:numRef>
          </c:val>
        </c:ser>
        <c:gapWidth val="150"/>
        <c:overlap val="0"/>
        <c:axId val="2640507"/>
        <c:axId val="35028762"/>
      </c:barChart>
      <c:catAx>
        <c:axId val="2640507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28762"/>
        <c:crosses val="autoZero"/>
        <c:auto val="1"/>
        <c:lblAlgn val="ctr"/>
        <c:lblOffset val="100"/>
        <c:noMultiLvlLbl val="0"/>
      </c:catAx>
      <c:valAx>
        <c:axId val="35028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0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Contacts and bookings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'Check-in'!C4</c:f>
              <c:strCache>
                <c:ptCount val="1"/>
                <c:pt idx="0">
                  <c:v>Contacts</c:v>
                </c:pt>
              </c:strCache>
            </c:strRef>
          </c:tx>
          <c:spPr>
            <a:solidFill>
              <a:srgbClr val="be185d"/>
            </a:solidFill>
            <a:ln w="28440">
              <a:solidFill>
                <a:srgbClr val="be185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'Check-in'!$B$5:$B$30</c:f>
              <c:strCache>
                <c:ptCount val="26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</c:strCache>
            </c:strRef>
          </c:cat>
          <c:val>
            <c:numRef>
              <c:f>'Check-in'!$C$5:$C$30</c:f>
              <c:numCache>
                <c:formatCode>#,##0</c:formatCode>
                <c:ptCount val="2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'Check-in'!D4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f9a8d4"/>
            </a:solidFill>
            <a:ln w="28440">
              <a:solidFill>
                <a:srgbClr val="f9a8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'Check-in'!$B$5:$B$30</c:f>
              <c:strCache>
                <c:ptCount val="26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</c:strCache>
            </c:strRef>
          </c:cat>
          <c:val>
            <c:numRef>
              <c:f>'Check-in'!$D$5:$D$30</c:f>
              <c:numCache>
                <c:formatCode>#,##0</c:formatCode>
                <c:ptCount val="26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3907"/>
        <c:axId val="75770239"/>
      </c:lineChart>
      <c:catAx>
        <c:axId val="10390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70239"/>
        <c:crosses val="autoZero"/>
        <c:auto val="1"/>
        <c:lblAlgn val="ctr"/>
        <c:lblOffset val="100"/>
        <c:noMultiLvlLbl val="0"/>
      </c:catAx>
      <c:valAx>
        <c:axId val="75770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14</xdr:col>
      <xdr:colOff>668520</xdr:colOff>
      <xdr:row>14</xdr:row>
      <xdr:rowOff>77760</xdr:rowOff>
    </xdr:to>
    <xdr:graphicFrame>
      <xdr:nvGraphicFramePr>
        <xdr:cNvPr id="0" name="Chart 1"/>
        <xdr:cNvGraphicFramePr/>
      </xdr:nvGraphicFramePr>
      <xdr:xfrm>
        <a:off x="11023560" y="10000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18360</xdr:rowOff>
    </xdr:from>
    <xdr:to>
      <xdr:col>14</xdr:col>
      <xdr:colOff>668520</xdr:colOff>
      <xdr:row>31</xdr:row>
      <xdr:rowOff>16920</xdr:rowOff>
    </xdr:to>
    <xdr:graphicFrame>
      <xdr:nvGraphicFramePr>
        <xdr:cNvPr id="1" name="Chart 2"/>
        <xdr:cNvGraphicFramePr/>
      </xdr:nvGraphicFramePr>
      <xdr:xfrm>
        <a:off x="11023560" y="46292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174600</xdr:rowOff>
    </xdr:from>
    <xdr:to>
      <xdr:col>14</xdr:col>
      <xdr:colOff>668520</xdr:colOff>
      <xdr:row>45</xdr:row>
      <xdr:rowOff>58680</xdr:rowOff>
    </xdr:to>
    <xdr:graphicFrame>
      <xdr:nvGraphicFramePr>
        <xdr:cNvPr id="2" name="Chart 3"/>
        <xdr:cNvGraphicFramePr/>
      </xdr:nvGraphicFramePr>
      <xdr:xfrm>
        <a:off x="11023560" y="7677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78120</xdr:rowOff>
    </xdr:from>
    <xdr:to>
      <xdr:col>2</xdr:col>
      <xdr:colOff>1483560</xdr:colOff>
      <xdr:row>28</xdr:row>
      <xdr:rowOff>110880</xdr:rowOff>
    </xdr:to>
    <xdr:graphicFrame>
      <xdr:nvGraphicFramePr>
        <xdr:cNvPr id="3" name="Chart 1"/>
        <xdr:cNvGraphicFramePr/>
      </xdr:nvGraphicFramePr>
      <xdr:xfrm>
        <a:off x="355680" y="3838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2</xdr:col>
      <xdr:colOff>1123560</xdr:colOff>
      <xdr:row>30</xdr:row>
      <xdr:rowOff>32760</xdr:rowOff>
    </xdr:to>
    <xdr:graphicFrame>
      <xdr:nvGraphicFramePr>
        <xdr:cNvPr id="4" name="Chart 1"/>
        <xdr:cNvGraphicFramePr/>
      </xdr:nvGraphicFramePr>
      <xdr:xfrm>
        <a:off x="355680" y="38005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1123560</xdr:colOff>
      <xdr:row>46</xdr:row>
      <xdr:rowOff>32760</xdr:rowOff>
    </xdr:to>
    <xdr:graphicFrame>
      <xdr:nvGraphicFramePr>
        <xdr:cNvPr id="5" name="Chart 2"/>
        <xdr:cNvGraphicFramePr/>
      </xdr:nvGraphicFramePr>
      <xdr:xfrm>
        <a:off x="355680" y="68486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0</xdr:rowOff>
    </xdr:from>
    <xdr:to>
      <xdr:col>11</xdr:col>
      <xdr:colOff>169920</xdr:colOff>
      <xdr:row>24</xdr:row>
      <xdr:rowOff>176400</xdr:rowOff>
    </xdr:to>
    <xdr:graphicFrame>
      <xdr:nvGraphicFramePr>
        <xdr:cNvPr id="6" name="Chart 1"/>
        <xdr:cNvGraphicFramePr/>
      </xdr:nvGraphicFramePr>
      <xdr:xfrm>
        <a:off x="9956880" y="3371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447840</xdr:colOff>
      <xdr:row>16</xdr:row>
      <xdr:rowOff>89640</xdr:rowOff>
    </xdr:to>
    <xdr:graphicFrame>
      <xdr:nvGraphicFramePr>
        <xdr:cNvPr id="7" name="Chart 1"/>
        <xdr:cNvGraphicFramePr/>
      </xdr:nvGraphicFramePr>
      <xdr:xfrm>
        <a:off x="10537920" y="10000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131D"/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4" min="3" style="0" width="30"/>
    <col collapsed="false" customWidth="true" hidden="false" outlineLevel="0" max="6" min="5" style="0" width="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43.5" hidden="false" customHeight="true" outlineLevel="0" collapsed="false">
      <c r="A5" s="5" t="s">
        <v>3</v>
      </c>
      <c r="B5" s="6" t="s">
        <v>4</v>
      </c>
      <c r="C5" s="7" t="s">
        <v>5</v>
      </c>
      <c r="D5" s="7"/>
    </row>
    <row r="6" customFormat="false" ht="43.5" hidden="false" customHeight="true" outlineLevel="0" collapsed="false">
      <c r="A6" s="5" t="s">
        <v>6</v>
      </c>
      <c r="B6" s="6" t="s">
        <v>7</v>
      </c>
      <c r="C6" s="7" t="s">
        <v>8</v>
      </c>
      <c r="D6" s="7"/>
    </row>
    <row r="7" customFormat="false" ht="43.5" hidden="false" customHeight="true" outlineLevel="0" collapsed="false">
      <c r="A7" s="5" t="s">
        <v>9</v>
      </c>
      <c r="B7" s="6" t="s">
        <v>10</v>
      </c>
      <c r="C7" s="7" t="s">
        <v>11</v>
      </c>
      <c r="D7" s="7"/>
    </row>
    <row r="9" customFormat="false" ht="24" hidden="false" customHeight="true" outlineLevel="0" collapsed="false">
      <c r="A9" s="3" t="s">
        <v>12</v>
      </c>
      <c r="B9" s="4"/>
      <c r="C9" s="4"/>
      <c r="D9" s="4"/>
      <c r="E9" s="4"/>
      <c r="F9" s="4"/>
    </row>
    <row r="10" customFormat="false" ht="21.75" hidden="false" customHeight="true" outlineLevel="0" collapsed="false">
      <c r="B10" s="8" t="s">
        <v>13</v>
      </c>
      <c r="C10" s="7" t="s">
        <v>14</v>
      </c>
      <c r="D10" s="7"/>
    </row>
    <row r="11" customFormat="false" ht="21.75" hidden="false" customHeight="true" outlineLevel="0" collapsed="false">
      <c r="B11" s="9" t="s">
        <v>15</v>
      </c>
      <c r="C11" s="7" t="s">
        <v>16</v>
      </c>
      <c r="D11" s="7"/>
    </row>
    <row r="12" customFormat="false" ht="21.75" hidden="false" customHeight="true" outlineLevel="0" collapsed="false">
      <c r="B12" s="10" t="s">
        <v>17</v>
      </c>
      <c r="C12" s="7" t="s">
        <v>18</v>
      </c>
      <c r="D12" s="7"/>
    </row>
    <row r="13" customFormat="false" ht="21.75" hidden="false" customHeight="true" outlineLevel="0" collapsed="false">
      <c r="B13" s="11" t="s">
        <v>19</v>
      </c>
      <c r="C13" s="7" t="s">
        <v>20</v>
      </c>
      <c r="D13" s="7"/>
    </row>
    <row r="15" customFormat="false" ht="24" hidden="false" customHeight="true" outlineLevel="0" collapsed="false">
      <c r="A15" s="3" t="s">
        <v>21</v>
      </c>
      <c r="B15" s="4"/>
      <c r="C15" s="4"/>
      <c r="D15" s="4"/>
      <c r="E15" s="4"/>
      <c r="F15" s="4"/>
    </row>
    <row r="16" customFormat="false" ht="30" hidden="false" customHeight="true" outlineLevel="0" collapsed="false">
      <c r="B16" s="6" t="s">
        <v>22</v>
      </c>
      <c r="C16" s="7" t="s">
        <v>23</v>
      </c>
      <c r="D16" s="7"/>
    </row>
    <row r="17" customFormat="false" ht="30" hidden="false" customHeight="true" outlineLevel="0" collapsed="false">
      <c r="B17" s="6" t="s">
        <v>24</v>
      </c>
      <c r="C17" s="7" t="s">
        <v>25</v>
      </c>
      <c r="D17" s="7"/>
    </row>
    <row r="18" customFormat="false" ht="30" hidden="false" customHeight="true" outlineLevel="0" collapsed="false">
      <c r="B18" s="6" t="s">
        <v>26</v>
      </c>
      <c r="C18" s="7" t="s">
        <v>27</v>
      </c>
      <c r="D18" s="7"/>
    </row>
    <row r="19" customFormat="false" ht="30" hidden="false" customHeight="true" outlineLevel="0" collapsed="false">
      <c r="B19" s="6" t="s">
        <v>28</v>
      </c>
      <c r="C19" s="7" t="s">
        <v>29</v>
      </c>
      <c r="D19" s="7"/>
    </row>
    <row r="20" customFormat="false" ht="30" hidden="false" customHeight="true" outlineLevel="0" collapsed="false">
      <c r="B20" s="6" t="s">
        <v>30</v>
      </c>
      <c r="C20" s="7" t="s">
        <v>31</v>
      </c>
      <c r="D20" s="7"/>
    </row>
    <row r="21" customFormat="false" ht="30" hidden="false" customHeight="true" outlineLevel="0" collapsed="false">
      <c r="B21" s="6" t="s">
        <v>32</v>
      </c>
      <c r="C21" s="7" t="s">
        <v>33</v>
      </c>
      <c r="D21" s="7"/>
    </row>
    <row r="22" customFormat="false" ht="30" hidden="false" customHeight="true" outlineLevel="0" collapsed="false">
      <c r="B22" s="6" t="s">
        <v>34</v>
      </c>
      <c r="C22" s="7" t="s">
        <v>35</v>
      </c>
      <c r="D22" s="7"/>
    </row>
    <row r="23" customFormat="false" ht="30" hidden="false" customHeight="true" outlineLevel="0" collapsed="false">
      <c r="B23" s="6" t="s">
        <v>36</v>
      </c>
      <c r="C23" s="7" t="s">
        <v>37</v>
      </c>
      <c r="D23" s="7"/>
    </row>
    <row r="25" customFormat="false" ht="24" hidden="false" customHeight="true" outlineLevel="0" collapsed="false">
      <c r="A25" s="3" t="s">
        <v>38</v>
      </c>
      <c r="B25" s="4"/>
      <c r="C25" s="4"/>
      <c r="D25" s="4"/>
      <c r="E25" s="4"/>
      <c r="F25" s="4"/>
    </row>
    <row r="26" customFormat="false" ht="30" hidden="false" customHeight="true" outlineLevel="0" collapsed="false">
      <c r="B26" s="7" t="s">
        <v>39</v>
      </c>
      <c r="C26" s="7"/>
      <c r="D26" s="7"/>
    </row>
    <row r="27" customFormat="false" ht="30" hidden="false" customHeight="true" outlineLevel="0" collapsed="false">
      <c r="B27" s="7" t="s">
        <v>40</v>
      </c>
      <c r="C27" s="7"/>
      <c r="D27" s="7"/>
    </row>
    <row r="28" customFormat="false" ht="30" hidden="false" customHeight="true" outlineLevel="0" collapsed="false">
      <c r="B28" s="7" t="s">
        <v>41</v>
      </c>
      <c r="C28" s="7"/>
      <c r="D28" s="7"/>
    </row>
    <row r="30" customFormat="false" ht="39.75" hidden="false" customHeight="true" outlineLevel="0" collapsed="false">
      <c r="B30" s="7" t="s">
        <v>42</v>
      </c>
      <c r="C30" s="7"/>
      <c r="D30" s="7"/>
    </row>
  </sheetData>
  <mergeCells count="21">
    <mergeCell ref="A1:F1"/>
    <mergeCell ref="A2:F2"/>
    <mergeCell ref="C5:D5"/>
    <mergeCell ref="C6:D6"/>
    <mergeCell ref="C7:D7"/>
    <mergeCell ref="C10:D10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22:D22"/>
    <mergeCell ref="C23:D23"/>
    <mergeCell ref="B26:D26"/>
    <mergeCell ref="B27:D27"/>
    <mergeCell ref="B28:D28"/>
    <mergeCell ref="B30:D30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E185D"/>
    <pageSetUpPr fitToPage="true"/>
  </sheetPr>
  <dimension ref="A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8"/>
    <col collapsed="false" customWidth="true" hidden="false" outlineLevel="0" max="6" min="6" style="0" width="4"/>
  </cols>
  <sheetData>
    <row r="1" customFormat="false" ht="33.75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43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44</v>
      </c>
      <c r="B4" s="4"/>
      <c r="C4" s="4"/>
      <c r="D4" s="4"/>
      <c r="E4" s="4"/>
      <c r="F4" s="4"/>
    </row>
    <row r="5" customFormat="false" ht="25.5" hidden="false" customHeight="true" outlineLevel="0" collapsed="false">
      <c r="A5" s="12"/>
      <c r="B5" s="12" t="s">
        <v>45</v>
      </c>
      <c r="C5" s="12" t="s">
        <v>46</v>
      </c>
      <c r="D5" s="12" t="s">
        <v>47</v>
      </c>
      <c r="E5" s="12" t="s">
        <v>48</v>
      </c>
    </row>
    <row r="6" customFormat="false" ht="30" hidden="false" customHeight="true" outlineLevel="0" collapsed="false">
      <c r="B6" s="13" t="s">
        <v>49</v>
      </c>
      <c r="C6" s="14" t="n">
        <v>40</v>
      </c>
      <c r="D6" s="15" t="n">
        <v>30</v>
      </c>
      <c r="E6" s="16" t="s">
        <v>50</v>
      </c>
    </row>
    <row r="7" customFormat="false" ht="30" hidden="false" customHeight="true" outlineLevel="0" collapsed="false">
      <c r="B7" s="13" t="s">
        <v>51</v>
      </c>
      <c r="C7" s="14" t="n">
        <v>2</v>
      </c>
      <c r="D7" s="15" t="n">
        <v>2</v>
      </c>
      <c r="E7" s="16" t="s">
        <v>52</v>
      </c>
    </row>
    <row r="8" customFormat="false" ht="30" hidden="false" customHeight="true" outlineLevel="0" collapsed="false">
      <c r="B8" s="13" t="s">
        <v>53</v>
      </c>
      <c r="C8" s="17" t="n">
        <v>1500</v>
      </c>
      <c r="D8" s="18" t="n">
        <v>1500</v>
      </c>
      <c r="E8" s="16" t="s">
        <v>54</v>
      </c>
    </row>
    <row r="9" customFormat="false" ht="30" hidden="false" customHeight="true" outlineLevel="0" collapsed="false">
      <c r="B9" s="13" t="s">
        <v>55</v>
      </c>
      <c r="C9" s="17" t="n">
        <v>10000</v>
      </c>
      <c r="D9" s="18" t="n">
        <v>6000</v>
      </c>
      <c r="E9" s="16" t="s">
        <v>56</v>
      </c>
    </row>
    <row r="10" customFormat="false" ht="30" hidden="false" customHeight="true" outlineLevel="0" collapsed="false">
      <c r="B10" s="13" t="s">
        <v>57</v>
      </c>
      <c r="C10" s="19" t="n">
        <v>0.25</v>
      </c>
      <c r="D10" s="20" t="n">
        <v>0.25</v>
      </c>
      <c r="E10" s="16" t="s">
        <v>58</v>
      </c>
    </row>
    <row r="11" customFormat="false" ht="30" hidden="false" customHeight="true" outlineLevel="0" collapsed="false">
      <c r="B11" s="13" t="s">
        <v>59</v>
      </c>
      <c r="C11" s="17" t="n">
        <v>9000</v>
      </c>
      <c r="D11" s="18"/>
      <c r="E11" s="16" t="s">
        <v>60</v>
      </c>
    </row>
    <row r="12" customFormat="false" ht="30" hidden="false" customHeight="true" outlineLevel="0" collapsed="false">
      <c r="B12" s="13" t="s">
        <v>61</v>
      </c>
      <c r="C12" s="17" t="n">
        <v>100</v>
      </c>
      <c r="D12" s="18" t="n">
        <v>100</v>
      </c>
      <c r="E12" s="16" t="s">
        <v>62</v>
      </c>
    </row>
    <row r="13" customFormat="false" ht="30" hidden="false" customHeight="true" outlineLevel="0" collapsed="false">
      <c r="B13" s="13" t="s">
        <v>63</v>
      </c>
      <c r="C13" s="17" t="n">
        <v>0</v>
      </c>
      <c r="D13" s="18" t="n">
        <v>0</v>
      </c>
      <c r="E13" s="16" t="s">
        <v>64</v>
      </c>
    </row>
    <row r="14" customFormat="false" ht="30" hidden="false" customHeight="true" outlineLevel="0" collapsed="false">
      <c r="B14" s="13" t="s">
        <v>65</v>
      </c>
      <c r="C14" s="14" t="n">
        <v>0</v>
      </c>
      <c r="D14" s="15" t="n">
        <v>10</v>
      </c>
      <c r="E14" s="16" t="s">
        <v>66</v>
      </c>
    </row>
    <row r="16" customFormat="false" ht="24" hidden="false" customHeight="true" outlineLevel="0" collapsed="false">
      <c r="A16" s="3" t="s">
        <v>67</v>
      </c>
      <c r="B16" s="4"/>
      <c r="C16" s="4"/>
      <c r="D16" s="4"/>
      <c r="E16" s="4"/>
      <c r="F16" s="4"/>
    </row>
    <row r="17" customFormat="false" ht="25.5" hidden="false" customHeight="true" outlineLevel="0" collapsed="false">
      <c r="A17" s="12"/>
      <c r="B17" s="12" t="s">
        <v>45</v>
      </c>
      <c r="C17" s="12" t="s">
        <v>46</v>
      </c>
      <c r="D17" s="12" t="s">
        <v>47</v>
      </c>
      <c r="E17" s="12" t="s">
        <v>48</v>
      </c>
    </row>
    <row r="18" customFormat="false" ht="30" hidden="false" customHeight="true" outlineLevel="0" collapsed="false">
      <c r="B18" s="13" t="s">
        <v>68</v>
      </c>
      <c r="C18" s="21" t="s">
        <v>69</v>
      </c>
      <c r="D18" s="22" t="s">
        <v>69</v>
      </c>
      <c r="E18" s="16" t="s">
        <v>70</v>
      </c>
    </row>
    <row r="19" customFormat="false" ht="30" hidden="false" customHeight="true" outlineLevel="0" collapsed="false">
      <c r="B19" s="13" t="s">
        <v>71</v>
      </c>
      <c r="C19" s="14" t="n">
        <v>1</v>
      </c>
      <c r="D19" s="15" t="n">
        <v>1</v>
      </c>
      <c r="E19" s="16" t="s">
        <v>72</v>
      </c>
    </row>
    <row r="20" customFormat="false" ht="30" hidden="false" customHeight="true" outlineLevel="0" collapsed="false">
      <c r="B20" s="13" t="s">
        <v>73</v>
      </c>
      <c r="C20" s="14" t="n">
        <v>60</v>
      </c>
      <c r="D20" s="15" t="n">
        <v>60</v>
      </c>
      <c r="E20" s="16" t="s">
        <v>74</v>
      </c>
    </row>
    <row r="21" customFormat="false" ht="30" hidden="false" customHeight="true" outlineLevel="0" collapsed="false">
      <c r="B21" s="13" t="s">
        <v>75</v>
      </c>
      <c r="C21" s="19" t="n">
        <v>0.5</v>
      </c>
      <c r="D21" s="20" t="n">
        <v>0.5</v>
      </c>
      <c r="E21" s="16" t="s">
        <v>76</v>
      </c>
    </row>
    <row r="22" customFormat="false" ht="30" hidden="false" customHeight="true" outlineLevel="0" collapsed="false">
      <c r="B22" s="13" t="s">
        <v>77</v>
      </c>
      <c r="C22" s="19" t="n">
        <v>0.4</v>
      </c>
      <c r="D22" s="20" t="n">
        <v>0.4</v>
      </c>
      <c r="E22" s="16" t="s">
        <v>78</v>
      </c>
    </row>
    <row r="23" customFormat="false" ht="30" hidden="false" customHeight="true" outlineLevel="0" collapsed="false">
      <c r="B23" s="13" t="s">
        <v>79</v>
      </c>
      <c r="C23" s="19" t="n">
        <v>0.85</v>
      </c>
      <c r="D23" s="20" t="n">
        <v>0.85</v>
      </c>
      <c r="E23" s="16" t="s">
        <v>80</v>
      </c>
    </row>
    <row r="24" customFormat="false" ht="30" hidden="false" customHeight="true" outlineLevel="0" collapsed="false">
      <c r="B24" s="13" t="s">
        <v>81</v>
      </c>
      <c r="C24" s="19" t="n">
        <v>0.3</v>
      </c>
      <c r="D24" s="20" t="n">
        <v>0.3</v>
      </c>
      <c r="E24" s="16" t="s">
        <v>82</v>
      </c>
    </row>
    <row r="25" customFormat="false" ht="30" hidden="false" customHeight="true" outlineLevel="0" collapsed="false">
      <c r="B25" s="13" t="s">
        <v>83</v>
      </c>
      <c r="C25" s="14" t="n">
        <v>18</v>
      </c>
      <c r="D25" s="15"/>
      <c r="E25" s="16" t="s">
        <v>84</v>
      </c>
    </row>
    <row r="26" customFormat="false" ht="30" hidden="false" customHeight="true" outlineLevel="0" collapsed="false">
      <c r="B26" s="13" t="s">
        <v>85</v>
      </c>
      <c r="C26" s="17" t="n">
        <v>500</v>
      </c>
      <c r="D26" s="18" t="n">
        <v>500</v>
      </c>
      <c r="E26" s="16" t="s">
        <v>86</v>
      </c>
    </row>
    <row r="27" customFormat="false" ht="30" hidden="false" customHeight="true" outlineLevel="0" collapsed="false">
      <c r="B27" s="13" t="s">
        <v>87</v>
      </c>
      <c r="C27" s="17" t="n">
        <v>100</v>
      </c>
      <c r="D27" s="18" t="n">
        <v>100</v>
      </c>
      <c r="E27" s="16" t="s">
        <v>88</v>
      </c>
    </row>
    <row r="28" customFormat="false" ht="30" hidden="false" customHeight="true" outlineLevel="0" collapsed="false">
      <c r="B28" s="13" t="s">
        <v>89</v>
      </c>
      <c r="C28" s="23" t="n">
        <v>4</v>
      </c>
      <c r="D28" s="24" t="n">
        <v>4</v>
      </c>
      <c r="E28" s="16" t="s">
        <v>90</v>
      </c>
    </row>
    <row r="29" customFormat="false" ht="30" hidden="false" customHeight="true" outlineLevel="0" collapsed="false">
      <c r="B29" s="13" t="s">
        <v>91</v>
      </c>
      <c r="C29" s="19" t="n">
        <v>0.05</v>
      </c>
      <c r="D29" s="20" t="n">
        <v>0.05</v>
      </c>
      <c r="E29" s="16" t="s">
        <v>92</v>
      </c>
    </row>
    <row r="30" customFormat="false" ht="30" hidden="false" customHeight="true" outlineLevel="0" collapsed="false">
      <c r="B30" s="13" t="s">
        <v>93</v>
      </c>
      <c r="C30" s="21" t="s">
        <v>69</v>
      </c>
      <c r="D30" s="22" t="s">
        <v>69</v>
      </c>
      <c r="E30" s="16"/>
    </row>
    <row r="31" customFormat="false" ht="30" hidden="false" customHeight="true" outlineLevel="0" collapsed="false">
      <c r="B31" s="13" t="s">
        <v>94</v>
      </c>
      <c r="C31" s="17" t="n">
        <v>200</v>
      </c>
      <c r="D31" s="18" t="n">
        <v>200</v>
      </c>
      <c r="E31" s="16" t="s">
        <v>86</v>
      </c>
    </row>
    <row r="32" customFormat="false" ht="30" hidden="false" customHeight="true" outlineLevel="0" collapsed="false">
      <c r="B32" s="13" t="s">
        <v>95</v>
      </c>
      <c r="C32" s="19" t="n">
        <v>0.25</v>
      </c>
      <c r="D32" s="20" t="n">
        <v>0.25</v>
      </c>
      <c r="E32" s="16" t="s">
        <v>96</v>
      </c>
    </row>
    <row r="33" customFormat="false" ht="30" hidden="false" customHeight="true" outlineLevel="0" collapsed="false">
      <c r="B33" s="13" t="s">
        <v>97</v>
      </c>
      <c r="C33" s="21" t="s">
        <v>69</v>
      </c>
      <c r="D33" s="22" t="s">
        <v>69</v>
      </c>
      <c r="E33" s="16"/>
    </row>
    <row r="34" customFormat="false" ht="30" hidden="false" customHeight="true" outlineLevel="0" collapsed="false">
      <c r="B34" s="13" t="s">
        <v>98</v>
      </c>
      <c r="C34" s="17" t="n">
        <v>1500</v>
      </c>
      <c r="D34" s="18" t="n">
        <v>1500</v>
      </c>
      <c r="E34" s="16" t="s">
        <v>99</v>
      </c>
    </row>
    <row r="35" customFormat="false" ht="30" hidden="false" customHeight="true" outlineLevel="0" collapsed="false">
      <c r="B35" s="13" t="s">
        <v>100</v>
      </c>
      <c r="C35" s="14" t="n">
        <v>2</v>
      </c>
      <c r="D35" s="15" t="n">
        <v>2</v>
      </c>
      <c r="E35" s="16"/>
    </row>
    <row r="36" customFormat="false" ht="30" hidden="false" customHeight="true" outlineLevel="0" collapsed="false">
      <c r="B36" s="13" t="s">
        <v>101</v>
      </c>
      <c r="C36" s="19" t="n">
        <v>0.1</v>
      </c>
      <c r="D36" s="20" t="n">
        <v>0.1</v>
      </c>
      <c r="E36" s="16" t="s">
        <v>102</v>
      </c>
    </row>
    <row r="37" customFormat="false" ht="30" hidden="false" customHeight="true" outlineLevel="0" collapsed="false">
      <c r="B37" s="13" t="s">
        <v>103</v>
      </c>
      <c r="C37" s="14" t="n">
        <v>4</v>
      </c>
      <c r="D37" s="15" t="n">
        <v>4</v>
      </c>
      <c r="E37" s="16" t="s">
        <v>104</v>
      </c>
    </row>
    <row r="38" customFormat="false" ht="30" hidden="false" customHeight="true" outlineLevel="0" collapsed="false">
      <c r="B38" s="13" t="s">
        <v>105</v>
      </c>
      <c r="C38" s="21" t="s">
        <v>106</v>
      </c>
      <c r="D38" s="22" t="s">
        <v>106</v>
      </c>
      <c r="E38" s="16" t="s">
        <v>107</v>
      </c>
    </row>
    <row r="39" customFormat="false" ht="30" hidden="false" customHeight="true" outlineLevel="0" collapsed="false">
      <c r="B39" s="13" t="s">
        <v>108</v>
      </c>
      <c r="C39" s="17" t="n">
        <v>3000</v>
      </c>
      <c r="D39" s="18" t="n">
        <v>3000</v>
      </c>
      <c r="E39" s="16"/>
    </row>
    <row r="40" customFormat="false" ht="30" hidden="false" customHeight="true" outlineLevel="0" collapsed="false">
      <c r="B40" s="13" t="s">
        <v>109</v>
      </c>
      <c r="C40" s="14" t="n">
        <v>4</v>
      </c>
      <c r="D40" s="15" t="n">
        <v>4</v>
      </c>
      <c r="E40" s="16"/>
    </row>
    <row r="41" customFormat="false" ht="30" hidden="false" customHeight="true" outlineLevel="0" collapsed="false">
      <c r="B41" s="13" t="s">
        <v>110</v>
      </c>
      <c r="C41" s="19" t="n">
        <v>0.4</v>
      </c>
      <c r="D41" s="20" t="n">
        <v>0.4</v>
      </c>
      <c r="E41" s="16" t="s">
        <v>111</v>
      </c>
    </row>
    <row r="42" customFormat="false" ht="30" hidden="false" customHeight="true" outlineLevel="0" collapsed="false">
      <c r="B42" s="13" t="s">
        <v>112</v>
      </c>
      <c r="C42" s="17" t="n">
        <v>400</v>
      </c>
      <c r="D42" s="18" t="n">
        <v>400</v>
      </c>
      <c r="E42" s="16"/>
    </row>
    <row r="43" customFormat="false" ht="30" hidden="false" customHeight="true" outlineLevel="0" collapsed="false">
      <c r="B43" s="13" t="s">
        <v>113</v>
      </c>
      <c r="C43" s="19" t="n">
        <v>0.05</v>
      </c>
      <c r="D43" s="20" t="n">
        <v>0.05</v>
      </c>
      <c r="E43" s="16"/>
    </row>
    <row r="44" customFormat="false" ht="30" hidden="false" customHeight="true" outlineLevel="0" collapsed="false">
      <c r="B44" s="13" t="s">
        <v>114</v>
      </c>
      <c r="C44" s="23" t="n">
        <v>14</v>
      </c>
      <c r="D44" s="24" t="n">
        <v>14</v>
      </c>
      <c r="E44" s="16"/>
    </row>
    <row r="46" customFormat="false" ht="24" hidden="false" customHeight="true" outlineLevel="0" collapsed="false">
      <c r="A46" s="3" t="s">
        <v>115</v>
      </c>
      <c r="B46" s="4"/>
      <c r="C46" s="4"/>
      <c r="D46" s="4"/>
      <c r="E46" s="4"/>
      <c r="F46" s="4"/>
    </row>
    <row r="47" customFormat="false" ht="25.5" hidden="false" customHeight="true" outlineLevel="0" collapsed="false">
      <c r="A47" s="12"/>
      <c r="B47" s="12" t="s">
        <v>45</v>
      </c>
      <c r="C47" s="12" t="s">
        <v>46</v>
      </c>
      <c r="D47" s="12" t="s">
        <v>47</v>
      </c>
      <c r="E47" s="12" t="s">
        <v>48</v>
      </c>
    </row>
    <row r="48" customFormat="false" ht="30" hidden="false" customHeight="true" outlineLevel="0" collapsed="false">
      <c r="B48" s="13" t="s">
        <v>68</v>
      </c>
      <c r="C48" s="21" t="s">
        <v>69</v>
      </c>
      <c r="D48" s="22" t="s">
        <v>69</v>
      </c>
      <c r="E48" s="16"/>
    </row>
    <row r="49" customFormat="false" ht="30" hidden="false" customHeight="true" outlineLevel="0" collapsed="false">
      <c r="B49" s="13" t="s">
        <v>116</v>
      </c>
      <c r="C49" s="14" t="n">
        <v>2</v>
      </c>
      <c r="D49" s="15" t="n">
        <v>2</v>
      </c>
      <c r="E49" s="16"/>
    </row>
    <row r="50" customFormat="false" ht="30" hidden="false" customHeight="true" outlineLevel="0" collapsed="false">
      <c r="B50" s="13" t="s">
        <v>117</v>
      </c>
      <c r="C50" s="14" t="n">
        <v>5000</v>
      </c>
      <c r="D50" s="15" t="n">
        <v>5000</v>
      </c>
      <c r="E50" s="16" t="s">
        <v>118</v>
      </c>
    </row>
    <row r="51" customFormat="false" ht="30" hidden="false" customHeight="true" outlineLevel="0" collapsed="false">
      <c r="B51" s="13" t="s">
        <v>119</v>
      </c>
      <c r="C51" s="25" t="n">
        <v>0.01</v>
      </c>
      <c r="D51" s="26" t="n">
        <v>0.01</v>
      </c>
      <c r="E51" s="16" t="s">
        <v>120</v>
      </c>
    </row>
    <row r="52" customFormat="false" ht="30" hidden="false" customHeight="true" outlineLevel="0" collapsed="false">
      <c r="B52" s="13" t="s">
        <v>121</v>
      </c>
      <c r="C52" s="14" t="n">
        <v>150</v>
      </c>
      <c r="D52" s="15" t="n">
        <v>150</v>
      </c>
      <c r="E52" s="16" t="s">
        <v>122</v>
      </c>
    </row>
    <row r="53" customFormat="false" ht="30" hidden="false" customHeight="true" outlineLevel="0" collapsed="false">
      <c r="B53" s="13" t="s">
        <v>123</v>
      </c>
      <c r="C53" s="19" t="n">
        <v>0.2</v>
      </c>
      <c r="D53" s="20" t="n">
        <v>0.2</v>
      </c>
      <c r="E53" s="16" t="s">
        <v>124</v>
      </c>
    </row>
    <row r="54" customFormat="false" ht="30" hidden="false" customHeight="true" outlineLevel="0" collapsed="false">
      <c r="B54" s="13" t="s">
        <v>125</v>
      </c>
      <c r="C54" s="17" t="n">
        <v>15</v>
      </c>
      <c r="D54" s="18" t="n">
        <v>15</v>
      </c>
      <c r="E54" s="16" t="s">
        <v>126</v>
      </c>
    </row>
    <row r="55" customFormat="false" ht="30" hidden="false" customHeight="true" outlineLevel="0" collapsed="false">
      <c r="B55" s="13" t="s">
        <v>127</v>
      </c>
      <c r="C55" s="19" t="n">
        <v>0.2</v>
      </c>
      <c r="D55" s="20" t="n">
        <v>0.2</v>
      </c>
      <c r="E55" s="16" t="s">
        <v>128</v>
      </c>
    </row>
    <row r="56" customFormat="false" ht="30" hidden="false" customHeight="true" outlineLevel="0" collapsed="false">
      <c r="B56" s="13" t="s">
        <v>129</v>
      </c>
      <c r="C56" s="14" t="n">
        <v>10</v>
      </c>
      <c r="D56" s="15" t="n">
        <v>10</v>
      </c>
      <c r="E56" s="16" t="s">
        <v>130</v>
      </c>
    </row>
    <row r="57" customFormat="false" ht="30" hidden="false" customHeight="true" outlineLevel="0" collapsed="false">
      <c r="B57" s="13" t="s">
        <v>131</v>
      </c>
      <c r="C57" s="17" t="n">
        <v>100</v>
      </c>
      <c r="D57" s="18" t="n">
        <v>100</v>
      </c>
      <c r="E57" s="16"/>
    </row>
    <row r="58" customFormat="false" ht="30" hidden="false" customHeight="true" outlineLevel="0" collapsed="false">
      <c r="B58" s="13" t="s">
        <v>132</v>
      </c>
      <c r="C58" s="19" t="n">
        <v>0.2</v>
      </c>
      <c r="D58" s="20" t="n">
        <v>0.2</v>
      </c>
      <c r="E58" s="16"/>
    </row>
    <row r="59" customFormat="false" ht="30" hidden="false" customHeight="true" outlineLevel="0" collapsed="false">
      <c r="B59" s="13" t="s">
        <v>133</v>
      </c>
      <c r="C59" s="23" t="n">
        <v>1</v>
      </c>
      <c r="D59" s="24" t="n">
        <v>1</v>
      </c>
      <c r="E59" s="16"/>
    </row>
    <row r="60" customFormat="false" ht="30" hidden="false" customHeight="true" outlineLevel="0" collapsed="false">
      <c r="B60" s="13" t="s">
        <v>134</v>
      </c>
      <c r="C60" s="14" t="n">
        <v>0</v>
      </c>
      <c r="D60" s="15" t="n">
        <v>0</v>
      </c>
      <c r="E60" s="16" t="s">
        <v>135</v>
      </c>
    </row>
    <row r="61" customFormat="false" ht="30" hidden="false" customHeight="true" outlineLevel="0" collapsed="false">
      <c r="B61" s="13" t="s">
        <v>136</v>
      </c>
      <c r="C61" s="17" t="n">
        <v>150</v>
      </c>
      <c r="D61" s="18" t="n">
        <v>150</v>
      </c>
      <c r="E61" s="16"/>
    </row>
    <row r="62" customFormat="false" ht="30" hidden="false" customHeight="true" outlineLevel="0" collapsed="false">
      <c r="B62" s="13" t="s">
        <v>137</v>
      </c>
      <c r="C62" s="17" t="n">
        <v>140</v>
      </c>
      <c r="D62" s="18" t="n">
        <v>140</v>
      </c>
      <c r="E62" s="16"/>
    </row>
    <row r="63" customFormat="false" ht="30" hidden="false" customHeight="true" outlineLevel="0" collapsed="false">
      <c r="B63" s="13" t="s">
        <v>138</v>
      </c>
      <c r="C63" s="14" t="n">
        <v>40</v>
      </c>
      <c r="D63" s="15" t="n">
        <v>40</v>
      </c>
      <c r="E63" s="16" t="s">
        <v>66</v>
      </c>
    </row>
    <row r="65" customFormat="false" ht="24" hidden="false" customHeight="true" outlineLevel="0" collapsed="false">
      <c r="A65" s="3" t="s">
        <v>139</v>
      </c>
      <c r="B65" s="4"/>
      <c r="C65" s="4"/>
      <c r="D65" s="4"/>
      <c r="E65" s="4"/>
      <c r="F65" s="4"/>
    </row>
    <row r="66" customFormat="false" ht="25.5" hidden="false" customHeight="true" outlineLevel="0" collapsed="false">
      <c r="A66" s="12"/>
      <c r="B66" s="12" t="s">
        <v>45</v>
      </c>
      <c r="C66" s="12" t="s">
        <v>46</v>
      </c>
      <c r="D66" s="12" t="s">
        <v>47</v>
      </c>
      <c r="E66" s="12" t="s">
        <v>48</v>
      </c>
    </row>
    <row r="67" customFormat="false" ht="30" hidden="false" customHeight="true" outlineLevel="0" collapsed="false">
      <c r="B67" s="13" t="s">
        <v>68</v>
      </c>
      <c r="C67" s="21" t="s">
        <v>69</v>
      </c>
      <c r="D67" s="22" t="s">
        <v>69</v>
      </c>
      <c r="E67" s="16"/>
    </row>
    <row r="68" customFormat="false" ht="30" hidden="false" customHeight="true" outlineLevel="0" collapsed="false">
      <c r="B68" s="13" t="s">
        <v>116</v>
      </c>
      <c r="C68" s="14" t="n">
        <v>3</v>
      </c>
      <c r="D68" s="15" t="n">
        <v>3</v>
      </c>
      <c r="E68" s="16"/>
    </row>
    <row r="69" customFormat="false" ht="30" hidden="false" customHeight="true" outlineLevel="0" collapsed="false">
      <c r="B69" s="13" t="s">
        <v>140</v>
      </c>
      <c r="C69" s="14" t="n">
        <v>8</v>
      </c>
      <c r="D69" s="15" t="n">
        <v>8</v>
      </c>
      <c r="E69" s="16" t="s">
        <v>141</v>
      </c>
    </row>
    <row r="70" customFormat="false" ht="30" hidden="false" customHeight="true" outlineLevel="0" collapsed="false">
      <c r="B70" s="13" t="s">
        <v>142</v>
      </c>
      <c r="C70" s="19" t="n">
        <v>0</v>
      </c>
      <c r="D70" s="20" t="n">
        <v>0.1</v>
      </c>
      <c r="E70" s="16" t="s">
        <v>143</v>
      </c>
    </row>
    <row r="71" customFormat="false" ht="30" hidden="false" customHeight="true" outlineLevel="0" collapsed="false">
      <c r="B71" s="13" t="s">
        <v>144</v>
      </c>
      <c r="C71" s="21" t="s">
        <v>106</v>
      </c>
      <c r="D71" s="22" t="s">
        <v>69</v>
      </c>
      <c r="E71" s="16" t="s">
        <v>145</v>
      </c>
    </row>
    <row r="72" customFormat="false" ht="30" hidden="false" customHeight="true" outlineLevel="0" collapsed="false">
      <c r="B72" s="13" t="s">
        <v>146</v>
      </c>
      <c r="C72" s="17" t="n">
        <v>200</v>
      </c>
      <c r="D72" s="18" t="n">
        <v>200</v>
      </c>
      <c r="E72" s="16"/>
    </row>
    <row r="73" customFormat="false" ht="30" hidden="false" customHeight="true" outlineLevel="0" collapsed="false">
      <c r="B73" s="13" t="s">
        <v>147</v>
      </c>
      <c r="C73" s="19" t="n">
        <v>0.1</v>
      </c>
      <c r="D73" s="20" t="n">
        <v>0.1</v>
      </c>
      <c r="E73" s="16"/>
    </row>
    <row r="74" customFormat="false" ht="30" hidden="false" customHeight="true" outlineLevel="0" collapsed="false">
      <c r="B74" s="13" t="s">
        <v>148</v>
      </c>
      <c r="C74" s="23" t="n">
        <v>1</v>
      </c>
      <c r="D74" s="24" t="n">
        <v>1</v>
      </c>
      <c r="E74" s="16"/>
    </row>
    <row r="76" customFormat="false" ht="24" hidden="false" customHeight="true" outlineLevel="0" collapsed="false">
      <c r="A76" s="3" t="s">
        <v>149</v>
      </c>
      <c r="B76" s="4"/>
      <c r="C76" s="4"/>
      <c r="D76" s="4"/>
      <c r="E76" s="4"/>
      <c r="F76" s="4"/>
    </row>
    <row r="77" customFormat="false" ht="25.5" hidden="false" customHeight="true" outlineLevel="0" collapsed="false">
      <c r="A77" s="12"/>
      <c r="B77" s="12" t="s">
        <v>45</v>
      </c>
      <c r="C77" s="12" t="s">
        <v>46</v>
      </c>
      <c r="D77" s="12" t="s">
        <v>47</v>
      </c>
      <c r="E77" s="12" t="s">
        <v>48</v>
      </c>
    </row>
    <row r="78" customFormat="false" ht="30" hidden="false" customHeight="true" outlineLevel="0" collapsed="false">
      <c r="B78" s="13" t="s">
        <v>68</v>
      </c>
      <c r="C78" s="21" t="s">
        <v>69</v>
      </c>
      <c r="D78" s="22" t="s">
        <v>69</v>
      </c>
      <c r="E78" s="16"/>
    </row>
    <row r="79" customFormat="false" ht="30" hidden="false" customHeight="true" outlineLevel="0" collapsed="false">
      <c r="B79" s="13" t="s">
        <v>116</v>
      </c>
      <c r="C79" s="14" t="n">
        <v>4</v>
      </c>
      <c r="D79" s="15" t="n">
        <v>4</v>
      </c>
      <c r="E79" s="16"/>
    </row>
    <row r="80" customFormat="false" ht="30" hidden="false" customHeight="true" outlineLevel="0" collapsed="false">
      <c r="B80" s="13" t="s">
        <v>150</v>
      </c>
      <c r="C80" s="14" t="n">
        <v>4</v>
      </c>
      <c r="D80" s="15" t="n">
        <v>4</v>
      </c>
      <c r="E80" s="16" t="s">
        <v>151</v>
      </c>
    </row>
    <row r="81" customFormat="false" ht="30" hidden="false" customHeight="true" outlineLevel="0" collapsed="false">
      <c r="B81" s="13" t="s">
        <v>152</v>
      </c>
      <c r="C81" s="17" t="n">
        <v>500</v>
      </c>
      <c r="D81" s="18" t="n">
        <v>500</v>
      </c>
      <c r="E81" s="16" t="s">
        <v>153</v>
      </c>
    </row>
    <row r="82" customFormat="false" ht="30" hidden="false" customHeight="true" outlineLevel="0" collapsed="false">
      <c r="B82" s="13" t="s">
        <v>154</v>
      </c>
      <c r="C82" s="19" t="n">
        <v>0.1</v>
      </c>
      <c r="D82" s="20" t="n">
        <v>0.1</v>
      </c>
      <c r="E82" s="16"/>
    </row>
    <row r="83" customFormat="false" ht="30" hidden="false" customHeight="true" outlineLevel="0" collapsed="false">
      <c r="B83" s="13" t="s">
        <v>155</v>
      </c>
      <c r="C83" s="14" t="n">
        <v>6</v>
      </c>
      <c r="D83" s="15" t="n">
        <v>6</v>
      </c>
      <c r="E83" s="16"/>
    </row>
    <row r="84" customFormat="false" ht="30" hidden="false" customHeight="true" outlineLevel="0" collapsed="false">
      <c r="B84" s="13" t="s">
        <v>156</v>
      </c>
      <c r="C84" s="19" t="n">
        <v>0</v>
      </c>
      <c r="D84" s="20" t="n">
        <v>0</v>
      </c>
      <c r="E84" s="16" t="s">
        <v>157</v>
      </c>
    </row>
    <row r="85" customFormat="false" ht="30" hidden="false" customHeight="true" outlineLevel="0" collapsed="false">
      <c r="B85" s="13" t="s">
        <v>158</v>
      </c>
      <c r="C85" s="14" t="n">
        <v>2000</v>
      </c>
      <c r="D85" s="15" t="n">
        <v>2000</v>
      </c>
      <c r="E85" s="16"/>
    </row>
    <row r="86" customFormat="false" ht="30" hidden="false" customHeight="true" outlineLevel="0" collapsed="false">
      <c r="B86" s="13" t="s">
        <v>159</v>
      </c>
      <c r="C86" s="25" t="n">
        <v>0</v>
      </c>
      <c r="D86" s="26" t="n">
        <v>0.001</v>
      </c>
      <c r="E86" s="16" t="s">
        <v>160</v>
      </c>
    </row>
    <row r="87" customFormat="false" ht="30" hidden="false" customHeight="true" outlineLevel="0" collapsed="false">
      <c r="B87" s="13" t="s">
        <v>161</v>
      </c>
      <c r="C87" s="17" t="n">
        <v>50</v>
      </c>
      <c r="D87" s="18" t="n">
        <v>50</v>
      </c>
      <c r="E87" s="16"/>
    </row>
    <row r="88" customFormat="false" ht="30" hidden="false" customHeight="true" outlineLevel="0" collapsed="false">
      <c r="B88" s="13" t="s">
        <v>162</v>
      </c>
      <c r="C88" s="14" t="n">
        <v>10</v>
      </c>
      <c r="D88" s="15" t="n">
        <v>10</v>
      </c>
      <c r="E88" s="16"/>
    </row>
    <row r="90" customFormat="false" ht="24" hidden="false" customHeight="true" outlineLevel="0" collapsed="false">
      <c r="A90" s="3" t="s">
        <v>163</v>
      </c>
      <c r="B90" s="4"/>
      <c r="C90" s="4"/>
      <c r="D90" s="4"/>
      <c r="E90" s="4"/>
      <c r="F90" s="4"/>
    </row>
    <row r="91" customFormat="false" ht="25.5" hidden="false" customHeight="true" outlineLevel="0" collapsed="false">
      <c r="A91" s="12"/>
      <c r="B91" s="12" t="s">
        <v>45</v>
      </c>
      <c r="C91" s="12" t="s">
        <v>46</v>
      </c>
      <c r="D91" s="12" t="s">
        <v>47</v>
      </c>
      <c r="E91" s="12" t="s">
        <v>164</v>
      </c>
    </row>
    <row r="92" customFormat="false" ht="30" hidden="false" customHeight="true" outlineLevel="0" collapsed="false">
      <c r="B92" s="13" t="s">
        <v>165</v>
      </c>
      <c r="C92" s="19" t="n">
        <v>0.3</v>
      </c>
      <c r="D92" s="20" t="n">
        <v>0.3</v>
      </c>
      <c r="E92" s="16" t="s">
        <v>166</v>
      </c>
    </row>
    <row r="93" customFormat="false" ht="30" hidden="false" customHeight="true" outlineLevel="0" collapsed="false">
      <c r="B93" s="13" t="s">
        <v>167</v>
      </c>
      <c r="C93" s="19" t="n">
        <v>0.2</v>
      </c>
      <c r="D93" s="20" t="n">
        <v>0.2</v>
      </c>
      <c r="E93" s="16" t="s">
        <v>168</v>
      </c>
    </row>
    <row r="94" customFormat="false" ht="30" hidden="false" customHeight="true" outlineLevel="0" collapsed="false">
      <c r="B94" s="13" t="s">
        <v>169</v>
      </c>
      <c r="C94" s="19" t="n">
        <v>-0.4</v>
      </c>
      <c r="D94" s="20" t="n">
        <v>-0.4</v>
      </c>
      <c r="E94" s="16"/>
    </row>
    <row r="95" customFormat="false" ht="30" hidden="false" customHeight="true" outlineLevel="0" collapsed="false">
      <c r="B95" s="13" t="s">
        <v>170</v>
      </c>
      <c r="C95" s="19" t="n">
        <v>-0.25</v>
      </c>
      <c r="D95" s="20" t="n">
        <v>-0.25</v>
      </c>
      <c r="E95" s="16"/>
    </row>
    <row r="96" customFormat="false" ht="30" hidden="false" customHeight="true" outlineLevel="0" collapsed="false">
      <c r="B96" s="13" t="s">
        <v>171</v>
      </c>
      <c r="C96" s="19" t="n">
        <v>1</v>
      </c>
      <c r="D96" s="20" t="n">
        <v>1</v>
      </c>
      <c r="E96" s="16" t="s">
        <v>172</v>
      </c>
    </row>
    <row r="97" customFormat="false" ht="30" hidden="false" customHeight="true" outlineLevel="0" collapsed="false">
      <c r="B97" s="13" t="s">
        <v>173</v>
      </c>
      <c r="C97" s="19" t="n">
        <v>0.15</v>
      </c>
      <c r="D97" s="20" t="n">
        <v>0.15</v>
      </c>
      <c r="E97" s="16"/>
    </row>
    <row r="98" customFormat="false" ht="30" hidden="false" customHeight="true" outlineLevel="0" collapsed="false">
      <c r="B98" s="13" t="s">
        <v>174</v>
      </c>
      <c r="C98" s="21" t="s">
        <v>106</v>
      </c>
      <c r="D98" s="22" t="s">
        <v>106</v>
      </c>
      <c r="E98" s="16"/>
    </row>
    <row r="99" customFormat="false" ht="30" hidden="false" customHeight="true" outlineLevel="0" collapsed="false">
      <c r="B99" s="13" t="s">
        <v>175</v>
      </c>
      <c r="C99" s="21" t="s">
        <v>106</v>
      </c>
      <c r="D99" s="22" t="s">
        <v>106</v>
      </c>
      <c r="E99" s="16"/>
    </row>
    <row r="100" customFormat="false" ht="30" hidden="false" customHeight="true" outlineLevel="0" collapsed="false">
      <c r="B100" s="13" t="s">
        <v>176</v>
      </c>
      <c r="C100" s="21" t="s">
        <v>106</v>
      </c>
      <c r="D100" s="22" t="s">
        <v>106</v>
      </c>
      <c r="E100" s="16" t="s">
        <v>177</v>
      </c>
    </row>
  </sheetData>
  <mergeCells count="2">
    <mergeCell ref="A1:F1"/>
    <mergeCell ref="A2:F2"/>
  </mergeCells>
  <dataValidations count="2">
    <dataValidation allowBlank="false" errorStyle="stop" operator="between" showDropDown="false" showErrorMessage="false" showInputMessage="false" sqref="C18 C30 C33 C38 C48 C67 C71 C78 C98:C100" type="list">
      <formula1>"Yes,No"</formula1>
      <formula2>0</formula2>
    </dataValidation>
    <dataValidation allowBlank="true" error="Type a share, like 40 for 40%." errorStyle="stop" operator="between" showDropDown="false" showErrorMessage="false" showInputMessage="false" sqref="C10 C21:C23 C29 C32 C36 C41 C43 C51 C53 C55 C58 C70 C73 C82 C84 C86 C92:C97" type="decimal">
      <formula1>-1</formula1>
      <formula2>1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E185D"/>
    <pageSetUpPr fitToPage="true"/>
  </sheetPr>
  <dimension ref="A1:N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7" min="3" style="0" width="16"/>
    <col collapsed="false" customWidth="true" hidden="true" outlineLevel="0" max="9" min="9" style="0" width="16"/>
    <col collapsed="false" customWidth="true" hidden="true" outlineLevel="0" max="11" min="10" style="0" width="12"/>
    <col collapsed="false" customWidth="true" hidden="false" outlineLevel="0" max="13" min="13" style="0" width="14"/>
    <col collapsed="false" customWidth="true" hidden="false" outlineLevel="0" max="14" min="14" style="0" width="10"/>
  </cols>
  <sheetData>
    <row r="1" customFormat="false" ht="33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179</v>
      </c>
      <c r="B4" s="4"/>
      <c r="C4" s="4"/>
      <c r="D4" s="4"/>
      <c r="E4" s="4"/>
      <c r="F4" s="4"/>
      <c r="G4" s="4"/>
    </row>
    <row r="5" customFormat="false" ht="19.7" hidden="false" customHeight="false" outlineLevel="0" collapsed="false">
      <c r="B5" s="6" t="s">
        <v>180</v>
      </c>
      <c r="C5" s="27" t="n">
        <f aca="false">'This Month'!$C$75</f>
        <v>13155.2173913043</v>
      </c>
    </row>
    <row r="6" customFormat="false" ht="15" hidden="false" customHeight="false" outlineLevel="0" collapsed="false">
      <c r="B6" s="13" t="s">
        <v>181</v>
      </c>
      <c r="C6" s="28" t="n">
        <f aca="false">'This Month'!$C$72</f>
        <v>14655.2173913043</v>
      </c>
    </row>
    <row r="7" customFormat="false" ht="15" hidden="false" customHeight="false" outlineLevel="0" collapsed="false">
      <c r="B7" s="13" t="s">
        <v>182</v>
      </c>
      <c r="C7" s="29" t="n">
        <f aca="false">'This Month'!$C$29</f>
        <v>18</v>
      </c>
    </row>
    <row r="8" customFormat="false" ht="15" hidden="false" customHeight="false" outlineLevel="0" collapsed="false">
      <c r="B8" s="13" t="s">
        <v>183</v>
      </c>
      <c r="C8" s="30" t="str">
        <f aca="false">IF('This Month'!$C$12="",TEXT('This Month'!$E$69,"0")&amp;" (set your hours)",TEXT('This Month'!$E$69,"0")&amp;" of "&amp;TEXT('This Month'!$C$12,"0"))</f>
        <v>144 of 173</v>
      </c>
    </row>
    <row r="9" customFormat="false" ht="33.75" hidden="false" customHeight="true" outlineLevel="0" collapsed="false">
      <c r="B9" s="6" t="s">
        <v>184</v>
      </c>
      <c r="C9" s="31" t="str">
        <f aca="false">'This Month'!$C$86</f>
        <v>Capacity: you are full. Raise price or add a retainer or program.</v>
      </c>
      <c r="D9" s="31"/>
      <c r="E9" s="31"/>
      <c r="F9" s="31"/>
    </row>
    <row r="10" customFormat="false" ht="15" hidden="false" customHeight="false" outlineLevel="0" collapsed="false">
      <c r="B10" s="13" t="s">
        <v>185</v>
      </c>
      <c r="C10" s="32" t="str">
        <f aca="false">IF((COUNTBLANK('My Numbers'!$C$6:$C$14)+COUNTBLANK('My Numbers'!$C$18:$C$24)+COUNTBLANK('My Numbers'!$C$26:$C$44)+COUNTBLANK('My Numbers'!$C$48:$C$63)+COUNTBLANK('My Numbers'!$C$67:$C$74)+COUNTBLANK('My Numbers'!$C$78:$C$88)+COUNTBLANK('My Numbers'!$C$92:$C$100))=0,"None. Every number is filled in.",(COUNTBLANK('My Numbers'!$C$6:$C$14)+COUNTBLANK('My Numbers'!$C$18:$C$24)+COUNTBLANK('My Numbers'!$C$26:$C$44)+COUNTBLANK('My Numbers'!$C$48:$C$63)+COUNTBLANK('My Numbers'!$C$67:$C$74)+COUNTBLANK('My Numbers'!$C$78:$C$88)+COUNTBLANK('My Numbers'!$C$92:$C$100))&amp;" blank. A blank counts as zero here, so fill it in or copy the typical number.")</f>
        <v>None. Every number is filled in.</v>
      </c>
      <c r="D10" s="32"/>
      <c r="E10" s="32"/>
      <c r="F10" s="32"/>
    </row>
    <row r="11" customFormat="false" ht="24" hidden="false" customHeight="true" outlineLevel="0" collapsed="false">
      <c r="A11" s="3" t="s">
        <v>186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B12" s="13" t="s">
        <v>187</v>
      </c>
      <c r="C12" s="33" t="n">
        <f aca="false">IF('My Numbers'!$C$6="","",'My Numbers'!$C$6*52/12)</f>
        <v>173.333333333333</v>
      </c>
    </row>
    <row r="13" customFormat="false" ht="15" hidden="false" customHeight="false" outlineLevel="0" collapsed="false">
      <c r="B13" s="13" t="s">
        <v>188</v>
      </c>
      <c r="C13" s="34" t="n">
        <f aca="false">7-'My Numbers'!$C$7</f>
        <v>5</v>
      </c>
    </row>
    <row r="15" customFormat="false" ht="24" hidden="false" customHeight="true" outlineLevel="0" collapsed="false">
      <c r="A15" s="3" t="s">
        <v>189</v>
      </c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B16" s="13" t="s">
        <v>190</v>
      </c>
      <c r="C16" s="33" t="n">
        <f aca="false">'My Numbers'!$C$20*'My Numbers'!$C$21*'My Numbers'!$C$22*'My Numbers'!$C$23</f>
        <v>10.2</v>
      </c>
    </row>
    <row r="17" customFormat="false" ht="15" hidden="false" customHeight="false" outlineLevel="0" collapsed="false">
      <c r="B17" s="13" t="s">
        <v>191</v>
      </c>
      <c r="C17" s="33" t="n">
        <f aca="false">IF(('My Numbers'!$C$33="Yes"),'This Month'!$C$16*'My Numbers'!$C$36,0)</f>
        <v>1.02</v>
      </c>
    </row>
    <row r="18" customFormat="false" ht="23.85" hidden="false" customHeight="false" outlineLevel="0" collapsed="false">
      <c r="B18" s="13" t="s">
        <v>192</v>
      </c>
      <c r="C18" s="33" t="n">
        <f aca="false">('This Month'!$C$16-'This Month'!$C$17)*(1+'My Numbers'!$C$24)+'This Month'!$C$17</f>
        <v>12.954</v>
      </c>
    </row>
    <row r="19" customFormat="false" ht="23.85" hidden="false" customHeight="false" outlineLevel="0" collapsed="false">
      <c r="B19" s="13" t="s">
        <v>193</v>
      </c>
      <c r="C19" s="33" t="n">
        <f aca="false">'This Month'!$C$17*'My Numbers'!$C$35*'My Numbers'!$C$37</f>
        <v>8.16</v>
      </c>
    </row>
    <row r="20" customFormat="false" ht="23.85" hidden="false" customHeight="false" outlineLevel="0" collapsed="false">
      <c r="B20" s="13" t="s">
        <v>194</v>
      </c>
      <c r="C20" s="33" t="n">
        <f aca="false">IF(('My Numbers'!$C$38="Yes"),'This Month'!$C$16*'My Numbers'!$C$41,0)</f>
        <v>0</v>
      </c>
    </row>
    <row r="21" customFormat="false" ht="15" hidden="false" customHeight="false" outlineLevel="0" collapsed="false">
      <c r="B21" s="13" t="s">
        <v>195</v>
      </c>
      <c r="C21" s="33" t="n">
        <f aca="false">IF(('My Numbers'!$C$38="Yes"),'This Month'!$C$20*'My Numbers'!$C$40,'This Month'!$C$18+'This Month'!$C$19)</f>
        <v>21.114</v>
      </c>
    </row>
    <row r="22" customFormat="false" ht="15" hidden="false" customHeight="false" outlineLevel="0" collapsed="false">
      <c r="B22" s="13" t="s">
        <v>196</v>
      </c>
      <c r="C22" s="33" t="n">
        <f aca="false">IF(('My Numbers'!$C$38="Yes"),IF('My Numbers'!$C$40&gt;0,'My Numbers'!$C$44/'My Numbers'!$C$40,0),'My Numbers'!$C$28)</f>
        <v>4</v>
      </c>
    </row>
    <row r="23" customFormat="false" ht="15" hidden="false" customHeight="false" outlineLevel="0" collapsed="false">
      <c r="B23" s="13" t="s">
        <v>197</v>
      </c>
      <c r="C23" s="33" t="n">
        <f aca="false">'This Month'!$C$21*'This Month'!$C$22</f>
        <v>84.456</v>
      </c>
    </row>
    <row r="24" customFormat="false" ht="15" hidden="false" customHeight="false" outlineLevel="0" collapsed="false">
      <c r="B24" s="13" t="s">
        <v>198</v>
      </c>
      <c r="C24" s="33" t="n">
        <f aca="false">IF('This Month'!$C$12="","",IFERROR(INDEX('This Month'!$G$58:$G$61,MATCH("In person",'This Month'!$C$58:$C$61,0)),0))</f>
        <v>173.333333333333</v>
      </c>
    </row>
    <row r="25" customFormat="false" ht="15" hidden="false" customHeight="false" outlineLevel="0" collapsed="false">
      <c r="B25" s="13" t="s">
        <v>199</v>
      </c>
      <c r="C25" s="33" t="n">
        <f aca="false">IF(OR('This Month'!$C$12="",'This Month'!$C$22=0),"",'This Month'!$C$24/'This Month'!$C$22)</f>
        <v>43.3333333333333</v>
      </c>
    </row>
    <row r="26" customFormat="false" ht="15" hidden="false" customHeight="false" outlineLevel="0" collapsed="false">
      <c r="B26" s="13" t="s">
        <v>200</v>
      </c>
      <c r="C26" s="33" t="n">
        <f aca="false">IF('My Numbers'!$C$25="","",'My Numbers'!$C$25)</f>
        <v>18</v>
      </c>
    </row>
    <row r="27" customFormat="false" ht="15" hidden="false" customHeight="false" outlineLevel="0" collapsed="false">
      <c r="B27" s="13" t="s">
        <v>201</v>
      </c>
      <c r="C27" s="33" t="n">
        <f aca="false">IF(AND('This Month'!$C$25="",'This Month'!$C$26=""),"",IF('This Month'!$C$25="",'This Month'!$C$26,IF('This Month'!$C$26="",'This Month'!$C$25,MIN('This Month'!$C$25,'This Month'!$C$26))))</f>
        <v>18</v>
      </c>
    </row>
    <row r="28" customFormat="false" ht="15" hidden="false" customHeight="false" outlineLevel="0" collapsed="false">
      <c r="B28" s="13" t="s">
        <v>202</v>
      </c>
      <c r="C28" s="33" t="n">
        <f aca="false">IF('This Month'!$C$27="",1,IF('This Month'!$C$21&gt;'This Month'!$C$27,'This Month'!$C$27/'This Month'!$C$21,1))</f>
        <v>0.852514919011083</v>
      </c>
    </row>
    <row r="29" customFormat="false" ht="15" hidden="false" customHeight="false" outlineLevel="0" collapsed="false">
      <c r="B29" s="6" t="s">
        <v>203</v>
      </c>
      <c r="C29" s="35" t="n">
        <f aca="false">'This Month'!$C$21*'This Month'!$C$28</f>
        <v>18</v>
      </c>
    </row>
    <row r="30" customFormat="false" ht="15" hidden="false" customHeight="false" outlineLevel="0" collapsed="false">
      <c r="B30" s="13" t="s">
        <v>204</v>
      </c>
      <c r="C30" s="36" t="n">
        <f aca="false">'My Numbers'!$C$26*(1-'My Numbers'!$C$29)-'My Numbers'!$C$27</f>
        <v>375</v>
      </c>
    </row>
    <row r="31" customFormat="false" ht="15" hidden="false" customHeight="false" outlineLevel="0" collapsed="false">
      <c r="B31" s="13" t="s">
        <v>205</v>
      </c>
      <c r="C31" s="37" t="n">
        <f aca="false">IF(('My Numbers'!$C$38="Yes"),0,'This Month'!$C$18*'This Month'!$C$28*'This Month'!$C$30)</f>
        <v>4141.30434782609</v>
      </c>
    </row>
    <row r="32" customFormat="false" ht="15" hidden="false" customHeight="false" outlineLevel="0" collapsed="false">
      <c r="B32" s="13" t="s">
        <v>206</v>
      </c>
      <c r="C32" s="37" t="n">
        <f aca="false">IF(AND(('My Numbers'!$C$30="Yes"),NOT(('My Numbers'!$C$38="Yes"))),'This Month'!$C$16*'My Numbers'!$C$32*'This Month'!$C$28*'My Numbers'!$C$31*(1-'My Numbers'!$C$29),0)</f>
        <v>413.04347826087</v>
      </c>
    </row>
    <row r="33" customFormat="false" ht="23.85" hidden="false" customHeight="false" outlineLevel="0" collapsed="false">
      <c r="B33" s="13" t="s">
        <v>207</v>
      </c>
      <c r="C33" s="37" t="n">
        <f aca="false">IF(AND(('My Numbers'!$C$33="Yes"),NOT(('My Numbers'!$C$38="Yes"))),'This Month'!$C$17*'My Numbers'!$C$37*'This Month'!$C$28*('My Numbers'!$C$34*(1-'My Numbers'!$C$29)-'My Numbers'!$C$35*'My Numbers'!$C$27),0)</f>
        <v>4260.86956521739</v>
      </c>
    </row>
    <row r="34" customFormat="false" ht="23.85" hidden="false" customHeight="false" outlineLevel="0" collapsed="false">
      <c r="B34" s="13" t="s">
        <v>208</v>
      </c>
      <c r="C34" s="37" t="n">
        <f aca="false">IF(('My Numbers'!$C$38="Yes"),'This Month'!$C$20*'This Month'!$C$28*('My Numbers'!$C$39*(1-'My Numbers'!$C$43)-'My Numbers'!$C$42),0)</f>
        <v>0</v>
      </c>
    </row>
    <row r="35" customFormat="false" ht="15" hidden="false" customHeight="false" outlineLevel="0" collapsed="false">
      <c r="B35" s="6" t="s">
        <v>209</v>
      </c>
      <c r="C35" s="38" t="n">
        <f aca="false">IF(('My Numbers'!$C$18="Yes"),'This Month'!$C$31+'This Month'!$C$32+'This Month'!$C$33+'This Month'!$C$34,0)</f>
        <v>8815.21739130435</v>
      </c>
    </row>
    <row r="36" customFormat="false" ht="15" hidden="false" customHeight="false" outlineLevel="0" collapsed="false">
      <c r="B36" s="13" t="s">
        <v>210</v>
      </c>
      <c r="C36" s="33" t="n">
        <f aca="false">IF(('My Numbers'!$C$18="Yes"),'This Month'!$C$29*'This Month'!$C$22,0)</f>
        <v>72</v>
      </c>
      <c r="M36" s="39" t="s">
        <v>211</v>
      </c>
    </row>
    <row r="37" customFormat="false" ht="15" hidden="false" customHeight="false" outlineLevel="0" collapsed="false">
      <c r="B37" s="13" t="s">
        <v>212</v>
      </c>
      <c r="C37" s="36" t="n">
        <f aca="false">IF('My Numbers'!$C$20&gt;0,IF(('My Numbers'!$C$38="Yes"),'This Month'!$C$20*('My Numbers'!$C$39*(1-'My Numbers'!$C$43)-'My Numbers'!$C$42),'This Month'!$C$18*'This Month'!$C$30+IF(('My Numbers'!$C$30="Yes"),'This Month'!$C$16*'My Numbers'!$C$32*'My Numbers'!$C$31*(1-'My Numbers'!$C$29),0)+IF(('My Numbers'!$C$33="Yes"),'This Month'!$C$17*'My Numbers'!$C$37*('My Numbers'!$C$34*(1-'My Numbers'!$C$29)-'My Numbers'!$C$35*'My Numbers'!$C$27),0))/'My Numbers'!$C$20,"")</f>
        <v>172.3375</v>
      </c>
      <c r="M37" s="40" t="s">
        <v>213</v>
      </c>
      <c r="N37" s="41" t="n">
        <f aca="false">'My Numbers'!$C$20</f>
        <v>60</v>
      </c>
    </row>
    <row r="38" customFormat="false" ht="15" hidden="false" customHeight="false" outlineLevel="0" collapsed="false">
      <c r="B38" s="13" t="s">
        <v>214</v>
      </c>
      <c r="C38" s="42" t="n">
        <f aca="false">IF('My Numbers'!$C$20&gt;0,'This Month'!$C$21/'My Numbers'!$C$20,"")</f>
        <v>0.3519</v>
      </c>
      <c r="M38" s="40" t="s">
        <v>215</v>
      </c>
      <c r="N38" s="41" t="n">
        <f aca="false">'My Numbers'!$C$20*'My Numbers'!$C$21</f>
        <v>30</v>
      </c>
    </row>
    <row r="39" customFormat="false" ht="15" hidden="false" customHeight="false" outlineLevel="0" collapsed="false">
      <c r="M39" s="40" t="s">
        <v>216</v>
      </c>
      <c r="N39" s="41" t="n">
        <f aca="false">'My Numbers'!$C$20*'My Numbers'!$C$21*'My Numbers'!$C$22</f>
        <v>12</v>
      </c>
    </row>
    <row r="40" customFormat="false" ht="24" hidden="false" customHeight="true" outlineLevel="0" collapsed="false">
      <c r="A40" s="3" t="s">
        <v>217</v>
      </c>
      <c r="B40" s="4"/>
      <c r="C40" s="4"/>
      <c r="D40" s="4"/>
      <c r="E40" s="4"/>
      <c r="F40" s="4"/>
      <c r="G40" s="4"/>
      <c r="M40" s="40" t="s">
        <v>218</v>
      </c>
      <c r="N40" s="41" t="n">
        <f aca="false">'This Month'!$C$16</f>
        <v>10.2</v>
      </c>
    </row>
    <row r="41" customFormat="false" ht="15" hidden="false" customHeight="false" outlineLevel="0" collapsed="false">
      <c r="B41" s="13" t="s">
        <v>219</v>
      </c>
      <c r="C41" s="37" t="n">
        <f aca="false">'My Numbers'!$C$52*'My Numbers'!$C$54*(1-'My Numbers'!$C$55)</f>
        <v>1800</v>
      </c>
      <c r="M41" s="40" t="s">
        <v>220</v>
      </c>
      <c r="N41" s="41" t="n">
        <f aca="false">'This Month'!$C$29</f>
        <v>18</v>
      </c>
    </row>
    <row r="42" customFormat="false" ht="15" hidden="false" customHeight="false" outlineLevel="0" collapsed="false">
      <c r="B42" s="13" t="s">
        <v>221</v>
      </c>
      <c r="C42" s="37" t="n">
        <f aca="false">'My Numbers'!$C$56*'My Numbers'!$C$57*(1-'My Numbers'!$C$58)</f>
        <v>800</v>
      </c>
    </row>
    <row r="43" customFormat="false" ht="15" hidden="false" customHeight="false" outlineLevel="0" collapsed="false">
      <c r="B43" s="13" t="s">
        <v>222</v>
      </c>
      <c r="C43" s="37" t="n">
        <f aca="false">'My Numbers'!$C$60*'My Numbers'!$C$62</f>
        <v>0</v>
      </c>
    </row>
    <row r="44" customFormat="false" ht="15" hidden="false" customHeight="false" outlineLevel="0" collapsed="false">
      <c r="B44" s="13" t="s">
        <v>223</v>
      </c>
      <c r="C44" s="37" t="n">
        <f aca="false">'This Month'!$C$41+'This Month'!$C$42+'This Month'!$C$43</f>
        <v>2600</v>
      </c>
    </row>
    <row r="45" customFormat="false" ht="15" hidden="false" customHeight="false" outlineLevel="0" collapsed="false">
      <c r="B45" s="13" t="s">
        <v>224</v>
      </c>
      <c r="C45" s="33" t="n">
        <f aca="false">'My Numbers'!$C$63+'My Numbers'!$C$56*'My Numbers'!$C$59</f>
        <v>50</v>
      </c>
    </row>
    <row r="46" customFormat="false" ht="15" hidden="false" customHeight="false" outlineLevel="0" collapsed="false">
      <c r="B46" s="13" t="s">
        <v>225</v>
      </c>
      <c r="C46" s="33" t="n">
        <f aca="false">'My Numbers'!$C$50*'My Numbers'!$C$51</f>
        <v>50</v>
      </c>
    </row>
    <row r="47" customFormat="false" ht="15" hidden="false" customHeight="false" outlineLevel="0" collapsed="false">
      <c r="B47" s="13" t="s">
        <v>226</v>
      </c>
      <c r="C47" s="33" t="n">
        <f aca="false">IF('My Numbers'!$C$53&gt;0,1/'My Numbers'!$C$53,"")</f>
        <v>5</v>
      </c>
    </row>
    <row r="48" customFormat="false" ht="15" hidden="false" customHeight="false" outlineLevel="0" collapsed="false">
      <c r="B48" s="13" t="s">
        <v>227</v>
      </c>
      <c r="C48" s="33" t="n">
        <f aca="false">'My Numbers'!$C$69*(1-'My Numbers'!$C$70*IF(('My Numbers'!$C$71="Yes"),0,1))</f>
        <v>8</v>
      </c>
    </row>
    <row r="49" customFormat="false" ht="23.85" hidden="false" customHeight="false" outlineLevel="0" collapsed="false">
      <c r="B49" s="13" t="s">
        <v>228</v>
      </c>
      <c r="C49" s="37" t="n">
        <f aca="false">'This Month'!$C$48*'My Numbers'!$C$72*(1-'My Numbers'!$C$73)</f>
        <v>1440</v>
      </c>
    </row>
    <row r="50" customFormat="false" ht="15" hidden="false" customHeight="false" outlineLevel="0" collapsed="false">
      <c r="B50" s="13" t="s">
        <v>229</v>
      </c>
      <c r="C50" s="33" t="n">
        <f aca="false">'My Numbers'!$C$69*'My Numbers'!$C$74</f>
        <v>8</v>
      </c>
    </row>
    <row r="51" customFormat="false" ht="23.85" hidden="false" customHeight="false" outlineLevel="0" collapsed="false">
      <c r="B51" s="13" t="s">
        <v>230</v>
      </c>
      <c r="C51" s="36" t="n">
        <f aca="false">'My Numbers'!$C$81*(1-'My Numbers'!$C$84)*(1-'My Numbers'!$C$82)</f>
        <v>450</v>
      </c>
    </row>
    <row r="52" customFormat="false" ht="23.85" hidden="false" customHeight="false" outlineLevel="0" collapsed="false">
      <c r="B52" s="13" t="s">
        <v>231</v>
      </c>
      <c r="C52" s="37" t="n">
        <f aca="false">'My Numbers'!$C$85*'My Numbers'!$C$86*'My Numbers'!$C$87*(1-'My Numbers'!$C$84)*(1-'My Numbers'!$C$82)</f>
        <v>0</v>
      </c>
    </row>
    <row r="53" customFormat="false" ht="15" hidden="false" customHeight="false" outlineLevel="0" collapsed="false">
      <c r="B53" s="13" t="s">
        <v>232</v>
      </c>
      <c r="C53" s="37" t="n">
        <f aca="false">'My Numbers'!$C$80*'This Month'!$C$51+'This Month'!$C$52</f>
        <v>1800</v>
      </c>
    </row>
    <row r="54" customFormat="false" ht="15" hidden="false" customHeight="false" outlineLevel="0" collapsed="false">
      <c r="B54" s="13" t="s">
        <v>233</v>
      </c>
      <c r="C54" s="33" t="n">
        <f aca="false">'My Numbers'!$C$88+'My Numbers'!$C$80*1</f>
        <v>14</v>
      </c>
    </row>
    <row r="56" customFormat="false" ht="24" hidden="false" customHeight="true" outlineLevel="0" collapsed="false">
      <c r="A56" s="3" t="s">
        <v>234</v>
      </c>
      <c r="B56" s="4"/>
      <c r="C56" s="4"/>
      <c r="D56" s="4"/>
      <c r="E56" s="4"/>
      <c r="F56" s="4"/>
      <c r="G56" s="4"/>
    </row>
    <row r="57" customFormat="false" ht="25.5" hidden="false" customHeight="true" outlineLevel="0" collapsed="false">
      <c r="A57" s="12"/>
      <c r="B57" s="12" t="s">
        <v>235</v>
      </c>
      <c r="C57" s="12" t="s">
        <v>236</v>
      </c>
      <c r="D57" s="12" t="s">
        <v>237</v>
      </c>
      <c r="E57" s="12" t="s">
        <v>238</v>
      </c>
      <c r="F57" s="12" t="s">
        <v>239</v>
      </c>
      <c r="G57" s="12" t="s">
        <v>240</v>
      </c>
      <c r="I57" s="43" t="s">
        <v>241</v>
      </c>
      <c r="J57" s="43" t="s">
        <v>242</v>
      </c>
      <c r="K57" s="43" t="s">
        <v>243</v>
      </c>
    </row>
    <row r="58" customFormat="false" ht="15" hidden="false" customHeight="false" outlineLevel="0" collapsed="false">
      <c r="B58" s="44" t="s">
        <v>3</v>
      </c>
      <c r="C58" s="44" t="str">
        <f aca="false">IFERROR(INDEX('This Month'!$I$58:$I$61,MATCH(SMALL('This Month'!$J$58:$J$61,1),'This Month'!$J$58:$J$61,0)),"")</f>
        <v>In person</v>
      </c>
      <c r="D58" s="33" t="n">
        <f aca="false">IFERROR(INDEX('This Month'!$K$58:$K$61,MATCH(SMALL('This Month'!$J$58:$J$61,1),'This Month'!$J$58:$J$61,0)),0)</f>
        <v>84.456</v>
      </c>
      <c r="E58" s="33" t="n">
        <f aca="false">IF('This Month'!$C$12="",D58,MAX(0,MIN(D58,'This Month'!$C$12)))</f>
        <v>84.456</v>
      </c>
      <c r="F58" s="45" t="n">
        <f aca="false">IF(D58&gt;0,E58/D58,1)</f>
        <v>1</v>
      </c>
      <c r="G58" s="41" t="n">
        <f aca="false">IF('This Month'!$C$12="","",MAX(0,'This Month'!$C$12))</f>
        <v>173.333333333333</v>
      </c>
      <c r="I58" s="40" t="s">
        <v>67</v>
      </c>
      <c r="J58" s="46" t="n">
        <f aca="false">IF(('My Numbers'!$C$18="Yes"),'My Numbers'!$C$19,99)</f>
        <v>1</v>
      </c>
      <c r="K58" s="41" t="n">
        <f aca="false">IF(('My Numbers'!$C$18="Yes"),'This Month'!$C$23,0)</f>
        <v>84.456</v>
      </c>
    </row>
    <row r="59" customFormat="false" ht="15" hidden="false" customHeight="false" outlineLevel="0" collapsed="false">
      <c r="B59" s="44" t="s">
        <v>6</v>
      </c>
      <c r="C59" s="44" t="str">
        <f aca="false">IFERROR(INDEX('This Month'!$I$58:$I$61,MATCH(SMALL('This Month'!$J$58:$J$61,2),'This Month'!$J$58:$J$61,0)),"")</f>
        <v>Content</v>
      </c>
      <c r="D59" s="33" t="n">
        <f aca="false">IFERROR(INDEX('This Month'!$K$58:$K$61,MATCH(SMALL('This Month'!$J$58:$J$61,2),'This Month'!$J$58:$J$61,0)),0)</f>
        <v>50</v>
      </c>
      <c r="E59" s="33" t="n">
        <f aca="false">IF('This Month'!$C$12="",D59,MAX(0,MIN(D59,'This Month'!$C$12-SUM($E$58:$E$58))))</f>
        <v>50</v>
      </c>
      <c r="F59" s="45" t="n">
        <f aca="false">IF(D59&gt;0,E59/D59,1)</f>
        <v>1</v>
      </c>
      <c r="G59" s="41" t="n">
        <f aca="false">IF('This Month'!$C$12="","",MAX(0,'This Month'!$C$12-SUM($E$58:$E$58)))</f>
        <v>88.8773333333334</v>
      </c>
      <c r="I59" s="40" t="s">
        <v>115</v>
      </c>
      <c r="J59" s="46" t="n">
        <f aca="false">IF(('My Numbers'!$C$48="Yes"),'My Numbers'!$C$49,99)</f>
        <v>2</v>
      </c>
      <c r="K59" s="41" t="n">
        <f aca="false">IF(('My Numbers'!$C$48="Yes"),'This Month'!$C$45,0)</f>
        <v>50</v>
      </c>
    </row>
    <row r="60" customFormat="false" ht="15" hidden="false" customHeight="false" outlineLevel="0" collapsed="false">
      <c r="B60" s="44" t="s">
        <v>9</v>
      </c>
      <c r="C60" s="44" t="str">
        <f aca="false">IFERROR(INDEX('This Month'!$I$58:$I$61,MATCH(SMALL('This Month'!$J$58:$J$61,3),'This Month'!$J$58:$J$61,0)),"")</f>
        <v>Calls</v>
      </c>
      <c r="D60" s="33" t="n">
        <f aca="false">IFERROR(INDEX('This Month'!$K$58:$K$61,MATCH(SMALL('This Month'!$J$58:$J$61,3),'This Month'!$J$58:$J$61,0)),0)</f>
        <v>8</v>
      </c>
      <c r="E60" s="33" t="n">
        <f aca="false">IF('This Month'!$C$12="",D60,MAX(0,MIN(D60,'This Month'!$C$12-SUM($E$58:$E$59))))</f>
        <v>8</v>
      </c>
      <c r="F60" s="45" t="n">
        <f aca="false">IF(D60&gt;0,E60/D60,1)</f>
        <v>1</v>
      </c>
      <c r="G60" s="41" t="n">
        <f aca="false">IF('This Month'!$C$12="","",MAX(0,'This Month'!$C$12-SUM($E$58:$E$59)))</f>
        <v>38.8773333333334</v>
      </c>
      <c r="I60" s="40" t="s">
        <v>139</v>
      </c>
      <c r="J60" s="46" t="n">
        <f aca="false">IF(('My Numbers'!$C$67="Yes"),'My Numbers'!$C$68,99)</f>
        <v>3</v>
      </c>
      <c r="K60" s="41" t="n">
        <f aca="false">IF(('My Numbers'!$C$67="Yes"),'This Month'!$C$50,0)</f>
        <v>8</v>
      </c>
    </row>
    <row r="61" customFormat="false" ht="15" hidden="false" customHeight="false" outlineLevel="0" collapsed="false">
      <c r="B61" s="44" t="s">
        <v>244</v>
      </c>
      <c r="C61" s="44" t="str">
        <f aca="false">IFERROR(INDEX('This Month'!$I$58:$I$61,MATCH(SMALL('This Month'!$J$58:$J$61,4),'This Month'!$J$58:$J$61,0)),"")</f>
        <v>Regulars</v>
      </c>
      <c r="D61" s="33" t="n">
        <f aca="false">IFERROR(INDEX('This Month'!$K$58:$K$61,MATCH(SMALL('This Month'!$J$58:$J$61,4),'This Month'!$J$58:$J$61,0)),0)</f>
        <v>14</v>
      </c>
      <c r="E61" s="33" t="n">
        <f aca="false">IF('This Month'!$C$12="",D61,MAX(0,MIN(D61,'This Month'!$C$12-SUM($E$58:$E$60))))</f>
        <v>14</v>
      </c>
      <c r="F61" s="45" t="n">
        <f aca="false">IF(D61&gt;0,E61/D61,1)</f>
        <v>1</v>
      </c>
      <c r="G61" s="41" t="n">
        <f aca="false">IF('This Month'!$C$12="","",MAX(0,'This Month'!$C$12-SUM($E$58:$E$60)))</f>
        <v>30.8773333333334</v>
      </c>
      <c r="I61" s="40" t="s">
        <v>149</v>
      </c>
      <c r="J61" s="46" t="n">
        <f aca="false">IF(('My Numbers'!$C$78="Yes"),'My Numbers'!$C$79,99)</f>
        <v>4</v>
      </c>
      <c r="K61" s="41" t="n">
        <f aca="false">IF(('My Numbers'!$C$78="Yes"),'This Month'!$C$54,0)</f>
        <v>14</v>
      </c>
    </row>
    <row r="63" customFormat="false" ht="24" hidden="false" customHeight="true" outlineLevel="0" collapsed="false">
      <c r="A63" s="3" t="s">
        <v>245</v>
      </c>
      <c r="B63" s="4"/>
      <c r="C63" s="4"/>
      <c r="D63" s="4"/>
      <c r="E63" s="4"/>
      <c r="F63" s="4"/>
      <c r="G63" s="4"/>
    </row>
    <row r="64" customFormat="false" ht="25.5" hidden="false" customHeight="true" outlineLevel="0" collapsed="false">
      <c r="A64" s="12"/>
      <c r="B64" s="12" t="s">
        <v>236</v>
      </c>
      <c r="C64" s="12" t="s">
        <v>181</v>
      </c>
      <c r="D64" s="12" t="s">
        <v>246</v>
      </c>
      <c r="E64" s="12" t="s">
        <v>247</v>
      </c>
      <c r="F64" s="12" t="s">
        <v>248</v>
      </c>
      <c r="G64" s="12"/>
    </row>
    <row r="65" customFormat="false" ht="30" hidden="false" customHeight="true" outlineLevel="0" collapsed="false">
      <c r="B65" s="6" t="s">
        <v>67</v>
      </c>
      <c r="C65" s="37" t="n">
        <f aca="false">'This Month'!$C$35</f>
        <v>8815.21739130435</v>
      </c>
      <c r="D65" s="45" t="n">
        <f aca="false">IF($C$69&gt;0,C65/$C$69,0)</f>
        <v>0.601507105349037</v>
      </c>
      <c r="E65" s="33" t="n">
        <f aca="false">'This Month'!$C$36</f>
        <v>72</v>
      </c>
      <c r="F65" s="47" t="str">
        <f aca="false">IF(NOT(('My Numbers'!$C$18="Yes")),"Not counted",IF('This Month'!$C$27="","",IF('This Month'!$C$21&gt;'This Month'!$C$27,"At capacity: more contacts would not become more money","")))</f>
        <v>At capacity: more contacts would not become more money</v>
      </c>
    </row>
    <row r="66" customFormat="false" ht="30" hidden="false" customHeight="true" outlineLevel="0" collapsed="false">
      <c r="B66" s="6" t="s">
        <v>115</v>
      </c>
      <c r="C66" s="37" t="n">
        <f aca="false">IF(('My Numbers'!$C$48="Yes"),'This Month'!$C$44*IFERROR(INDEX('This Month'!$F$58:$F$61,MATCH("Content",'This Month'!$C$58:$C$61,0)),1),0)</f>
        <v>2600</v>
      </c>
      <c r="D66" s="45" t="n">
        <f aca="false">IF($C$69&gt;0,C66/$C$69,0)</f>
        <v>0.177411220221319</v>
      </c>
      <c r="E66" s="33" t="n">
        <f aca="false">IF(('My Numbers'!$C$48="Yes"),IFERROR(INDEX('This Month'!$E$58:$E$61,MATCH("Content",'This Month'!$C$58:$C$61,0)),0),0)</f>
        <v>50</v>
      </c>
      <c r="F66" s="47" t="str">
        <f aca="false">IF(NOT(('My Numbers'!$C$48="Yes")),"Not counted",IF(IFERROR(INDEX('This Month'!$F$58:$F$61,MATCH("Content",'This Month'!$C$58:$C$61,0)),1)&lt;1,"Fewer hours than it wanted; #1 took its hours first",""))</f>
        <v/>
      </c>
    </row>
    <row r="67" customFormat="false" ht="30" hidden="false" customHeight="true" outlineLevel="0" collapsed="false">
      <c r="B67" s="6" t="s">
        <v>139</v>
      </c>
      <c r="C67" s="37" t="n">
        <f aca="false">IF(('My Numbers'!$C$67="Yes"),'This Month'!$C$49*IFERROR(INDEX('This Month'!$F$58:$F$61,MATCH("Calls",'This Month'!$C$58:$C$61,0)),1),0)</f>
        <v>1440</v>
      </c>
      <c r="D67" s="45" t="n">
        <f aca="false">IF($C$69&gt;0,C67/$C$69,0)</f>
        <v>0.0982585219687305</v>
      </c>
      <c r="E67" s="33" t="n">
        <f aca="false">IF(('My Numbers'!$C$67="Yes"),IFERROR(INDEX('This Month'!$E$58:$E$61,MATCH("Calls",'This Month'!$C$58:$C$61,0)),0),0)</f>
        <v>8</v>
      </c>
      <c r="F67" s="47" t="str">
        <f aca="false">IF(NOT(('My Numbers'!$C$67="Yes")),"Not counted",IF(IFERROR(INDEX('This Month'!$F$58:$F$61,MATCH("Calls",'This Month'!$C$58:$C$61,0)),1)&lt;1,"Fewer hours than it wanted",""))</f>
        <v/>
      </c>
    </row>
    <row r="68" customFormat="false" ht="30" hidden="false" customHeight="true" outlineLevel="0" collapsed="false">
      <c r="B68" s="6" t="s">
        <v>149</v>
      </c>
      <c r="C68" s="37" t="n">
        <f aca="false">IF(('My Numbers'!$C$78="Yes"),'This Month'!$C$53*IFERROR(INDEX('This Month'!$F$58:$F$61,MATCH("Regulars",'This Month'!$C$58:$C$61,0)),1),0)</f>
        <v>1800</v>
      </c>
      <c r="D68" s="45" t="n">
        <f aca="false">IF($C$69&gt;0,C68/$C$69,0)</f>
        <v>0.122823152460913</v>
      </c>
      <c r="E68" s="33" t="n">
        <f aca="false">IF(('My Numbers'!$C$78="Yes"),IFERROR(INDEX('This Month'!$E$58:$E$61,MATCH("Regulars",'This Month'!$C$58:$C$61,0)),0),0)</f>
        <v>14</v>
      </c>
      <c r="F68" s="47" t="str">
        <f aca="false">IF(NOT(('My Numbers'!$C$78="Yes")),"Not counted",IF(IFERROR(INDEX('This Month'!$F$58:$F$61,MATCH("Regulars",'This Month'!$C$58:$C$61,0)),1)&lt;1,"Fewer hours than it wanted",""))</f>
        <v/>
      </c>
    </row>
    <row r="69" customFormat="false" ht="15" hidden="false" customHeight="false" outlineLevel="0" collapsed="false">
      <c r="B69" s="48" t="s">
        <v>249</v>
      </c>
      <c r="C69" s="49" t="n">
        <f aca="false">SUM(C65:C68)</f>
        <v>14655.2173913043</v>
      </c>
      <c r="D69" s="50" t="n">
        <f aca="false">SUM(D65:D68)</f>
        <v>1</v>
      </c>
      <c r="E69" s="51" t="n">
        <f aca="false">SUM(E65:E68)</f>
        <v>144</v>
      </c>
      <c r="F69" s="52"/>
    </row>
    <row r="71" customFormat="false" ht="24" hidden="false" customHeight="true" outlineLevel="0" collapsed="false">
      <c r="A71" s="3" t="s">
        <v>250</v>
      </c>
      <c r="B71" s="4"/>
      <c r="C71" s="4"/>
      <c r="D71" s="4"/>
      <c r="E71" s="4"/>
      <c r="F71" s="4"/>
      <c r="G71" s="4"/>
    </row>
    <row r="72" customFormat="false" ht="15" hidden="false" customHeight="false" outlineLevel="0" collapsed="false">
      <c r="B72" s="6" t="s">
        <v>251</v>
      </c>
      <c r="C72" s="38" t="n">
        <f aca="false">'This Month'!$C$69</f>
        <v>14655.2173913043</v>
      </c>
    </row>
    <row r="73" customFormat="false" ht="15" hidden="false" customHeight="false" outlineLevel="0" collapsed="false">
      <c r="B73" s="13" t="s">
        <v>252</v>
      </c>
      <c r="C73" s="37" t="n">
        <f aca="false">-'My Numbers'!$C$8</f>
        <v>-1500</v>
      </c>
    </row>
    <row r="74" customFormat="false" ht="15" hidden="false" customHeight="false" outlineLevel="0" collapsed="false">
      <c r="B74" s="13" t="s">
        <v>253</v>
      </c>
      <c r="C74" s="37" t="n">
        <f aca="false">-'My Numbers'!$C$13</f>
        <v>-0</v>
      </c>
    </row>
    <row r="75" customFormat="false" ht="15" hidden="false" customHeight="false" outlineLevel="0" collapsed="false">
      <c r="B75" s="6" t="s">
        <v>254</v>
      </c>
      <c r="C75" s="53" t="n">
        <f aca="false">'This Month'!$C$72+'This Month'!$C$73+'This Month'!$C$74</f>
        <v>13155.2173913043</v>
      </c>
    </row>
    <row r="76" customFormat="false" ht="15" hidden="false" customHeight="false" outlineLevel="0" collapsed="false">
      <c r="B76" s="13" t="s">
        <v>255</v>
      </c>
      <c r="C76" s="37" t="n">
        <f aca="false">MAX(0,'This Month'!$C$75)*'My Numbers'!$C$10</f>
        <v>3288.80434782609</v>
      </c>
    </row>
    <row r="77" customFormat="false" ht="15" hidden="false" customHeight="false" outlineLevel="0" collapsed="false">
      <c r="B77" s="6" t="s">
        <v>256</v>
      </c>
      <c r="C77" s="38" t="n">
        <f aca="false">'This Month'!$C$75-'This Month'!$C$76</f>
        <v>9866.41304347826</v>
      </c>
    </row>
    <row r="78" customFormat="false" ht="15" hidden="false" customHeight="false" outlineLevel="0" collapsed="false">
      <c r="B78" s="13" t="s">
        <v>257</v>
      </c>
      <c r="C78" s="37" t="n">
        <f aca="false">'This Month'!$C$75-'My Numbers'!$C$9</f>
        <v>3155.21739130435</v>
      </c>
    </row>
    <row r="80" customFormat="false" ht="24" hidden="false" customHeight="true" outlineLevel="0" collapsed="false">
      <c r="A80" s="3" t="s">
        <v>258</v>
      </c>
      <c r="B80" s="4"/>
      <c r="C80" s="4"/>
      <c r="D80" s="4"/>
      <c r="E80" s="4"/>
      <c r="F80" s="4"/>
      <c r="G80" s="4"/>
    </row>
    <row r="81" customFormat="false" ht="25.5" hidden="false" customHeight="true" outlineLevel="0" collapsed="false">
      <c r="A81" s="12"/>
      <c r="B81" s="12" t="s">
        <v>259</v>
      </c>
      <c r="C81" s="12" t="s">
        <v>46</v>
      </c>
      <c r="D81" s="12" t="s">
        <v>47</v>
      </c>
      <c r="E81" s="12" t="s">
        <v>260</v>
      </c>
      <c r="F81" s="12" t="s">
        <v>248</v>
      </c>
      <c r="G81" s="12"/>
    </row>
    <row r="82" customFormat="false" ht="15" hidden="false" customHeight="false" outlineLevel="0" collapsed="false">
      <c r="B82" s="13" t="s">
        <v>261</v>
      </c>
      <c r="C82" s="45" t="n">
        <f aca="false">'My Numbers'!$C$22</f>
        <v>0.4</v>
      </c>
      <c r="D82" s="45" t="s">
        <v>262</v>
      </c>
      <c r="E82" s="54" t="n">
        <f aca="false">IF(('My Numbers'!$C$38="Yes"),0,IF('My Numbers'!$C$22&lt;D82,(((('My Numbers'!$C$20*'My Numbers'!$C$21*$D$82*'My Numbers'!$C$23)-(IF(('My Numbers'!$C$33="Yes"),('My Numbers'!$C$20*'My Numbers'!$C$21*$D$82*'My Numbers'!$C$23)*'My Numbers'!$C$36,0)))*(1+'My Numbers'!$C$24)+(IF(('My Numbers'!$C$33="Yes"),('My Numbers'!$C$20*'My Numbers'!$C$21*$D$82*'My Numbers'!$C$23)*'My Numbers'!$C$36,0)))*('My Numbers'!$C$26*(1-'My Numbers'!$C$29)-'My Numbers'!$C$27)+IF(('My Numbers'!$C$30="Yes"),('My Numbers'!$C$20*'My Numbers'!$C$21*$D$82*'My Numbers'!$C$23)*'My Numbers'!$C$32*'My Numbers'!$C$31*(1-'My Numbers'!$C$29),0)+IF(('My Numbers'!$C$33="Yes"),(IF(('My Numbers'!$C$33="Yes"),('My Numbers'!$C$20*'My Numbers'!$C$21*$D$82*'My Numbers'!$C$23)*'My Numbers'!$C$36,0))*'My Numbers'!$C$37*('My Numbers'!$C$34*(1-'My Numbers'!$C$29)-'My Numbers'!$C$35*'My Numbers'!$C$27),0))*(IF('This Month'!$C$27="",1,IF((((('My Numbers'!$C$20*'My Numbers'!$C$21*$D$82*'My Numbers'!$C$23)-(IF(('My Numbers'!$C$33="Yes"),('My Numbers'!$C$20*'My Numbers'!$C$21*$D$82*'My Numbers'!$C$23)*'My Numbers'!$C$36,0)))*(1+'My Numbers'!$C$24)+(IF(('My Numbers'!$C$33="Yes"),('My Numbers'!$C$20*'My Numbers'!$C$21*$D$82*'My Numbers'!$C$23)*'My Numbers'!$C$36,0)))+((IF(('My Numbers'!$C$33="Yes"),('My Numbers'!$C$20*'My Numbers'!$C$21*$D$82*'My Numbers'!$C$23)*'My Numbers'!$C$36,0))*'My Numbers'!$C$35*'My Numbers'!$C$37))&gt;'This Month'!$C$27,'This Month'!$C$27/(((('My Numbers'!$C$20*'My Numbers'!$C$21*$D$82*'My Numbers'!$C$23)-(IF(('My Numbers'!$C$33="Yes"),('My Numbers'!$C$20*'My Numbers'!$C$21*$D$82*'My Numbers'!$C$23)*'My Numbers'!$C$36,0)))*(1+'My Numbers'!$C$24)+(IF(('My Numbers'!$C$33="Yes"),('My Numbers'!$C$20*'My Numbers'!$C$21*$D$82*'My Numbers'!$C$23)*'My Numbers'!$C$36,0)))+((IF(('My Numbers'!$C$33="Yes"),('My Numbers'!$C$20*'My Numbers'!$C$21*$D$82*'My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Numbers'!$C$37)),1))),0))</f>
        <v>0</v>
      </c>
    </row>
    <row r="83" customFormat="false" ht="15" hidden="false" customHeight="false" outlineLevel="0" collapsed="false">
      <c r="B83" s="13" t="s">
        <v>263</v>
      </c>
      <c r="C83" s="45" t="n">
        <f aca="false">'My Numbers'!$C$23</f>
        <v>0.85</v>
      </c>
      <c r="D83" s="45" t="s">
        <v>264</v>
      </c>
      <c r="E83" s="54" t="n">
        <f aca="false">IF(('My Numbers'!$C$38="Yes"),0,IF('My Numbers'!$C$23&lt;D83,(((('My Numbers'!$C$20*'My Numbers'!$C$21*'My Numbers'!$C$22*$D$83)-(IF(('My Numbers'!$C$33="Yes"),('My Numbers'!$C$20*'My Numbers'!$C$21*'My Numbers'!$C$22*$D$83)*'My Numbers'!$C$36,0)))*(1+'My Numbers'!$C$24)+(IF(('My Numbers'!$C$33="Yes"),('My Numbers'!$C$20*'My Numbers'!$C$21*'My Numbers'!$C$22*$D$83)*'My Numbers'!$C$36,0)))*('My Numbers'!$C$26*(1-'My Numbers'!$C$29)-'My Numbers'!$C$27)+IF(('My Numbers'!$C$30="Yes"),('My Numbers'!$C$20*'My Numbers'!$C$21*'My Numbers'!$C$22*$D$83)*'My Numbers'!$C$32*'My Numbers'!$C$31*(1-'My Numbers'!$C$29),0)+IF(('My Numbers'!$C$33="Yes"),(IF(('My Numbers'!$C$33="Yes"),('My Numbers'!$C$20*'My Numbers'!$C$21*'My Numbers'!$C$22*$D$83)*'My Numbers'!$C$36,0))*'My Numbers'!$C$37*('My Numbers'!$C$34*(1-'My Numbers'!$C$29)-'My Numbers'!$C$35*'My Numbers'!$C$27),0))*(IF('This Month'!$C$27="",1,IF((((('My Numbers'!$C$20*'My Numbers'!$C$21*'My Numbers'!$C$22*$D$83)-(IF(('My Numbers'!$C$33="Yes"),('My Numbers'!$C$20*'My Numbers'!$C$21*'My Numbers'!$C$22*$D$83)*'My Numbers'!$C$36,0)))*(1+'My Numbers'!$C$24)+(IF(('My Numbers'!$C$33="Yes"),('My Numbers'!$C$20*'My Numbers'!$C$21*'My Numbers'!$C$22*$D$83)*'My Numbers'!$C$36,0)))+((IF(('My Numbers'!$C$33="Yes"),('My Numbers'!$C$20*'My Numbers'!$C$21*'My Numbers'!$C$22*$D$83)*'My Numbers'!$C$36,0))*'My Numbers'!$C$35*'My Numbers'!$C$37))&gt;'This Month'!$C$27,'This Month'!$C$27/(((('My Numbers'!$C$20*'My Numbers'!$C$21*'My Numbers'!$C$22*$D$83)-(IF(('My Numbers'!$C$33="Yes"),('My Numbers'!$C$20*'My Numbers'!$C$21*'My Numbers'!$C$22*$D$83)*'My Numbers'!$C$36,0)))*(1+'My Numbers'!$C$24)+(IF(('My Numbers'!$C$33="Yes"),('My Numbers'!$C$20*'My Numbers'!$C$21*'My Numbers'!$C$22*$D$83)*'My Numbers'!$C$36,0)))+((IF(('My Numbers'!$C$33="Yes"),('My Numbers'!$C$20*'My Numbers'!$C$21*'My Numbers'!$C$22*$D$83)*'My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Numbers'!$C$37)),1))),0))</f>
        <v>0</v>
      </c>
    </row>
    <row r="84" customFormat="false" ht="15" hidden="false" customHeight="false" outlineLevel="0" collapsed="false">
      <c r="B84" s="13" t="s">
        <v>265</v>
      </c>
      <c r="C84" s="45" t="n">
        <f aca="false">'My Numbers'!$C$24</f>
        <v>0.3</v>
      </c>
      <c r="D84" s="45" t="s">
        <v>266</v>
      </c>
      <c r="E84" s="54" t="n">
        <f aca="false">IF(('My Numbers'!$C$38="Yes"),0,IF('My Numbers'!$C$24&lt;D84,(((('My Numbers'!$C$20*'My Numbers'!$C$21*'My Numbers'!$C$22*'My Numbers'!$C$23)-(IF(('My Numbers'!$C$33="Yes"),('My Numbers'!$C$20*'My Numbers'!$C$21*'My Numbers'!$C$22*'My Numbers'!$C$23)*'My Numbers'!$C$36,0)))*(1+$D$84)+(IF(('My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Numbers'!$C$36,0)))*(1+$D$84)+(IF(('My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Numbers'!$C$36,0)))*(1+$D$84)+(IF(('My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Numbers'!$C$37)),1))),0))</f>
        <v>0</v>
      </c>
    </row>
    <row r="85" customFormat="false" ht="15" hidden="false" customHeight="false" outlineLevel="0" collapsed="false">
      <c r="B85" s="13" t="s">
        <v>267</v>
      </c>
      <c r="C85" s="37" t="n">
        <f aca="false">'My Numbers'!$C$26</f>
        <v>500</v>
      </c>
      <c r="D85" s="37" t="s">
        <v>268</v>
      </c>
      <c r="E85" s="54" t="n">
        <f aca="false">IF(('My Numbers'!$C$38="Yes"),0,IF('My Numbers'!$C$26&lt;D85,(((('My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Numbers'!$C$36,0)))*($D$85*(1-'My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Numbers'!$C$37)),1))),0))</f>
        <v>0</v>
      </c>
    </row>
    <row r="86" customFormat="false" ht="33.75" hidden="false" customHeight="true" outlineLevel="0" collapsed="false">
      <c r="B86" s="6" t="s">
        <v>184</v>
      </c>
      <c r="C86" s="31" t="str">
        <f aca="false">IF('This Month'!$C$27&lt;&gt;"",IF('This Month'!$C$21&gt;'This Month'!$C$27,"Capacity: you are full. Raise price or add a retainer or program.",IF(MAX(E82:E85)&gt;0,INDEX(B82:B85,MATCH(MAX(E82:E85),E82:E85,0))&amp;": worth "&amp;TEXT(MAX(E82:E85),"$#,##0")&amp;" a month at typical.","Nothing is below typical: it is a volume problem. See Plan.")),IF(MAX(E82:E85)&gt;0,INDEX(B82:B85,MATCH(MAX(E82:E85),E82:E85,0))&amp;": worth "&amp;TEXT(MAX(E82:E85),"$#,##0")&amp;" a month at typical.","Nothing is below typical: it is a volume problem. See Plan."))</f>
        <v>Capacity: you are full. Raise price or add a retainer or program.</v>
      </c>
      <c r="D86" s="31"/>
      <c r="E86" s="31"/>
      <c r="F86" s="31"/>
    </row>
    <row r="87" customFormat="false" ht="23.85" hidden="false" customHeight="false" outlineLevel="0" collapsed="false">
      <c r="B87" s="55" t="s">
        <v>269</v>
      </c>
    </row>
  </sheetData>
  <mergeCells count="5">
    <mergeCell ref="A1:G1"/>
    <mergeCell ref="A2:G2"/>
    <mergeCell ref="C9:F9"/>
    <mergeCell ref="C10:F10"/>
    <mergeCell ref="C86:F86"/>
  </mergeCells>
  <conditionalFormatting sqref="C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"/>
  </cols>
  <sheetData>
    <row r="1" customFormat="false" ht="33.75" hidden="false" customHeight="true" outlineLevel="0" collapsed="false">
      <c r="A1" s="1" t="s">
        <v>26</v>
      </c>
      <c r="B1" s="1"/>
      <c r="C1" s="1"/>
      <c r="D1" s="1"/>
      <c r="E1" s="1"/>
    </row>
    <row r="2" customFormat="false" ht="30" hidden="false" customHeight="true" outlineLevel="0" collapsed="false">
      <c r="A2" s="2" t="s">
        <v>270</v>
      </c>
      <c r="B2" s="2"/>
      <c r="C2" s="2"/>
      <c r="D2" s="2"/>
      <c r="E2" s="2"/>
    </row>
    <row r="4" customFormat="false" ht="25.5" hidden="false" customHeight="true" outlineLevel="0" collapsed="false">
      <c r="A4" s="12"/>
      <c r="B4" s="12" t="s">
        <v>271</v>
      </c>
      <c r="C4" s="12" t="s">
        <v>272</v>
      </c>
      <c r="D4" s="12" t="s">
        <v>273</v>
      </c>
    </row>
    <row r="5" customFormat="false" ht="23.85" hidden="false" customHeight="false" outlineLevel="0" collapsed="false">
      <c r="B5" s="13" t="s">
        <v>274</v>
      </c>
      <c r="C5" s="54" t="n">
        <f aca="false">IF(('My Numbers'!$C$38="Yes"),"program on",(((('My Numbers'!$C$20*'My Numbers'!$C$21*('My Numbers'!$C$22+0.01)*'My Numbers'!$C$23)-(IF(('My Numbers'!$C$33="Yes"),('My Numbers'!$C$20*'My Numbers'!$C$21*('My Numbers'!$C$22+0.01)*'My Numbers'!$C$23)*'My Numbers'!$C$36,0)))*(1+'My Numbers'!$C$24)+(IF(('My Numbers'!$C$33="Yes"),('My Numbers'!$C$20*'My Numbers'!$C$21*('My Numbers'!$C$22+0.01)*'My Numbers'!$C$23)*'My Numbers'!$C$36,0)))*('My Numbers'!$C$26*(1-'My Numbers'!$C$29)-'My Numbers'!$C$27)+IF(('My Numbers'!$C$30="Yes"),('My Numbers'!$C$20*'My Numbers'!$C$21*('My Numbers'!$C$22+0.01)*'My Numbers'!$C$23)*'My Numbers'!$C$32*'My Numbers'!$C$31*(1-'My Numbers'!$C$29),0)+IF(('My Numbers'!$C$33="Yes"),(IF(('My Numbers'!$C$33="Yes"),('My Numbers'!$C$20*'My Numbers'!$C$21*('My Numbers'!$C$22+0.01)*'My Numbers'!$C$23)*'My Numbers'!$C$36,0))*'My Numbers'!$C$37*('My Numbers'!$C$34*(1-'My Numbers'!$C$29)-'My Numbers'!$C$35*'My Numbers'!$C$27),0))*(IF('This Month'!$C$27="",1,IF((((('My Numbers'!$C$20*'My Numbers'!$C$21*('My Numbers'!$C$22+0.01)*'My Numbers'!$C$23)-(IF(('My Numbers'!$C$33="Yes"),('My Numbers'!$C$20*'My Numbers'!$C$21*('My Numbers'!$C$22+0.01)*'My Numbers'!$C$23)*'My Numbers'!$C$36,0)))*(1+'My Numbers'!$C$24)+(IF(('My Numbers'!$C$33="Yes"),('My Numbers'!$C$20*'My Numbers'!$C$21*('My Numbers'!$C$22+0.01)*'My Numbers'!$C$23)*'My Numbers'!$C$36,0)))+((IF(('My Numbers'!$C$33="Yes"),('My Numbers'!$C$20*'My Numbers'!$C$21*('My Numbers'!$C$22+0.01)*'My Numbers'!$C$23)*'My Numbers'!$C$36,0))*'My Numbers'!$C$35*'My Numbers'!$C$37))&gt;'This Month'!$C$27,'This Month'!$C$27/(((('My Numbers'!$C$20*'My Numbers'!$C$21*('My Numbers'!$C$22+0.01)*'My Numbers'!$C$23)-(IF(('My Numbers'!$C$33="Yes"),('My Numbers'!$C$20*'My Numbers'!$C$21*('My Numbers'!$C$22+0.01)*'My Numbers'!$C$23)*'My Numbers'!$C$36,0)))*(1+'My Numbers'!$C$24)+(IF(('My Numbers'!$C$33="Yes"),('My Numbers'!$C$20*'My Numbers'!$C$21*('My Numbers'!$C$22+0.01)*'My Numbers'!$C$23)*'My Numbers'!$C$36,0)))+((IF(('My Numbers'!$C$33="Yes"),('My Numbers'!$C$20*'My Numbers'!$C$21*('My Numbers'!$C$22+0.01)*'My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0</v>
      </c>
      <c r="D5" s="55" t="s">
        <v>275</v>
      </c>
    </row>
    <row r="6" customFormat="false" ht="15" hidden="false" customHeight="false" outlineLevel="0" collapsed="false">
      <c r="B6" s="13" t="s">
        <v>276</v>
      </c>
      <c r="C6" s="54" t="n">
        <f aca="false">IF(('My Numbers'!$C$38="Yes"),"program on",(((('My Numbers'!$C$20*'My Numbers'!$C$21*'My Numbers'!$C$22*('My Numbers'!$C$23+0.01))-(IF(('My Numbers'!$C$33="Yes"),('My Numbers'!$C$20*'My Numbers'!$C$21*'My Numbers'!$C$22*('My Numbers'!$C$23+0.01))*'My Numbers'!$C$36,0)))*(1+'My Numbers'!$C$24)+(IF(('My Numbers'!$C$33="Yes"),('My Numbers'!$C$20*'My Numbers'!$C$21*'My Numbers'!$C$22*('My Numbers'!$C$23+0.01))*'My Numbers'!$C$36,0)))*('My Numbers'!$C$26*(1-'My Numbers'!$C$29)-'My Numbers'!$C$27)+IF(('My Numbers'!$C$30="Yes"),('My Numbers'!$C$20*'My Numbers'!$C$21*'My Numbers'!$C$22*('My Numbers'!$C$23+0.01))*'My Numbers'!$C$32*'My Numbers'!$C$31*(1-'My Numbers'!$C$29),0)+IF(('My Numbers'!$C$33="Yes"),(IF(('My Numbers'!$C$33="Yes"),('My Numbers'!$C$20*'My Numbers'!$C$21*'My Numbers'!$C$22*('My Numbers'!$C$23+0.01))*'My Numbers'!$C$36,0))*'My Numbers'!$C$37*('My Numbers'!$C$34*(1-'My Numbers'!$C$29)-'My Numbers'!$C$35*'My Numbers'!$C$27),0))*(IF('This Month'!$C$27="",1,IF((((('My Numbers'!$C$20*'My Numbers'!$C$21*'My Numbers'!$C$22*('My Numbers'!$C$23+0.01))-(IF(('My Numbers'!$C$33="Yes"),('My Numbers'!$C$20*'My Numbers'!$C$21*'My Numbers'!$C$22*('My Numbers'!$C$23+0.01))*'My Numbers'!$C$36,0)))*(1+'My Numbers'!$C$24)+(IF(('My Numbers'!$C$33="Yes"),('My Numbers'!$C$20*'My Numbers'!$C$21*'My Numbers'!$C$22*('My Numbers'!$C$23+0.01))*'My Numbers'!$C$36,0)))+((IF(('My Numbers'!$C$33="Yes"),('My Numbers'!$C$20*'My Numbers'!$C$21*'My Numbers'!$C$22*('My Numbers'!$C$23+0.01))*'My Numbers'!$C$36,0))*'My Numbers'!$C$35*'My Numbers'!$C$37))&gt;'This Month'!$C$27,'This Month'!$C$27/(((('My Numbers'!$C$20*'My Numbers'!$C$21*'My Numbers'!$C$22*('My Numbers'!$C$23+0.01))-(IF(('My Numbers'!$C$33="Yes"),('My Numbers'!$C$20*'My Numbers'!$C$21*'My Numbers'!$C$22*('My Numbers'!$C$23+0.01))*'My Numbers'!$C$36,0)))*(1+'My Numbers'!$C$24)+(IF(('My Numbers'!$C$33="Yes"),('My Numbers'!$C$20*'My Numbers'!$C$21*'My Numbers'!$C$22*('My Numbers'!$C$23+0.01))*'My Numbers'!$C$36,0)))+((IF(('My Numbers'!$C$33="Yes"),('My Numbers'!$C$20*'My Numbers'!$C$21*'My Numbers'!$C$22*('My Numbers'!$C$23+0.01))*'My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0</v>
      </c>
      <c r="D6" s="55"/>
    </row>
    <row r="7" customFormat="false" ht="15" hidden="false" customHeight="false" outlineLevel="0" collapsed="false">
      <c r="B7" s="13" t="s">
        <v>277</v>
      </c>
      <c r="C7" s="54" t="n">
        <f aca="false">IF(('My Numbers'!$C$38="Yes"),"program on",(((('My Numbers'!$C$20*'My Numbers'!$C$21*'My Numbers'!$C$22*'My Numbers'!$C$23)-(IF(('My Numbers'!$C$33="Yes"),('My Numbers'!$C$20*'My Numbers'!$C$21*'My Numbers'!$C$22*'My Numbers'!$C$23)*'My Numbers'!$C$36,0)))*(1+('My Numbers'!$C$24+0.01))+(IF(('My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Numbers'!$C$36,0)))*(1+('My Numbers'!$C$24+0.01))+(IF(('My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Numbers'!$C$36,0)))*(1+('My Numbers'!$C$24+0.01))+(IF(('My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-8.94033502729144</v>
      </c>
      <c r="D7" s="55"/>
    </row>
    <row r="8" customFormat="false" ht="15" hidden="false" customHeight="false" outlineLevel="0" collapsed="false">
      <c r="B8" s="13" t="s">
        <v>278</v>
      </c>
      <c r="C8" s="54" t="n">
        <f aca="false">IF(('My Numbers'!$C$38="Yes"),"program on",(((('My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Numbers'!$C$36,0)))*(('My Numbers'!$C$26*1.01)*(1-'My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52.45652173913</v>
      </c>
      <c r="D8" s="55"/>
    </row>
    <row r="9" customFormat="false" ht="15" hidden="false" customHeight="false" outlineLevel="0" collapsed="false">
      <c r="B9" s="13" t="s">
        <v>279</v>
      </c>
      <c r="C9" s="54" t="n">
        <f aca="false">IF(('My Numbers'!$C$38="Yes"),"program on",((((('My Numbers'!$C$20*1.01)*'My Numbers'!$C$21*'My Numbers'!$C$22*'My Numbers'!$C$23)-(IF(('My Numbers'!$C$33="Yes"),(('My Numbers'!$C$20*1.01)*'My Numbers'!$C$21*'My Numbers'!$C$22*'My Numbers'!$C$23)*'My Numbers'!$C$36,0)))*(1+'My Numbers'!$C$24)+(IF(('My Numbers'!$C$33="Yes"),(('My Numbers'!$C$20*1.01)*'My Numbers'!$C$21*'My Numbers'!$C$22*'My Numbers'!$C$23)*'My Numbers'!$C$36,0)))*('My Numbers'!$C$26*(1-'My Numbers'!$C$29)-'My Numbers'!$C$27)+IF(('My Numbers'!$C$30="Yes"),(('My Numbers'!$C$20*1.01)*'My Numbers'!$C$21*'My Numbers'!$C$22*'My Numbers'!$C$23)*'My Numbers'!$C$32*'My Numbers'!$C$31*(1-'My Numbers'!$C$29),0)+IF(('My Numbers'!$C$33="Yes"),(IF(('My Numbers'!$C$33="Yes"),(('My Numbers'!$C$20*1.01)*'My Numbers'!$C$21*'My Numbers'!$C$22*'My Numbers'!$C$23)*'My Numbers'!$C$36,0))*'My Numbers'!$C$37*('My Numbers'!$C$34*(1-'My Numbers'!$C$29)-'My Numbers'!$C$35*'My Numbers'!$C$27),0))*(IF('This Month'!$C$27="",1,IF(((((('My Numbers'!$C$20*1.01)*'My Numbers'!$C$21*'My Numbers'!$C$22*'My Numbers'!$C$23)-(IF(('My Numbers'!$C$33="Yes"),(('My Numbers'!$C$20*1.01)*'My Numbers'!$C$21*'My Numbers'!$C$22*'My Numbers'!$C$23)*'My Numbers'!$C$36,0)))*(1+'My Numbers'!$C$24)+(IF(('My Numbers'!$C$33="Yes"),(('My Numbers'!$C$20*1.01)*'My Numbers'!$C$21*'My Numbers'!$C$22*'My Numbers'!$C$23)*'My Numbers'!$C$36,0)))+((IF(('My Numbers'!$C$33="Yes"),(('My Numbers'!$C$20*1.01)*'My Numbers'!$C$21*'My Numbers'!$C$22*'My Numbers'!$C$23)*'My Numbers'!$C$36,0))*'My Numbers'!$C$35*'My Numbers'!$C$37))&gt;'This Month'!$C$27,'This Month'!$C$27/((((('My Numbers'!$C$20*1.01)*'My Numbers'!$C$21*'My Numbers'!$C$22*'My Numbers'!$C$23)-(IF(('My Numbers'!$C$33="Yes"),(('My Numbers'!$C$20*1.01)*'My Numbers'!$C$21*'My Numbers'!$C$22*'My Numbers'!$C$23)*'My Numbers'!$C$36,0)))*(1+'My Numbers'!$C$24)+(IF(('My Numbers'!$C$33="Yes"),(('My Numbers'!$C$20*1.01)*'My Numbers'!$C$21*'My Numbers'!$C$22*'My Numbers'!$C$23)*'My Numbers'!$C$36,0)))+((IF(('My Numbers'!$C$33="Yes"),(('My Numbers'!$C$20*1.01)*'My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0</v>
      </c>
      <c r="D9" s="55"/>
    </row>
    <row r="10" customFormat="false" ht="15" hidden="false" customHeight="false" outlineLevel="0" collapsed="false">
      <c r="B10" s="13" t="s">
        <v>280</v>
      </c>
      <c r="C10" s="54" t="n">
        <f aca="false">IF(('My Numbers'!$C$38="Yes"),"program on",(((('My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Numbers'!$C$29)-('My Numbers'!$C$27*0.99))+IF(('My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Numbers'!$C$35*('My Numbers'!$C$27*0.99)),0))*(IF('This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Numbers'!$C$37)),1)))-(((('My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Numbers'!$C$36,0)))*('My Numbers'!$C$26*(1-'My Numbers'!$C$29)-'My Numbers'!$C$27)+IF(('My Numbers'!$C$30="Yes"),('My Numbers'!$C$20*'My Numbers'!$C$21*'My Numbers'!$C$22*'My Numbers'!$C$23)*'My Numbers'!$C$32*'My Numbers'!$C$31*(1-'My Numbers'!$C$29),0)+IF(('My Numbers'!$C$33="Yes"),(IF(('My Numbers'!$C$33="Yes"),('My Numbers'!$C$20*'My Numbers'!$C$21*'My Numbers'!$C$22*'My Numbers'!$C$23)*'My Numbers'!$C$36,0))*'My Numbers'!$C$37*('My Numbers'!$C$34*(1-'My Numbers'!$C$29)-'My Numbers'!$C$35*'My Numbers'!$C$27),0))*(IF('This Month'!$C$27="",1,IF((((('My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Numbers'!$C$37))&gt;'This Month'!$C$27,'This Month'!$C$27/(((('My Numbers'!$C$20*'My Numbers'!$C$21*'My Numbers'!$C$22*'My Numbers'!$C$23)-(IF(('My Numbers'!$C$33="Yes"),('My Numbers'!$C$20*'My Numbers'!$C$21*'My Numbers'!$C$22*'My Numbers'!$C$23)*'My Numbers'!$C$36,0)))*(1+'My Numbers'!$C$24)+(IF(('My Numbers'!$C$33="Yes"),('My Numbers'!$C$20*'My Numbers'!$C$21*'My Numbers'!$C$22*'My Numbers'!$C$23)*'My Numbers'!$C$36,0)))+((IF(('My Numbers'!$C$33="Yes"),('My Numbers'!$C$20*'My Numbers'!$C$21*'My Numbers'!$C$22*'My Numbers'!$C$23)*'My Numbers'!$C$36,0))*'My Numbers'!$C$35*'My Numbers'!$C$37)),1))))</f>
        <v>18</v>
      </c>
      <c r="D10" s="55"/>
    </row>
    <row r="12" customFormat="false" ht="15" hidden="false" customHeight="false" outlineLevel="0" collapsed="false">
      <c r="B12" s="6" t="s">
        <v>281</v>
      </c>
      <c r="C12" s="56" t="str">
        <f aca="false">IFERROR(INDEX(B5:B10,MATCH(MAX(C5:C10),C5:C10,0)),"")</f>
        <v>Session price +1%</v>
      </c>
    </row>
    <row r="13" customFormat="false" ht="48" hidden="false" customHeight="true" outlineLevel="0" collapsed="false">
      <c r="B13" s="57" t="str">
        <f aca="false">IF('This Month'!$C$27="","",IF('This Month'!$C$21&gt;'This Month'!$C$27,"You are at capacity, so more contacts or bookings add nothing until you raise the price, add a retainer, or lift the cap. A move can even read below zero: it fills the same hours with cheaper sessions.",""))</f>
        <v>You are at capacity, so more contacts or bookings add nothing until you raise the price, add a retainer, or lift the cap. A move can even read below zero: it fills the same hours with cheaper sessions.</v>
      </c>
      <c r="C13" s="57"/>
      <c r="D13" s="57"/>
    </row>
  </sheetData>
  <mergeCells count="3">
    <mergeCell ref="A1:E1"/>
    <mergeCell ref="A2:E2"/>
    <mergeCell ref="B13:D1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6"/>
    <col collapsed="false" customWidth="true" hidden="false" outlineLevel="0" max="6" min="6" style="0" width="4"/>
  </cols>
  <sheetData>
    <row r="1" customFormat="false" ht="33.75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282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2"/>
      <c r="B4" s="12"/>
      <c r="C4" s="12" t="s">
        <v>283</v>
      </c>
      <c r="D4" s="12" t="s">
        <v>284</v>
      </c>
      <c r="E4" s="12" t="s">
        <v>285</v>
      </c>
    </row>
    <row r="5" customFormat="false" ht="15" hidden="false" customHeight="false" outlineLevel="0" collapsed="false">
      <c r="B5" s="13" t="s">
        <v>67</v>
      </c>
      <c r="C5" s="37" t="n">
        <f aca="false">IF(('My Numbers'!$C$18="Yes"),IF(('My Numbers'!$C$38="Yes"),(((('My Numbers'!$C$20*(1+'My Numbers'!$C$94)*IF(('My Numbers'!$C$98="Yes"),1-'My Numbers'!$C$96,1)*IF(('My Numbers'!$C$100="Yes"),0,1))*'My Numbers'!$C$21*'My Numbers'!$C$22*'My Numbers'!$C$23)*MIN(1,'My Numbers'!$C$41*(1+'My Numbers'!$C$95)))*('My Numbers'!$C$39*IF(('My Numbers'!$C$99="Yes"),1-'My Numbers'!$C$97,1)*(1-'My Numbers'!$C$43)-'My Numbers'!$C$42)),((((('My Numbers'!$C$20*(1+'My Numbers'!$C$94)*IF(('My Numbers'!$C$98="Yes"),1-'My Numbers'!$C$96,1)*IF(('My Numbers'!$C$100="Yes"),0,1))*'My Numbers'!$C$21*'My Numbers'!$C$22*'My Numbers'!$C$23)-(IF(('My Numbers'!$C$33="Yes"),(('My Numbers'!$C$20*(1+'My Numbers'!$C$94)*IF(('My Numbers'!$C$98="Yes"),1-'My Numbers'!$C$96,1)*IF(('My Numbers'!$C$100="Yes"),0,1))*'My Numbers'!$C$21*'My Numbers'!$C$22*'My Numbers'!$C$23)*'My Numbers'!$C$36,0)))*(1+'My Numbers'!$C$24)+(IF(('My Numbers'!$C$33="Yes"),(('My Numbers'!$C$20*(1+'My Numbers'!$C$94)*IF(('My Numbers'!$C$98="Yes"),1-'My Numbers'!$C$96,1)*IF(('My Numbers'!$C$100="Yes"),0,1))*'My Numbers'!$C$21*'My Numbers'!$C$22*'My Numbers'!$C$23)*'My Numbers'!$C$36,0)))*(('My Numbers'!$C$26*IF(('My Numbers'!$C$99="Yes"),1-'My Numbers'!$C$97,1))*(1-'My Numbers'!$C$29)-'My Numbers'!$C$27)+IF(('My Numbers'!$C$30="Yes"),(('My Numbers'!$C$20*(1+'My Numbers'!$C$94)*IF(('My Numbers'!$C$98="Yes"),1-'My Numbers'!$C$96,1)*IF(('My Numbers'!$C$100="Yes"),0,1))*'My Numbers'!$C$21*'My Numbers'!$C$22*'My Numbers'!$C$23)*'My Numbers'!$C$32*'My Numbers'!$C$31*IF(('My Numbers'!$C$99="Yes"),1-'My Numbers'!$C$97,1)*(1-'My Numbers'!$C$29),0)+IF(('My Numbers'!$C$33="Yes"),(IF(('My Numbers'!$C$33="Yes"),(('My Numbers'!$C$20*(1+'My Numbers'!$C$94)*IF(('My Numbers'!$C$98="Yes"),1-'My Numbers'!$C$96,1)*IF(('My Numbers'!$C$100="Yes"),0,1))*'My Numbers'!$C$21*'My Numbers'!$C$22*'My Numbers'!$C$23)*'My Numbers'!$C$36,0))*'My Numbers'!$C$37*('My Numbers'!$C$34*IF(('My Numbers'!$C$99="Yes"),1-'My Numbers'!$C$97,1)*(1-'My Numbers'!$C$29)-'My Numbers'!$C$35*'My Numbers'!$C$27),0)))*(IF('This Month'!$C$27="",1,IF((IF(('My Numbers'!$C$38="Yes"),((('My Numbers'!$C$20*(1+'My Numbers'!$C$94)*IF(('My Numbers'!$C$98="Yes"),1-'My Numbers'!$C$96,1)*IF(('My Numbers'!$C$100="Yes"),0,1))*'My Numbers'!$C$21*'My Numbers'!$C$22*'My Numbers'!$C$23)*MIN(1,'My Numbers'!$C$41*(1+'My Numbers'!$C$95)))*'My Numbers'!$C$40,(((('My Numbers'!$C$20*(1+'My Numbers'!$C$94)*IF(('My Numbers'!$C$98="Yes"),1-'My Numbers'!$C$96,1)*IF(('My Numbers'!$C$100="Yes"),0,1))*'My Numbers'!$C$21*'My Numbers'!$C$22*'My Numbers'!$C$23)-(IF(('My Numbers'!$C$33="Yes"),(('My Numbers'!$C$20*(1+'My Numbers'!$C$94)*IF(('My Numbers'!$C$98="Yes"),1-'My Numbers'!$C$96,1)*IF(('My Numbers'!$C$100="Yes"),0,1))*'My Numbers'!$C$21*'My Numbers'!$C$22*'My Numbers'!$C$23)*'My Numbers'!$C$36,0)))*(1+'My Numbers'!$C$24)+(IF(('My Numbers'!$C$33="Yes"),(('My Numbers'!$C$20*(1+'My Numbers'!$C$94)*IF(('My Numbers'!$C$98="Yes"),1-'My Numbers'!$C$96,1)*IF(('My Numbers'!$C$100="Yes"),0,1))*'My Numbers'!$C$21*'My Numbers'!$C$22*'My Numbers'!$C$23)*'My Numbers'!$C$36,0)))+((IF(('My Numbers'!$C$33="Yes"),(('My Numbers'!$C$20*(1+'My Numbers'!$C$94)*IF(('My Numbers'!$C$98="Yes"),1-'My Numbers'!$C$96,1)*IF(('My Numbers'!$C$100="Yes"),0,1))*'My Numbers'!$C$21*'My Numbers'!$C$22*'My Numbers'!$C$23)*'My Numbers'!$C$36,0))*'My Numbers'!$C$35*'My Numbers'!$C$37)))&gt;'This Month'!$C$27,'This Month'!$C$27/(IF(('My Numbers'!$C$38="Yes"),((('My Numbers'!$C$20*(1+'My Numbers'!$C$94)*IF(('My Numbers'!$C$98="Yes"),1-'My Numbers'!$C$96,1)*IF(('My Numbers'!$C$100="Yes"),0,1))*'My Numbers'!$C$21*'My Numbers'!$C$22*'My Numbers'!$C$23)*MIN(1,'My Numbers'!$C$41*(1+'My Numbers'!$C$95)))*'My Numbers'!$C$40,(((('My Numbers'!$C$20*(1+'My Numbers'!$C$94)*IF(('My Numbers'!$C$98="Yes"),1-'My Numbers'!$C$96,1)*IF(('My Numbers'!$C$100="Yes"),0,1))*'My Numbers'!$C$21*'My Numbers'!$C$22*'My Numbers'!$C$23)-(IF(('My Numbers'!$C$33="Yes"),(('My Numbers'!$C$20*(1+'My Numbers'!$C$94)*IF(('My Numbers'!$C$98="Yes"),1-'My Numbers'!$C$96,1)*IF(('My Numbers'!$C$100="Yes"),0,1))*'My Numbers'!$C$21*'My Numbers'!$C$22*'My Numbers'!$C$23)*'My Numbers'!$C$36,0)))*(1+'My Numbers'!$C$24)+(IF(('My Numbers'!$C$33="Yes"),(('My Numbers'!$C$20*(1+'My Numbers'!$C$94)*IF(('My Numbers'!$C$98="Yes"),1-'My Numbers'!$C$96,1)*IF(('My Numbers'!$C$100="Yes"),0,1))*'My Numbers'!$C$21*'My Numbers'!$C$22*'My Numbers'!$C$23)*'My Numbers'!$C$36,0)))+((IF(('My Numbers'!$C$33="Yes"),(('My Numbers'!$C$20*(1+'My Numbers'!$C$94)*IF(('My Numbers'!$C$98="Yes"),1-'My Numbers'!$C$96,1)*IF(('My Numbers'!$C$100="Yes"),0,1))*'My Numbers'!$C$21*'My Numbers'!$C$22*'My Numbers'!$C$23)*'My Numbers'!$C$36,0))*'My Numbers'!$C$35*'My Numbers'!$C$37))),1))),0)</f>
        <v>6204.15</v>
      </c>
      <c r="D5" s="37" t="n">
        <f aca="false">IF(('My Numbers'!$C$18="Yes"),IF(('My Numbers'!$C$38="Yes"),(((('My Numbers'!$C$20*1*IF(FALSE(),1-'My Numbers'!$C$96,1)*IF(FALSE(),0,1))*'My Numbers'!$C$21*'My Numbers'!$C$22*'My Numbers'!$C$23)*MIN(1,'My Numbers'!$C$41*1))*('My Numbers'!$C$39*IF(FALSE(),1-'My Numbers'!$C$97,1)*(1-'My Numbers'!$C$43)-'My Numbers'!$C$42)),((((('My Numbers'!$C$20*1*IF(FALSE(),1-'My Numbers'!$C$96,1)*IF(FALSE(),0,1))*'My Numbers'!$C$21*'My Numbers'!$C$22*'My Numbers'!$C$23)-(IF(('My Numbers'!$C$33="Yes"),(('My Numbers'!$C$20*1*IF(FALSE(),1-'My Numbers'!$C$96,1)*IF(FALSE(),0,1))*'My Numbers'!$C$21*'My Numbers'!$C$22*'My Numbers'!$C$23)*'My Numbers'!$C$36,0)))*(1+'My Numbers'!$C$24)+(IF(('My Numbers'!$C$33="Yes"),(('My Numbers'!$C$20*1*IF(FALSE(),1-'My Numbers'!$C$96,1)*IF(FALSE(),0,1))*'My Numbers'!$C$21*'My Numbers'!$C$22*'My Numbers'!$C$23)*'My Numbers'!$C$36,0)))*(('My Numbers'!$C$26*IF(FALSE(),1-'My Numbers'!$C$97,1))*(1-'My Numbers'!$C$29)-'My Numbers'!$C$27)+IF(('My Numbers'!$C$30="Yes"),(('My Numbers'!$C$20*1*IF(FALSE(),1-'My Numbers'!$C$96,1)*IF(FALSE(),0,1))*'My Numbers'!$C$21*'My Numbers'!$C$22*'My Numbers'!$C$23)*'My Numbers'!$C$32*'My Numbers'!$C$31*IF(FALSE(),1-'My Numbers'!$C$97,1)*(1-'My Numbers'!$C$29),0)+IF(('My Numbers'!$C$33="Yes"),(IF(('My Numbers'!$C$33="Yes"),(('My Numbers'!$C$20*1*IF(FALSE(),1-'My Numbers'!$C$96,1)*IF(FALSE(),0,1))*'My Numbers'!$C$21*'My Numbers'!$C$22*'My Numbers'!$C$23)*'My Numbers'!$C$36,0))*'My Numbers'!$C$37*('My Numbers'!$C$34*IF(FALSE(),1-'My Numbers'!$C$97,1)*(1-'My Numbers'!$C$29)-'My Numbers'!$C$35*'My Numbers'!$C$27),0)))*(IF('This Month'!$C$27="",1,IF((IF(('My Numbers'!$C$38="Yes"),((('My Numbers'!$C$20*1*IF(FALSE(),1-'My Numbers'!$C$96,1)*IF(FALSE(),0,1))*'My Numbers'!$C$21*'My Numbers'!$C$22*'My Numbers'!$C$23)*MIN(1,'My Numbers'!$C$41*1))*'My Numbers'!$C$40,(((('My Numbers'!$C$20*1*IF(FALSE(),1-'My Numbers'!$C$96,1)*IF(FALSE(),0,1))*'My Numbers'!$C$21*'My Numbers'!$C$22*'My Numbers'!$C$23)-(IF(('My Numbers'!$C$33="Yes"),(('My Numbers'!$C$20*1*IF(FALSE(),1-'My Numbers'!$C$96,1)*IF(FALSE(),0,1))*'My Numbers'!$C$21*'My Numbers'!$C$22*'My Numbers'!$C$23)*'My Numbers'!$C$36,0)))*(1+'My Numbers'!$C$24)+(IF(('My Numbers'!$C$33="Yes"),(('My Numbers'!$C$20*1*IF(FALSE(),1-'My Numbers'!$C$96,1)*IF(FALSE(),0,1))*'My Numbers'!$C$21*'My Numbers'!$C$22*'My Numbers'!$C$23)*'My Numbers'!$C$36,0)))+((IF(('My Numbers'!$C$33="Yes"),(('My Numbers'!$C$20*1*IF(FALSE(),1-'My Numbers'!$C$96,1)*IF(FALSE(),0,1))*'My Numbers'!$C$21*'My Numbers'!$C$22*'My Numbers'!$C$23)*'My Numbers'!$C$36,0))*'My Numbers'!$C$35*'My Numbers'!$C$37)))&gt;'This Month'!$C$27,'This Month'!$C$27/(IF(('My Numbers'!$C$38="Yes"),((('My Numbers'!$C$20*1*IF(FALSE(),1-'My Numbers'!$C$96,1)*IF(FALSE(),0,1))*'My Numbers'!$C$21*'My Numbers'!$C$22*'My Numbers'!$C$23)*MIN(1,'My Numbers'!$C$41*1))*'My Numbers'!$C$40,(((('My Numbers'!$C$20*1*IF(FALSE(),1-'My Numbers'!$C$96,1)*IF(FALSE(),0,1))*'My Numbers'!$C$21*'My Numbers'!$C$22*'My Numbers'!$C$23)-(IF(('My Numbers'!$C$33="Yes"),(('My Numbers'!$C$20*1*IF(FALSE(),1-'My Numbers'!$C$96,1)*IF(FALSE(),0,1))*'My Numbers'!$C$21*'My Numbers'!$C$22*'My Numbers'!$C$23)*'My Numbers'!$C$36,0)))*(1+'My Numbers'!$C$24)+(IF(('My Numbers'!$C$33="Yes"),(('My Numbers'!$C$20*1*IF(FALSE(),1-'My Numbers'!$C$96,1)*IF(FALSE(),0,1))*'My Numbers'!$C$21*'My Numbers'!$C$22*'My Numbers'!$C$23)*'My Numbers'!$C$36,0)))+((IF(('My Numbers'!$C$33="Yes"),(('My Numbers'!$C$20*1*IF(FALSE(),1-'My Numbers'!$C$96,1)*IF(FALSE(),0,1))*'My Numbers'!$C$21*'My Numbers'!$C$22*'My Numbers'!$C$23)*'My Numbers'!$C$36,0))*'My Numbers'!$C$35*'My Numbers'!$C$37))),1))),0)</f>
        <v>8815.21739130435</v>
      </c>
      <c r="E5" s="37" t="n">
        <f aca="false">IF(('My Numbers'!$C$18="Yes"),IF(('My Numbers'!$C$38="Yes"),(((('My Numbers'!$C$20*(1+'My Numbers'!$C$92)*IF(FALSE(),1-'My Numbers'!$C$96,1)*IF(FALSE(),0,1))*'My Numbers'!$C$21*'My Numbers'!$C$22*'My Numbers'!$C$23)*MIN(1,'My Numbers'!$C$41*(1+'My Numbers'!$C$93)))*('My Numbers'!$C$39*IF(FALSE(),1-'My Numbers'!$C$97,1)*(1-'My Numbers'!$C$43)-'My Numbers'!$C$42)),((((('My Numbers'!$C$20*(1+'My Numbers'!$C$92)*IF(FALSE(),1-'My Numbers'!$C$96,1)*IF(FALSE(),0,1))*'My Numbers'!$C$21*'My Numbers'!$C$22*'My Numbers'!$C$23)-(IF(('My Numbers'!$C$33="Yes"),(('My Numbers'!$C$20*(1+'My Numbers'!$C$92)*IF(FALSE(),1-'My Numbers'!$C$96,1)*IF(FALSE(),0,1))*'My Numbers'!$C$21*'My Numbers'!$C$22*'My Numbers'!$C$23)*'My Numbers'!$C$36,0)))*(1+'My Numbers'!$C$24)+(IF(('My Numbers'!$C$33="Yes"),(('My Numbers'!$C$20*(1+'My Numbers'!$C$92)*IF(FALSE(),1-'My Numbers'!$C$96,1)*IF(FALSE(),0,1))*'My Numbers'!$C$21*'My Numbers'!$C$22*'My Numbers'!$C$23)*'My Numbers'!$C$36,0)))*(('My Numbers'!$C$26*IF(FALSE(),1-'My Numbers'!$C$97,1))*(1-'My Numbers'!$C$29)-'My Numbers'!$C$27)+IF(('My Numbers'!$C$30="Yes"),(('My Numbers'!$C$20*(1+'My Numbers'!$C$92)*IF(FALSE(),1-'My Numbers'!$C$96,1)*IF(FALSE(),0,1))*'My Numbers'!$C$21*'My Numbers'!$C$22*'My Numbers'!$C$23)*'My Numbers'!$C$32*'My Numbers'!$C$31*IF(FALSE(),1-'My Numbers'!$C$97,1)*(1-'My Numbers'!$C$29),0)+IF(('My Numbers'!$C$33="Yes"),(IF(('My Numbers'!$C$33="Yes"),(('My Numbers'!$C$20*(1+'My Numbers'!$C$92)*IF(FALSE(),1-'My Numbers'!$C$96,1)*IF(FALSE(),0,1))*'My Numbers'!$C$21*'My Numbers'!$C$22*'My Numbers'!$C$23)*'My Numbers'!$C$36,0))*'My Numbers'!$C$37*('My Numbers'!$C$34*IF(FALSE(),1-'My Numbers'!$C$97,1)*(1-'My Numbers'!$C$29)-'My Numbers'!$C$35*'My Numbers'!$C$27),0)))*(IF('This Month'!$C$27="",1,IF((IF(('My Numbers'!$C$38="Yes"),((('My Numbers'!$C$20*(1+'My Numbers'!$C$92)*IF(FALSE(),1-'My Numbers'!$C$96,1)*IF(FALSE(),0,1))*'My Numbers'!$C$21*'My Numbers'!$C$22*'My Numbers'!$C$23)*MIN(1,'My Numbers'!$C$41*(1+'My Numbers'!$C$93)))*'My Numbers'!$C$40,(((('My Numbers'!$C$20*(1+'My Numbers'!$C$92)*IF(FALSE(),1-'My Numbers'!$C$96,1)*IF(FALSE(),0,1))*'My Numbers'!$C$21*'My Numbers'!$C$22*'My Numbers'!$C$23)-(IF(('My Numbers'!$C$33="Yes"),(('My Numbers'!$C$20*(1+'My Numbers'!$C$92)*IF(FALSE(),1-'My Numbers'!$C$96,1)*IF(FALSE(),0,1))*'My Numbers'!$C$21*'My Numbers'!$C$22*'My Numbers'!$C$23)*'My Numbers'!$C$36,0)))*(1+'My Numbers'!$C$24)+(IF(('My Numbers'!$C$33="Yes"),(('My Numbers'!$C$20*(1+'My Numbers'!$C$92)*IF(FALSE(),1-'My Numbers'!$C$96,1)*IF(FALSE(),0,1))*'My Numbers'!$C$21*'My Numbers'!$C$22*'My Numbers'!$C$23)*'My Numbers'!$C$36,0)))+((IF(('My Numbers'!$C$33="Yes"),(('My Numbers'!$C$20*(1+'My Numbers'!$C$92)*IF(FALSE(),1-'My Numbers'!$C$96,1)*IF(FALSE(),0,1))*'My Numbers'!$C$21*'My Numbers'!$C$22*'My Numbers'!$C$23)*'My Numbers'!$C$36,0))*'My Numbers'!$C$35*'My Numbers'!$C$37)))&gt;'This Month'!$C$27,'This Month'!$C$27/(IF(('My Numbers'!$C$38="Yes"),((('My Numbers'!$C$20*(1+'My Numbers'!$C$92)*IF(FALSE(),1-'My Numbers'!$C$96,1)*IF(FALSE(),0,1))*'My Numbers'!$C$21*'My Numbers'!$C$22*'My Numbers'!$C$23)*MIN(1,'My Numbers'!$C$41*(1+'My Numbers'!$C$93)))*'My Numbers'!$C$40,(((('My Numbers'!$C$20*(1+'My Numbers'!$C$92)*IF(FALSE(),1-'My Numbers'!$C$96,1)*IF(FALSE(),0,1))*'My Numbers'!$C$21*'My Numbers'!$C$22*'My Numbers'!$C$23)-(IF(('My Numbers'!$C$33="Yes"),(('My Numbers'!$C$20*(1+'My Numbers'!$C$92)*IF(FALSE(),1-'My Numbers'!$C$96,1)*IF(FALSE(),0,1))*'My Numbers'!$C$21*'My Numbers'!$C$22*'My Numbers'!$C$23)*'My Numbers'!$C$36,0)))*(1+'My Numbers'!$C$24)+(IF(('My Numbers'!$C$33="Yes"),(('My Numbers'!$C$20*(1+'My Numbers'!$C$92)*IF(FALSE(),1-'My Numbers'!$C$96,1)*IF(FALSE(),0,1))*'My Numbers'!$C$21*'My Numbers'!$C$22*'My Numbers'!$C$23)*'My Numbers'!$C$36,0)))+((IF(('My Numbers'!$C$33="Yes"),(('My Numbers'!$C$20*(1+'My Numbers'!$C$92)*IF(FALSE(),1-'My Numbers'!$C$96,1)*IF(FALSE(),0,1))*'My Numbers'!$C$21*'My Numbers'!$C$22*'My Numbers'!$C$23)*'My Numbers'!$C$36,0))*'My Numbers'!$C$35*'My Numbers'!$C$37))),1))),0)</f>
        <v>8815.21739130435</v>
      </c>
    </row>
    <row r="6" customFormat="false" ht="15" hidden="false" customHeight="false" outlineLevel="0" collapsed="false">
      <c r="B6" s="13" t="s">
        <v>115</v>
      </c>
      <c r="C6" s="37" t="n">
        <f aca="false">IF(('My Numbers'!$C$48="Yes"),('My Numbers'!$C$52*(1+'My Numbers'!$C$94)*'My Numbers'!$C$54*IF(('My Numbers'!$C$99="Yes"),1-'My Numbers'!$C$97,1)*(1-'My Numbers'!$C$55)+IF(('My Numbers'!$C$100="Yes"),0,'My Numbers'!$C$56*(1+'My Numbers'!$C$94)*'My Numbers'!$C$57*IF(('My Numbers'!$C$99="Yes"),1-'My Numbers'!$C$97,1)*(1-'My Numbers'!$C$58)+'My Numbers'!$C$60*(1+'My Numbers'!$C$94)*'My Numbers'!$C$62*IF(('My Numbers'!$C$99="Yes"),1-'My Numbers'!$C$97,1)))*IFERROR(INDEX('This Month'!$F$58:$F$61,MATCH("Content",'This Month'!$C$58:$C$61,0)),1),0)</f>
        <v>1560</v>
      </c>
      <c r="D6" s="37" t="n">
        <f aca="false">IF(('My Numbers'!$C$48="Yes"),('My Numbers'!$C$52*1*'My Numbers'!$C$54*IF(FALSE(),1-'My Numbers'!$C$97,1)*(1-'My Numbers'!$C$55)+IF(FALSE(),0,'My Numbers'!$C$56*1*'My Numbers'!$C$57*IF(FALSE(),1-'My Numbers'!$C$97,1)*(1-'My Numbers'!$C$58)+'My Numbers'!$C$60*1*'My Numbers'!$C$62*IF(FALSE(),1-'My Numbers'!$C$97,1)))*IFERROR(INDEX('This Month'!$F$58:$F$61,MATCH("Content",'This Month'!$C$58:$C$61,0)),1),0)</f>
        <v>2600</v>
      </c>
      <c r="E6" s="37" t="n">
        <f aca="false">IF(('My Numbers'!$C$48="Yes"),('My Numbers'!$C$52*(1+'My Numbers'!$C$92)*'My Numbers'!$C$54*IF(FALSE(),1-'My Numbers'!$C$97,1)*(1-'My Numbers'!$C$55)+IF(FALSE(),0,'My Numbers'!$C$56*(1+'My Numbers'!$C$92)*'My Numbers'!$C$57*IF(FALSE(),1-'My Numbers'!$C$97,1)*(1-'My Numbers'!$C$58)+'My Numbers'!$C$60*(1+'My Numbers'!$C$92)*'My Numbers'!$C$62*IF(FALSE(),1-'My Numbers'!$C$97,1)))*IFERROR(INDEX('This Month'!$F$58:$F$61,MATCH("Content",'This Month'!$C$58:$C$61,0)),1),0)</f>
        <v>3380</v>
      </c>
    </row>
    <row r="7" customFormat="false" ht="15" hidden="false" customHeight="false" outlineLevel="0" collapsed="false">
      <c r="B7" s="13" t="s">
        <v>139</v>
      </c>
      <c r="C7" s="37" t="n">
        <f aca="false">IF(('My Numbers'!$C$67="Yes"),IF(('My Numbers'!$C$100="Yes"),0,'My Numbers'!$C$69*(1+'My Numbers'!$C$94)*(1-'My Numbers'!$C$70*IF(('My Numbers'!$C$71="Yes"),0,1))*'My Numbers'!$C$72*IF(('My Numbers'!$C$99="Yes"),1-'My Numbers'!$C$97,1)*(1-'My Numbers'!$C$73))*IFERROR(INDEX('This Month'!$F$58:$F$61,MATCH("Calls",'This Month'!$C$58:$C$61,0)),1),0)</f>
        <v>864</v>
      </c>
      <c r="D7" s="37" t="n">
        <f aca="false">IF(('My Numbers'!$C$67="Yes"),IF(FALSE(),0,'My Numbers'!$C$69*1*(1-'My Numbers'!$C$70*IF(('My Numbers'!$C$71="Yes"),0,1))*'My Numbers'!$C$72*IF(FALSE(),1-'My Numbers'!$C$97,1)*(1-'My Numbers'!$C$73))*IFERROR(INDEX('This Month'!$F$58:$F$61,MATCH("Calls",'This Month'!$C$58:$C$61,0)),1),0)</f>
        <v>1440</v>
      </c>
      <c r="E7" s="37" t="n">
        <f aca="false">IF(('My Numbers'!$C$67="Yes"),IF(FALSE(),0,'My Numbers'!$C$69*(1+'My Numbers'!$C$92)*(1-'My Numbers'!$C$70*IF(('My Numbers'!$C$71="Yes"),0,1))*'My Numbers'!$C$72*IF(FALSE(),1-'My Numbers'!$C$97,1)*(1-'My Numbers'!$C$73))*IFERROR(INDEX('This Month'!$F$58:$F$61,MATCH("Calls",'This Month'!$C$58:$C$61,0)),1),0)</f>
        <v>1872</v>
      </c>
    </row>
    <row r="8" customFormat="false" ht="15" hidden="false" customHeight="false" outlineLevel="0" collapsed="false">
      <c r="B8" s="13" t="s">
        <v>149</v>
      </c>
      <c r="C8" s="37" t="n">
        <f aca="false">IF(('My Numbers'!$C$78="Yes"),('My Numbers'!$C$80*(1+'My Numbers'!$C$94)*'My Numbers'!$C$81*IF(('My Numbers'!$C$99="Yes"),1-'My Numbers'!$C$97,1)*(1-'My Numbers'!$C$84)*(1-'My Numbers'!$C$82)+IF(('My Numbers'!$C$100="Yes"),0,'My Numbers'!$C$85*(1+'My Numbers'!$C$94)*MIN(1,'My Numbers'!$C$86*(1+'My Numbers'!$C$95))*'My Numbers'!$C$87*IF(('My Numbers'!$C$99="Yes"),1-'My Numbers'!$C$97,1)*(1-'My Numbers'!$C$84)*(1-'My Numbers'!$C$82)))*IFERROR(INDEX('This Month'!$F$58:$F$61,MATCH("Regulars",'This Month'!$C$58:$C$61,0)),1),0)</f>
        <v>1080</v>
      </c>
      <c r="D8" s="37" t="n">
        <f aca="false">IF(('My Numbers'!$C$78="Yes"),('My Numbers'!$C$80*1*'My Numbers'!$C$81*IF(FALSE(),1-'My Numbers'!$C$97,1)*(1-'My Numbers'!$C$84)*(1-'My Numbers'!$C$82)+IF(FALSE(),0,'My Numbers'!$C$85*1*MIN(1,'My Numbers'!$C$86*1)*'My Numbers'!$C$87*IF(FALSE(),1-'My Numbers'!$C$97,1)*(1-'My Numbers'!$C$84)*(1-'My Numbers'!$C$82)))*IFERROR(INDEX('This Month'!$F$58:$F$61,MATCH("Regulars",'This Month'!$C$58:$C$61,0)),1),0)</f>
        <v>1800</v>
      </c>
      <c r="E8" s="37" t="n">
        <f aca="false">IF(('My Numbers'!$C$78="Yes"),('My Numbers'!$C$80*(1+'My Numbers'!$C$92)*'My Numbers'!$C$81*IF(FALSE(),1-'My Numbers'!$C$97,1)*(1-'My Numbers'!$C$84)*(1-'My Numbers'!$C$82)+IF(FALSE(),0,'My Numbers'!$C$85*(1+'My Numbers'!$C$92)*MIN(1,'My Numbers'!$C$86*(1+'My Numbers'!$C$93))*'My Numbers'!$C$87*IF(FALSE(),1-'My Numbers'!$C$97,1)*(1-'My Numbers'!$C$84)*(1-'My Numbers'!$C$82)))*IFERROR(INDEX('This Month'!$F$58:$F$61,MATCH("Regulars",'This Month'!$C$58:$C$61,0)),1),0)</f>
        <v>2340</v>
      </c>
    </row>
    <row r="9" customFormat="false" ht="15" hidden="false" customHeight="false" outlineLevel="0" collapsed="false">
      <c r="B9" s="6" t="s">
        <v>181</v>
      </c>
      <c r="C9" s="38" t="n">
        <f aca="false">SUM(C5:C8)</f>
        <v>9708.15</v>
      </c>
      <c r="D9" s="38" t="n">
        <f aca="false">SUM(D5:D8)</f>
        <v>14655.2173913043</v>
      </c>
      <c r="E9" s="38" t="n">
        <f aca="false">SUM(E5:E8)</f>
        <v>16407.2173913043</v>
      </c>
    </row>
    <row r="10" customFormat="false" ht="15" hidden="false" customHeight="false" outlineLevel="0" collapsed="false">
      <c r="B10" s="13" t="s">
        <v>286</v>
      </c>
      <c r="C10" s="37" t="n">
        <f aca="false">-'My Numbers'!$C$8-'My Numbers'!$C$13</f>
        <v>-1500</v>
      </c>
      <c r="D10" s="37" t="n">
        <f aca="false">-'My Numbers'!$C$8-'My Numbers'!$C$13</f>
        <v>-1500</v>
      </c>
      <c r="E10" s="37" t="n">
        <f aca="false">-'My Numbers'!$C$8-'My Numbers'!$C$13</f>
        <v>-1500</v>
      </c>
    </row>
    <row r="11" customFormat="false" ht="15" hidden="false" customHeight="false" outlineLevel="0" collapsed="false">
      <c r="B11" s="6" t="s">
        <v>250</v>
      </c>
      <c r="C11" s="53" t="n">
        <f aca="false">C9+C10</f>
        <v>8208.15</v>
      </c>
      <c r="D11" s="53" t="n">
        <f aca="false">D9+D10</f>
        <v>13155.2173913043</v>
      </c>
      <c r="E11" s="53" t="n">
        <f aca="false">E9+E10</f>
        <v>14907.2173913043</v>
      </c>
    </row>
    <row r="12" customFormat="false" ht="15" hidden="false" customHeight="false" outlineLevel="0" collapsed="false">
      <c r="B12" s="13" t="s">
        <v>287</v>
      </c>
      <c r="C12" s="37" t="n">
        <f aca="false">C11-'My Numbers'!$C$9</f>
        <v>-1791.85</v>
      </c>
      <c r="D12" s="37" t="n">
        <f aca="false">D11-'My Numbers'!$C$9</f>
        <v>3155.21739130435</v>
      </c>
      <c r="E12" s="37" t="n">
        <f aca="false">E11-'My Numbers'!$C$9</f>
        <v>4907.21739130435</v>
      </c>
    </row>
    <row r="13" customFormat="false" ht="15" hidden="false" customHeight="false" outlineLevel="0" collapsed="false">
      <c r="B13" s="13" t="s">
        <v>288</v>
      </c>
      <c r="C13" s="33" t="n">
        <f aca="false">IF('My Numbers'!$C$11="","not yet",IF(C12&gt;=0,"not needed",'My Numbers'!$C$11/(-C12)))</f>
        <v>5.02274185897258</v>
      </c>
      <c r="D13" s="33" t="str">
        <f aca="false">IF('My Numbers'!$C$11="","not yet",IF(D12&gt;=0,"not needed",'My Numbers'!$C$11/(-D12)))</f>
        <v>not needed</v>
      </c>
      <c r="E13" s="33" t="str">
        <f aca="false">IF('My Numbers'!$C$11="","not yet",IF(E12&gt;=0,"not needed",'My Numbers'!$C$11/(-E12)))</f>
        <v>not needed</v>
      </c>
    </row>
    <row r="15" customFormat="false" ht="30" hidden="false" customHeight="true" outlineLevel="0" collapsed="false">
      <c r="B15" s="7" t="s">
        <v>289</v>
      </c>
      <c r="C15" s="7"/>
      <c r="D15" s="7"/>
      <c r="E15" s="7"/>
    </row>
  </sheetData>
  <mergeCells count="3">
    <mergeCell ref="A1:F1"/>
    <mergeCell ref="A2:F2"/>
    <mergeCell ref="B15:E1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2B6"/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4"/>
  </cols>
  <sheetData>
    <row r="1" customFormat="false" ht="33.75" hidden="false" customHeight="true" outlineLevel="0" collapsed="false">
      <c r="A1" s="1" t="s">
        <v>30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290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291</v>
      </c>
      <c r="B4" s="4"/>
      <c r="C4" s="4"/>
      <c r="D4" s="4"/>
      <c r="E4" s="4"/>
      <c r="F4" s="4"/>
    </row>
    <row r="5" customFormat="false" ht="15" hidden="false" customHeight="false" outlineLevel="0" collapsed="false">
      <c r="B5" s="13" t="s">
        <v>292</v>
      </c>
      <c r="C5" s="37" t="n">
        <f aca="false">'My Numbers'!$C$9+'My Numbers'!$C$8+'My Numbers'!$C$13</f>
        <v>11500</v>
      </c>
    </row>
    <row r="6" customFormat="false" ht="15" hidden="false" customHeight="false" outlineLevel="0" collapsed="false">
      <c r="B6" s="13" t="s">
        <v>293</v>
      </c>
      <c r="C6" s="36" t="n">
        <f aca="false">'This Month'!$C$37</f>
        <v>172.3375</v>
      </c>
    </row>
    <row r="7" customFormat="false" ht="15" hidden="false" customHeight="false" outlineLevel="0" collapsed="false">
      <c r="B7" s="6" t="s">
        <v>294</v>
      </c>
      <c r="C7" s="58" t="n">
        <f aca="false">IF(OR(C6="",C6&lt;=0),"not yet",ROUNDUP(C5/C6,0))</f>
        <v>67</v>
      </c>
    </row>
    <row r="8" customFormat="false" ht="15" hidden="false" customHeight="false" outlineLevel="0" collapsed="false">
      <c r="B8" s="13" t="s">
        <v>295</v>
      </c>
      <c r="C8" s="34" t="n">
        <f aca="false">'My Numbers'!$C$20</f>
        <v>60</v>
      </c>
    </row>
    <row r="9" customFormat="false" ht="15" hidden="false" customHeight="false" outlineLevel="0" collapsed="false">
      <c r="B9" s="13" t="s">
        <v>296</v>
      </c>
      <c r="C9" s="33" t="n">
        <f aca="false">IF(C7="not yet","not yet",C7*'This Month'!$C$38)</f>
        <v>23.5773</v>
      </c>
    </row>
    <row r="10" customFormat="false" ht="33.75" hidden="false" customHeight="true" outlineLevel="0" collapsed="false">
      <c r="B10" s="6" t="s">
        <v>297</v>
      </c>
      <c r="C10" s="59" t="str">
        <f aca="false">IF(C9="not yet","not yet",IF('This Month'!$C$27="","No cap set",IF(C9&lt;='This Month'!$C$27,"Yes","No: at these prices the goal needs more than you can deliver. Raise price or add an offer before chasing volume.")))</f>
        <v>No: at these prices the goal needs more than you can deliver. Raise price or add an offer before chasing volume.</v>
      </c>
      <c r="D10" s="59"/>
    </row>
    <row r="12" customFormat="false" ht="24" hidden="false" customHeight="true" outlineLevel="0" collapsed="false">
      <c r="A12" s="3" t="s">
        <v>298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B13" s="13" t="s">
        <v>204</v>
      </c>
      <c r="C13" s="36" t="n">
        <f aca="false">'This Month'!$C$30</f>
        <v>375</v>
      </c>
    </row>
    <row r="14" customFormat="false" ht="15" hidden="false" customHeight="false" outlineLevel="0" collapsed="false">
      <c r="B14" s="6" t="s">
        <v>299</v>
      </c>
      <c r="C14" s="60" t="n">
        <f aca="false">IF('My Numbers'!$C$28&gt;0,('My Numbers'!$C$26-'My Numbers'!$C$27)/'My Numbers'!$C$28,"not yet")</f>
        <v>100</v>
      </c>
    </row>
    <row r="15" customFormat="false" ht="15" hidden="false" customHeight="false" outlineLevel="0" collapsed="false">
      <c r="B15" s="13" t="s">
        <v>300</v>
      </c>
      <c r="C15" s="36" t="n">
        <f aca="false">'My Numbers'!$C$39*(1-'My Numbers'!$C$43)-'My Numbers'!$C$42</f>
        <v>2450</v>
      </c>
    </row>
    <row r="16" customFormat="false" ht="15" hidden="false" customHeight="false" outlineLevel="0" collapsed="false">
      <c r="B16" s="13" t="s">
        <v>301</v>
      </c>
      <c r="C16" s="33" t="n">
        <f aca="false">IF(C15&gt;0,'My Numbers'!$C$9/C15,"not yet")</f>
        <v>4.08163265306123</v>
      </c>
      <c r="D16" s="44" t="str">
        <f aca="false">IF(C15&gt;0,TEXT('My Numbers'!$C$9/C15*'My Numbers'!$C$44,"0.0")&amp;" hours a month","")</f>
        <v>57.1 hours a month</v>
      </c>
    </row>
    <row r="18" customFormat="false" ht="24" hidden="false" customHeight="true" outlineLevel="0" collapsed="false">
      <c r="A18" s="3" t="s">
        <v>302</v>
      </c>
      <c r="B18" s="4"/>
      <c r="C18" s="4"/>
      <c r="D18" s="4"/>
      <c r="E18" s="4"/>
      <c r="F18" s="4"/>
    </row>
    <row r="19" customFormat="false" ht="25.5" hidden="false" customHeight="true" outlineLevel="0" collapsed="false">
      <c r="A19" s="12"/>
      <c r="B19" s="12" t="s">
        <v>303</v>
      </c>
      <c r="C19" s="12" t="s">
        <v>304</v>
      </c>
      <c r="D19" s="12" t="s">
        <v>305</v>
      </c>
    </row>
    <row r="20" customFormat="false" ht="15" hidden="false" customHeight="false" outlineLevel="0" collapsed="false">
      <c r="B20" s="13" t="s">
        <v>306</v>
      </c>
      <c r="C20" s="17" t="n">
        <v>800</v>
      </c>
    </row>
    <row r="21" customFormat="false" ht="15" hidden="false" customHeight="false" outlineLevel="0" collapsed="false">
      <c r="B21" s="13" t="s">
        <v>307</v>
      </c>
      <c r="C21" s="17" t="n">
        <v>200</v>
      </c>
    </row>
    <row r="22" customFormat="false" ht="15" hidden="false" customHeight="false" outlineLevel="0" collapsed="false">
      <c r="B22" s="13" t="s">
        <v>308</v>
      </c>
      <c r="C22" s="17" t="n">
        <v>150</v>
      </c>
    </row>
    <row r="23" customFormat="false" ht="15" hidden="false" customHeight="false" outlineLevel="0" collapsed="false">
      <c r="B23" s="13" t="s">
        <v>309</v>
      </c>
      <c r="C23" s="17" t="n">
        <v>300</v>
      </c>
    </row>
    <row r="24" customFormat="false" ht="15" hidden="false" customHeight="false" outlineLevel="0" collapsed="false">
      <c r="B24" s="13" t="s">
        <v>310</v>
      </c>
      <c r="C24" s="17" t="n">
        <v>400</v>
      </c>
    </row>
    <row r="25" customFormat="false" ht="15" hidden="false" customHeight="false" outlineLevel="0" collapsed="false">
      <c r="B25" s="13" t="s">
        <v>311</v>
      </c>
      <c r="C25" s="17" t="n">
        <v>100</v>
      </c>
    </row>
    <row r="26" customFormat="false" ht="15" hidden="false" customHeight="false" outlineLevel="0" collapsed="false">
      <c r="B26" s="6" t="s">
        <v>312</v>
      </c>
      <c r="C26" s="38" t="n">
        <f aca="false">SUM(C20:C25)</f>
        <v>1950</v>
      </c>
    </row>
    <row r="27" customFormat="false" ht="15" hidden="false" customHeight="false" outlineLevel="0" collapsed="false">
      <c r="B27" s="13" t="s">
        <v>313</v>
      </c>
      <c r="C27" s="61" t="n">
        <f aca="false">IF('My Numbers'!$C$26&gt;0,C26/'My Numbers'!$C$26,"")</f>
        <v>3.9</v>
      </c>
    </row>
    <row r="28" customFormat="false" ht="15" hidden="false" customHeight="false" outlineLevel="0" collapsed="false">
      <c r="B28" s="6" t="s">
        <v>314</v>
      </c>
      <c r="C28" s="62" t="n">
        <f aca="false">C26/3</f>
        <v>650</v>
      </c>
    </row>
    <row r="29" customFormat="false" ht="15" hidden="false" customHeight="true" outlineLevel="0" collapsed="false">
      <c r="B29" s="7" t="s">
        <v>315</v>
      </c>
      <c r="C29" s="7"/>
      <c r="D29" s="7"/>
    </row>
    <row r="31" customFormat="false" ht="24" hidden="false" customHeight="true" outlineLevel="0" collapsed="false">
      <c r="A31" s="3" t="s">
        <v>316</v>
      </c>
      <c r="B31" s="4"/>
      <c r="C31" s="4"/>
      <c r="D31" s="4"/>
      <c r="E31" s="4"/>
      <c r="F31" s="4"/>
    </row>
    <row r="32" customFormat="false" ht="15" hidden="false" customHeight="false" outlineLevel="0" collapsed="false">
      <c r="B32" s="13" t="s">
        <v>317</v>
      </c>
      <c r="C32" s="36" t="n">
        <f aca="false">'This Month'!$C$30*(1+'My Numbers'!$C$24)</f>
        <v>487.5</v>
      </c>
    </row>
    <row r="33" customFormat="false" ht="15" hidden="false" customHeight="false" outlineLevel="0" collapsed="false">
      <c r="B33" s="13" t="s">
        <v>318</v>
      </c>
      <c r="C33" s="36" t="n">
        <f aca="false">IF('This Month'!$C$16&gt;0,('My Numbers'!$C$13+'My Numbers'!$C$14*'My Numbers'!$C$12)/'This Month'!$C$16,"not yet")</f>
        <v>0</v>
      </c>
    </row>
    <row r="34" customFormat="false" ht="15" hidden="false" customHeight="false" outlineLevel="0" collapsed="false">
      <c r="B34" s="6" t="s">
        <v>319</v>
      </c>
      <c r="C34" s="63" t="str">
        <f aca="false">IF(OR(C33="not yet",C33&lt;=0),"no cost yet",C32/C33)</f>
        <v>no cost yet</v>
      </c>
    </row>
    <row r="35" customFormat="false" ht="15" hidden="false" customHeight="false" outlineLevel="0" collapsed="false">
      <c r="B35" s="13" t="s">
        <v>320</v>
      </c>
      <c r="C35" s="34" t="n">
        <f aca="false">IF(OR(C33="not yet",'This Month'!$C$30&lt;=0),"not yet",C33/('This Month'!$C$30/30))</f>
        <v>0</v>
      </c>
    </row>
    <row r="36" customFormat="false" ht="15" hidden="false" customHeight="true" outlineLevel="0" collapsed="false">
      <c r="B36" s="7" t="s">
        <v>321</v>
      </c>
      <c r="C36" s="7"/>
      <c r="D36" s="7"/>
    </row>
  </sheetData>
  <mergeCells count="5">
    <mergeCell ref="A1:F1"/>
    <mergeCell ref="A2:F2"/>
    <mergeCell ref="C10:D10"/>
    <mergeCell ref="B29:D29"/>
    <mergeCell ref="B36:D3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D4"/>
    <pageSetUpPr fitToPage="tru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322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12"/>
      <c r="B4" s="12" t="s">
        <v>323</v>
      </c>
      <c r="C4" s="12" t="s">
        <v>213</v>
      </c>
      <c r="D4" s="12" t="s">
        <v>324</v>
      </c>
      <c r="E4" s="12" t="s">
        <v>325</v>
      </c>
      <c r="F4" s="12" t="s">
        <v>326</v>
      </c>
      <c r="G4" s="12" t="s">
        <v>327</v>
      </c>
      <c r="H4" s="12" t="s">
        <v>328</v>
      </c>
    </row>
    <row r="5" customFormat="false" ht="15" hidden="false" customHeight="false" outlineLevel="0" collapsed="false">
      <c r="B5" s="64" t="n">
        <v>46272</v>
      </c>
      <c r="C5" s="14" t="n">
        <v>12</v>
      </c>
      <c r="D5" s="14" t="n">
        <v>3</v>
      </c>
      <c r="E5" s="14" t="n">
        <v>2</v>
      </c>
      <c r="F5" s="14" t="n">
        <v>20</v>
      </c>
      <c r="G5" s="14" t="n">
        <v>4</v>
      </c>
      <c r="H5" s="65" t="s">
        <v>329</v>
      </c>
    </row>
    <row r="6" customFormat="false" ht="15" hidden="false" customHeight="false" outlineLevel="0" collapsed="false">
      <c r="B6" s="64" t="n">
        <v>46279</v>
      </c>
      <c r="C6" s="14" t="n">
        <v>15</v>
      </c>
      <c r="D6" s="14" t="n">
        <v>4</v>
      </c>
      <c r="E6" s="14" t="n">
        <v>3</v>
      </c>
      <c r="F6" s="14" t="n">
        <v>24</v>
      </c>
      <c r="G6" s="14" t="n">
        <v>3</v>
      </c>
      <c r="H6" s="65"/>
    </row>
    <row r="7" customFormat="false" ht="15" hidden="false" customHeight="false" outlineLevel="0" collapsed="false">
      <c r="B7" s="64" t="n">
        <v>46286</v>
      </c>
      <c r="C7" s="14" t="n">
        <v>11</v>
      </c>
      <c r="D7" s="14" t="n">
        <v>2</v>
      </c>
      <c r="E7" s="14" t="n">
        <v>3</v>
      </c>
      <c r="F7" s="14" t="n">
        <v>18</v>
      </c>
      <c r="G7" s="14" t="n">
        <v>4</v>
      </c>
      <c r="H7" s="65"/>
    </row>
    <row r="8" customFormat="false" ht="15" hidden="false" customHeight="false" outlineLevel="0" collapsed="false">
      <c r="B8" s="64"/>
      <c r="C8" s="14"/>
      <c r="D8" s="14"/>
      <c r="E8" s="14"/>
      <c r="F8" s="14"/>
      <c r="G8" s="14"/>
      <c r="H8" s="65"/>
    </row>
    <row r="9" customFormat="false" ht="15" hidden="false" customHeight="false" outlineLevel="0" collapsed="false">
      <c r="B9" s="64"/>
      <c r="C9" s="14"/>
      <c r="D9" s="14"/>
      <c r="E9" s="14"/>
      <c r="F9" s="14"/>
      <c r="G9" s="14"/>
      <c r="H9" s="65"/>
    </row>
    <row r="10" customFormat="false" ht="15" hidden="false" customHeight="false" outlineLevel="0" collapsed="false">
      <c r="B10" s="64"/>
      <c r="C10" s="14"/>
      <c r="D10" s="14"/>
      <c r="E10" s="14"/>
      <c r="F10" s="14"/>
      <c r="G10" s="14"/>
      <c r="H10" s="65"/>
    </row>
    <row r="11" customFormat="false" ht="15" hidden="false" customHeight="false" outlineLevel="0" collapsed="false">
      <c r="B11" s="64"/>
      <c r="C11" s="14"/>
      <c r="D11" s="14"/>
      <c r="E11" s="14"/>
      <c r="F11" s="14"/>
      <c r="G11" s="14"/>
      <c r="H11" s="65"/>
    </row>
    <row r="12" customFormat="false" ht="15" hidden="false" customHeight="false" outlineLevel="0" collapsed="false">
      <c r="B12" s="64"/>
      <c r="C12" s="14"/>
      <c r="D12" s="14"/>
      <c r="E12" s="14"/>
      <c r="F12" s="14"/>
      <c r="G12" s="14"/>
      <c r="H12" s="65"/>
    </row>
    <row r="13" customFormat="false" ht="15" hidden="false" customHeight="false" outlineLevel="0" collapsed="false">
      <c r="B13" s="64"/>
      <c r="C13" s="14"/>
      <c r="D13" s="14"/>
      <c r="E13" s="14"/>
      <c r="F13" s="14"/>
      <c r="G13" s="14"/>
      <c r="H13" s="65"/>
    </row>
    <row r="14" customFormat="false" ht="15" hidden="false" customHeight="false" outlineLevel="0" collapsed="false">
      <c r="B14" s="64"/>
      <c r="C14" s="14"/>
      <c r="D14" s="14"/>
      <c r="E14" s="14"/>
      <c r="F14" s="14"/>
      <c r="G14" s="14"/>
      <c r="H14" s="65"/>
    </row>
    <row r="15" customFormat="false" ht="15" hidden="false" customHeight="false" outlineLevel="0" collapsed="false">
      <c r="B15" s="64"/>
      <c r="C15" s="14"/>
      <c r="D15" s="14"/>
      <c r="E15" s="14"/>
      <c r="F15" s="14"/>
      <c r="G15" s="14"/>
      <c r="H15" s="65"/>
    </row>
    <row r="16" customFormat="false" ht="15" hidden="false" customHeight="false" outlineLevel="0" collapsed="false">
      <c r="B16" s="64"/>
      <c r="C16" s="14"/>
      <c r="D16" s="14"/>
      <c r="E16" s="14"/>
      <c r="F16" s="14"/>
      <c r="G16" s="14"/>
      <c r="H16" s="65"/>
    </row>
    <row r="17" customFormat="false" ht="15" hidden="false" customHeight="false" outlineLevel="0" collapsed="false">
      <c r="B17" s="64"/>
      <c r="C17" s="14"/>
      <c r="D17" s="14"/>
      <c r="E17" s="14"/>
      <c r="F17" s="14"/>
      <c r="G17" s="14"/>
      <c r="H17" s="65"/>
    </row>
    <row r="18" customFormat="false" ht="15" hidden="false" customHeight="false" outlineLevel="0" collapsed="false">
      <c r="B18" s="64"/>
      <c r="C18" s="14"/>
      <c r="D18" s="14"/>
      <c r="E18" s="14"/>
      <c r="F18" s="14"/>
      <c r="G18" s="14"/>
      <c r="H18" s="65"/>
    </row>
    <row r="19" customFormat="false" ht="15" hidden="false" customHeight="false" outlineLevel="0" collapsed="false">
      <c r="B19" s="64"/>
      <c r="C19" s="14"/>
      <c r="D19" s="14"/>
      <c r="E19" s="14"/>
      <c r="F19" s="14"/>
      <c r="G19" s="14"/>
      <c r="H19" s="65"/>
    </row>
    <row r="20" customFormat="false" ht="15" hidden="false" customHeight="false" outlineLevel="0" collapsed="false">
      <c r="B20" s="64"/>
      <c r="C20" s="14"/>
      <c r="D20" s="14"/>
      <c r="E20" s="14"/>
      <c r="F20" s="14"/>
      <c r="G20" s="14"/>
      <c r="H20" s="65"/>
    </row>
    <row r="21" customFormat="false" ht="15" hidden="false" customHeight="false" outlineLevel="0" collapsed="false">
      <c r="B21" s="64"/>
      <c r="C21" s="14"/>
      <c r="D21" s="14"/>
      <c r="E21" s="14"/>
      <c r="F21" s="14"/>
      <c r="G21" s="14"/>
      <c r="H21" s="65"/>
    </row>
    <row r="22" customFormat="false" ht="15" hidden="false" customHeight="false" outlineLevel="0" collapsed="false">
      <c r="B22" s="64"/>
      <c r="C22" s="14"/>
      <c r="D22" s="14"/>
      <c r="E22" s="14"/>
      <c r="F22" s="14"/>
      <c r="G22" s="14"/>
      <c r="H22" s="65"/>
    </row>
    <row r="23" customFormat="false" ht="15" hidden="false" customHeight="false" outlineLevel="0" collapsed="false">
      <c r="B23" s="64"/>
      <c r="C23" s="14"/>
      <c r="D23" s="14"/>
      <c r="E23" s="14"/>
      <c r="F23" s="14"/>
      <c r="G23" s="14"/>
      <c r="H23" s="65"/>
    </row>
    <row r="24" customFormat="false" ht="15" hidden="false" customHeight="false" outlineLevel="0" collapsed="false">
      <c r="B24" s="64"/>
      <c r="C24" s="14"/>
      <c r="D24" s="14"/>
      <c r="E24" s="14"/>
      <c r="F24" s="14"/>
      <c r="G24" s="14"/>
      <c r="H24" s="65"/>
    </row>
    <row r="25" customFormat="false" ht="15" hidden="false" customHeight="false" outlineLevel="0" collapsed="false">
      <c r="B25" s="64"/>
      <c r="C25" s="14"/>
      <c r="D25" s="14"/>
      <c r="E25" s="14"/>
      <c r="F25" s="14"/>
      <c r="G25" s="14"/>
      <c r="H25" s="65"/>
    </row>
    <row r="26" customFormat="false" ht="15" hidden="false" customHeight="false" outlineLevel="0" collapsed="false">
      <c r="B26" s="64"/>
      <c r="C26" s="14"/>
      <c r="D26" s="14"/>
      <c r="E26" s="14"/>
      <c r="F26" s="14"/>
      <c r="G26" s="14"/>
      <c r="H26" s="65"/>
    </row>
    <row r="27" customFormat="false" ht="15" hidden="false" customHeight="false" outlineLevel="0" collapsed="false">
      <c r="B27" s="64"/>
      <c r="C27" s="14"/>
      <c r="D27" s="14"/>
      <c r="E27" s="14"/>
      <c r="F27" s="14"/>
      <c r="G27" s="14"/>
      <c r="H27" s="65"/>
    </row>
    <row r="28" customFormat="false" ht="15" hidden="false" customHeight="false" outlineLevel="0" collapsed="false">
      <c r="B28" s="64"/>
      <c r="C28" s="14"/>
      <c r="D28" s="14"/>
      <c r="E28" s="14"/>
      <c r="F28" s="14"/>
      <c r="G28" s="14"/>
      <c r="H28" s="65"/>
    </row>
    <row r="29" customFormat="false" ht="15" hidden="false" customHeight="false" outlineLevel="0" collapsed="false">
      <c r="B29" s="64"/>
      <c r="C29" s="14"/>
      <c r="D29" s="14"/>
      <c r="E29" s="14"/>
      <c r="F29" s="14"/>
      <c r="G29" s="14"/>
      <c r="H29" s="65"/>
    </row>
    <row r="30" customFormat="false" ht="15" hidden="false" customHeight="false" outlineLevel="0" collapsed="false">
      <c r="B30" s="64"/>
      <c r="C30" s="14"/>
      <c r="D30" s="14"/>
      <c r="E30" s="14"/>
      <c r="F30" s="14"/>
      <c r="G30" s="14"/>
      <c r="H30" s="65"/>
    </row>
    <row r="32" customFormat="false" ht="24" hidden="false" customHeight="true" outlineLevel="0" collapsed="false">
      <c r="A32" s="3" t="s">
        <v>330</v>
      </c>
      <c r="B32" s="4"/>
      <c r="C32" s="4"/>
      <c r="D32" s="4"/>
      <c r="E32" s="4"/>
      <c r="F32" s="4"/>
      <c r="G32" s="4"/>
      <c r="H32" s="4"/>
    </row>
    <row r="33" customFormat="false" ht="35.05" hidden="false" customHeight="false" outlineLevel="0" collapsed="false">
      <c r="B33" s="13" t="s">
        <v>331</v>
      </c>
      <c r="C33" s="33" t="n">
        <f aca="false">IFERROR(AVERAGE(INDEX(C5:C30,MAX(1,COUNT(C5:C30)-3)):INDEX(C5:C30,COUNT(C5:C30))),"")</f>
        <v>12.6666666666667</v>
      </c>
    </row>
    <row r="34" customFormat="false" ht="15" hidden="false" customHeight="false" outlineLevel="0" collapsed="false">
      <c r="B34" s="13" t="s">
        <v>332</v>
      </c>
      <c r="C34" s="33" t="n">
        <f aca="false">IF(C33="","",C33*52/12)</f>
        <v>54.8888888888889</v>
      </c>
    </row>
    <row r="35" customFormat="false" ht="15" hidden="false" customHeight="false" outlineLevel="0" collapsed="false">
      <c r="B35" s="13" t="s">
        <v>333</v>
      </c>
      <c r="C35" s="34" t="n">
        <f aca="false">'My Numbers'!$C$20</f>
        <v>60</v>
      </c>
    </row>
    <row r="36" customFormat="false" ht="15" hidden="false" customHeight="false" outlineLevel="0" collapsed="false">
      <c r="B36" s="6" t="s">
        <v>334</v>
      </c>
      <c r="C36" s="66" t="str">
        <f aca="false">IF(C34="","log four weeks first",IF('My Numbers'!$C$20&gt;0,TEXT((C34-'My Numbers'!$C$20)/'My Numbers'!$C$20,"+0%;-0%")&amp;IF(ABS((C34-'My Numbers'!$C$20)/'My Numbers'!$C$20)&gt;0.1,": consider typing "&amp;TEXT(C34,"0")&amp;" as your contacts on My Numbers",": close enough"),""))</f>
        <v>-9%: close enough</v>
      </c>
      <c r="D36" s="66"/>
      <c r="E36" s="66"/>
      <c r="F36" s="66"/>
      <c r="G36" s="66"/>
      <c r="H36" s="66"/>
    </row>
    <row r="37" customFormat="false" ht="23.85" hidden="false" customHeight="false" outlineLevel="0" collapsed="false">
      <c r="B37" s="13" t="s">
        <v>335</v>
      </c>
      <c r="C37" s="33" t="n">
        <f aca="false">IFERROR(AVERAGE(INDEX(D5:D30,MAX(1,COUNT(D5:D30)-3)):INDEX(D5:D30,COUNT(D5:D30))),"")</f>
        <v>3</v>
      </c>
    </row>
    <row r="38" customFormat="false" ht="23.85" hidden="false" customHeight="false" outlineLevel="0" collapsed="false">
      <c r="B38" s="13" t="s">
        <v>336</v>
      </c>
      <c r="C38" s="33" t="n">
        <f aca="false">IFERROR(AVERAGE(INDEX(F5:F30,MAX(1,COUNT(F5:F30)-3)):INDEX(F5:F30,COUNT(F5:F30))),"")</f>
        <v>20.6666666666667</v>
      </c>
    </row>
    <row r="39" customFormat="false" ht="23.85" hidden="false" customHeight="false" outlineLevel="0" collapsed="false">
      <c r="B39" s="13" t="s">
        <v>337</v>
      </c>
      <c r="C39" s="67" t="n">
        <f aca="false">IF(OR(C33="",C38="",C38=0),"",C33/C38)</f>
        <v>0.612903225806452</v>
      </c>
    </row>
    <row r="40" customFormat="false" ht="15" hidden="false" customHeight="false" outlineLevel="0" collapsed="false">
      <c r="B40" s="13" t="s">
        <v>338</v>
      </c>
      <c r="C40" s="34" t="n">
        <f aca="false">COUNT(C5:C30)</f>
        <v>3</v>
      </c>
    </row>
    <row r="41" customFormat="false" ht="15" hidden="false" customHeight="true" outlineLevel="0" collapsed="false">
      <c r="B41" s="7" t="s">
        <v>339</v>
      </c>
      <c r="C41" s="7"/>
      <c r="D41" s="7"/>
      <c r="E41" s="7"/>
      <c r="F41" s="7"/>
      <c r="G41" s="7"/>
      <c r="H41" s="7"/>
    </row>
  </sheetData>
  <mergeCells count="4">
    <mergeCell ref="A1:H1"/>
    <mergeCell ref="A2:H2"/>
    <mergeCell ref="C36:H36"/>
    <mergeCell ref="B41:H41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D4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33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340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12"/>
      <c r="B4" s="12" t="s">
        <v>341</v>
      </c>
      <c r="C4" s="12" t="s">
        <v>236</v>
      </c>
      <c r="D4" s="12" t="s">
        <v>342</v>
      </c>
      <c r="E4" s="12" t="s">
        <v>343</v>
      </c>
      <c r="F4" s="12" t="s">
        <v>344</v>
      </c>
      <c r="G4" s="12" t="s">
        <v>345</v>
      </c>
      <c r="H4" s="12" t="s">
        <v>346</v>
      </c>
      <c r="I4" s="12" t="s">
        <v>347</v>
      </c>
    </row>
    <row r="5" customFormat="false" ht="15" hidden="false" customHeight="false" outlineLevel="0" collapsed="false">
      <c r="B5" s="68" t="s">
        <v>348</v>
      </c>
      <c r="C5" s="69" t="s">
        <v>67</v>
      </c>
      <c r="D5" s="69" t="s">
        <v>349</v>
      </c>
      <c r="E5" s="69" t="s">
        <v>215</v>
      </c>
      <c r="F5" s="69" t="s">
        <v>350</v>
      </c>
      <c r="G5" s="17"/>
      <c r="H5" s="17"/>
      <c r="I5" s="69" t="s">
        <v>351</v>
      </c>
    </row>
    <row r="6" customFormat="false" ht="15" hidden="false" customHeight="false" outlineLevel="0" collapsed="false">
      <c r="B6" s="68" t="s">
        <v>352</v>
      </c>
      <c r="C6" s="69" t="s">
        <v>149</v>
      </c>
      <c r="D6" s="69" t="s">
        <v>353</v>
      </c>
      <c r="E6" s="69" t="s">
        <v>215</v>
      </c>
      <c r="F6" s="69" t="s">
        <v>354</v>
      </c>
      <c r="G6" s="17" t="n">
        <v>500</v>
      </c>
      <c r="H6" s="17" t="n">
        <v>620</v>
      </c>
      <c r="I6" s="69" t="s">
        <v>355</v>
      </c>
    </row>
    <row r="7" customFormat="false" ht="15" hidden="false" customHeight="false" outlineLevel="0" collapsed="false">
      <c r="B7" s="68"/>
      <c r="C7" s="69"/>
      <c r="D7" s="69"/>
      <c r="E7" s="69"/>
      <c r="F7" s="69"/>
      <c r="G7" s="17"/>
      <c r="H7" s="17"/>
      <c r="I7" s="69"/>
    </row>
    <row r="8" customFormat="false" ht="15" hidden="false" customHeight="false" outlineLevel="0" collapsed="false">
      <c r="B8" s="68"/>
      <c r="C8" s="69"/>
      <c r="D8" s="69"/>
      <c r="E8" s="69"/>
      <c r="F8" s="69"/>
      <c r="G8" s="17"/>
      <c r="H8" s="17"/>
      <c r="I8" s="69"/>
    </row>
    <row r="9" customFormat="false" ht="15" hidden="false" customHeight="false" outlineLevel="0" collapsed="false">
      <c r="B9" s="68"/>
      <c r="C9" s="69"/>
      <c r="D9" s="69"/>
      <c r="E9" s="69"/>
      <c r="F9" s="69"/>
      <c r="G9" s="17"/>
      <c r="H9" s="17"/>
      <c r="I9" s="69"/>
    </row>
    <row r="10" customFormat="false" ht="15" hidden="false" customHeight="false" outlineLevel="0" collapsed="false">
      <c r="B10" s="68"/>
      <c r="C10" s="69"/>
      <c r="D10" s="69"/>
      <c r="E10" s="69"/>
      <c r="F10" s="69"/>
      <c r="G10" s="17"/>
      <c r="H10" s="17"/>
      <c r="I10" s="69"/>
    </row>
    <row r="11" customFormat="false" ht="15" hidden="false" customHeight="false" outlineLevel="0" collapsed="false">
      <c r="B11" s="68"/>
      <c r="C11" s="69"/>
      <c r="D11" s="69"/>
      <c r="E11" s="69"/>
      <c r="F11" s="69"/>
      <c r="G11" s="17"/>
      <c r="H11" s="17"/>
      <c r="I11" s="69"/>
    </row>
    <row r="12" customFormat="false" ht="15" hidden="false" customHeight="false" outlineLevel="0" collapsed="false">
      <c r="B12" s="68"/>
      <c r="C12" s="69"/>
      <c r="D12" s="69"/>
      <c r="E12" s="69"/>
      <c r="F12" s="69"/>
      <c r="G12" s="17"/>
      <c r="H12" s="17"/>
      <c r="I12" s="69"/>
    </row>
    <row r="13" customFormat="false" ht="15" hidden="false" customHeight="false" outlineLevel="0" collapsed="false">
      <c r="B13" s="68"/>
      <c r="C13" s="69"/>
      <c r="D13" s="69"/>
      <c r="E13" s="69"/>
      <c r="F13" s="69"/>
      <c r="G13" s="17"/>
      <c r="H13" s="17"/>
      <c r="I13" s="69"/>
    </row>
    <row r="14" customFormat="false" ht="15" hidden="false" customHeight="false" outlineLevel="0" collapsed="false">
      <c r="B14" s="68"/>
      <c r="C14" s="69"/>
      <c r="D14" s="69"/>
      <c r="E14" s="69"/>
      <c r="F14" s="69"/>
      <c r="G14" s="17"/>
      <c r="H14" s="17"/>
      <c r="I14" s="69"/>
    </row>
    <row r="15" customFormat="false" ht="15" hidden="false" customHeight="false" outlineLevel="0" collapsed="false">
      <c r="B15" s="68"/>
      <c r="C15" s="69"/>
      <c r="D15" s="69"/>
      <c r="E15" s="69"/>
      <c r="F15" s="69"/>
      <c r="G15" s="17"/>
      <c r="H15" s="17"/>
      <c r="I15" s="69"/>
    </row>
    <row r="16" customFormat="false" ht="15" hidden="false" customHeight="false" outlineLevel="0" collapsed="false">
      <c r="B16" s="68"/>
      <c r="C16" s="69"/>
      <c r="D16" s="69"/>
      <c r="E16" s="69"/>
      <c r="F16" s="69"/>
      <c r="G16" s="17"/>
      <c r="H16" s="17"/>
      <c r="I16" s="69"/>
    </row>
    <row r="17" customFormat="false" ht="15" hidden="false" customHeight="false" outlineLevel="0" collapsed="false">
      <c r="B17" s="68"/>
      <c r="C17" s="69"/>
      <c r="D17" s="69"/>
      <c r="E17" s="69"/>
      <c r="F17" s="69"/>
      <c r="G17" s="17"/>
      <c r="H17" s="17"/>
      <c r="I17" s="69"/>
    </row>
    <row r="18" customFormat="false" ht="15" hidden="false" customHeight="false" outlineLevel="0" collapsed="false">
      <c r="B18" s="68"/>
      <c r="C18" s="69"/>
      <c r="D18" s="69"/>
      <c r="E18" s="69"/>
      <c r="F18" s="69"/>
      <c r="G18" s="17"/>
      <c r="H18" s="17"/>
      <c r="I18" s="69"/>
    </row>
    <row r="19" customFormat="false" ht="15" hidden="false" customHeight="false" outlineLevel="0" collapsed="false">
      <c r="B19" s="68"/>
      <c r="C19" s="69"/>
      <c r="D19" s="69"/>
      <c r="E19" s="69"/>
      <c r="F19" s="69"/>
      <c r="G19" s="17"/>
      <c r="H19" s="17"/>
      <c r="I19" s="69"/>
    </row>
    <row r="20" customFormat="false" ht="15" hidden="false" customHeight="false" outlineLevel="0" collapsed="false">
      <c r="B20" s="68"/>
      <c r="C20" s="69"/>
      <c r="D20" s="69"/>
      <c r="E20" s="69"/>
      <c r="F20" s="69"/>
      <c r="G20" s="17"/>
      <c r="H20" s="17"/>
      <c r="I20" s="69"/>
    </row>
    <row r="21" customFormat="false" ht="15" hidden="false" customHeight="false" outlineLevel="0" collapsed="false">
      <c r="B21" s="68"/>
      <c r="C21" s="69"/>
      <c r="D21" s="69"/>
      <c r="E21" s="69"/>
      <c r="F21" s="69"/>
      <c r="G21" s="17"/>
      <c r="H21" s="17"/>
      <c r="I21" s="69"/>
    </row>
    <row r="22" customFormat="false" ht="15" hidden="false" customHeight="false" outlineLevel="0" collapsed="false">
      <c r="B22" s="68"/>
      <c r="C22" s="69"/>
      <c r="D22" s="69"/>
      <c r="E22" s="69"/>
      <c r="F22" s="69"/>
      <c r="G22" s="17"/>
      <c r="H22" s="17"/>
      <c r="I22" s="69"/>
    </row>
    <row r="23" customFormat="false" ht="15" hidden="false" customHeight="false" outlineLevel="0" collapsed="false">
      <c r="B23" s="68"/>
      <c r="C23" s="69"/>
      <c r="D23" s="69"/>
      <c r="E23" s="69"/>
      <c r="F23" s="69"/>
      <c r="G23" s="17"/>
      <c r="H23" s="17"/>
      <c r="I23" s="69"/>
    </row>
    <row r="24" customFormat="false" ht="15" hidden="false" customHeight="false" outlineLevel="0" collapsed="false">
      <c r="B24" s="68"/>
      <c r="C24" s="69"/>
      <c r="D24" s="69"/>
      <c r="E24" s="69"/>
      <c r="F24" s="69"/>
      <c r="G24" s="17"/>
      <c r="H24" s="17"/>
      <c r="I24" s="69"/>
    </row>
    <row r="25" customFormat="false" ht="15" hidden="false" customHeight="false" outlineLevel="0" collapsed="false">
      <c r="B25" s="68"/>
      <c r="C25" s="69"/>
      <c r="D25" s="69"/>
      <c r="E25" s="69"/>
      <c r="F25" s="69"/>
      <c r="G25" s="17"/>
      <c r="H25" s="17"/>
      <c r="I25" s="69"/>
    </row>
    <row r="26" customFormat="false" ht="15" hidden="false" customHeight="false" outlineLevel="0" collapsed="false">
      <c r="B26" s="68"/>
      <c r="C26" s="69"/>
      <c r="D26" s="69"/>
      <c r="E26" s="69"/>
      <c r="F26" s="69"/>
      <c r="G26" s="17"/>
      <c r="H26" s="17"/>
      <c r="I26" s="69"/>
    </row>
    <row r="27" customFormat="false" ht="15" hidden="false" customHeight="false" outlineLevel="0" collapsed="false">
      <c r="B27" s="68"/>
      <c r="C27" s="69"/>
      <c r="D27" s="69"/>
      <c r="E27" s="69"/>
      <c r="F27" s="69"/>
      <c r="G27" s="17"/>
      <c r="H27" s="17"/>
      <c r="I27" s="69"/>
    </row>
    <row r="28" customFormat="false" ht="15" hidden="false" customHeight="false" outlineLevel="0" collapsed="false">
      <c r="B28" s="68"/>
      <c r="C28" s="69"/>
      <c r="D28" s="69"/>
      <c r="E28" s="69"/>
      <c r="F28" s="69"/>
      <c r="G28" s="17"/>
      <c r="H28" s="17"/>
      <c r="I28" s="69"/>
    </row>
    <row r="29" customFormat="false" ht="15" hidden="false" customHeight="false" outlineLevel="0" collapsed="false">
      <c r="B29" s="68"/>
      <c r="C29" s="69"/>
      <c r="D29" s="69"/>
      <c r="E29" s="69"/>
      <c r="F29" s="69"/>
      <c r="G29" s="17"/>
      <c r="H29" s="17"/>
      <c r="I29" s="69"/>
    </row>
    <row r="30" customFormat="false" ht="15" hidden="false" customHeight="false" outlineLevel="0" collapsed="false">
      <c r="B30" s="68"/>
      <c r="C30" s="69"/>
      <c r="D30" s="69"/>
      <c r="E30" s="69"/>
      <c r="F30" s="69"/>
      <c r="G30" s="17"/>
      <c r="H30" s="17"/>
      <c r="I30" s="69"/>
    </row>
    <row r="31" customFormat="false" ht="15" hidden="false" customHeight="false" outlineLevel="0" collapsed="false">
      <c r="B31" s="68"/>
      <c r="C31" s="69"/>
      <c r="D31" s="69"/>
      <c r="E31" s="69"/>
      <c r="F31" s="69"/>
      <c r="G31" s="17"/>
      <c r="H31" s="17"/>
      <c r="I31" s="69"/>
    </row>
    <row r="32" customFormat="false" ht="15" hidden="false" customHeight="false" outlineLevel="0" collapsed="false">
      <c r="B32" s="68"/>
      <c r="C32" s="69"/>
      <c r="D32" s="69"/>
      <c r="E32" s="69"/>
      <c r="F32" s="69"/>
      <c r="G32" s="17"/>
      <c r="H32" s="17"/>
      <c r="I32" s="69"/>
    </row>
    <row r="33" customFormat="false" ht="15" hidden="false" customHeight="false" outlineLevel="0" collapsed="false">
      <c r="B33" s="68"/>
      <c r="C33" s="69"/>
      <c r="D33" s="69"/>
      <c r="E33" s="69"/>
      <c r="F33" s="69"/>
      <c r="G33" s="17"/>
      <c r="H33" s="17"/>
      <c r="I33" s="69"/>
    </row>
    <row r="34" customFormat="false" ht="15" hidden="false" customHeight="false" outlineLevel="0" collapsed="false">
      <c r="B34" s="68"/>
      <c r="C34" s="69"/>
      <c r="D34" s="69"/>
      <c r="E34" s="69"/>
      <c r="F34" s="69"/>
      <c r="G34" s="17"/>
      <c r="H34" s="17"/>
      <c r="I34" s="69"/>
    </row>
    <row r="35" customFormat="false" ht="15" hidden="false" customHeight="false" outlineLevel="0" collapsed="false">
      <c r="B35" s="68"/>
      <c r="C35" s="69"/>
      <c r="D35" s="69"/>
      <c r="E35" s="69"/>
      <c r="F35" s="69"/>
      <c r="G35" s="17"/>
      <c r="H35" s="17"/>
      <c r="I35" s="69"/>
    </row>
    <row r="36" customFormat="false" ht="15" hidden="false" customHeight="false" outlineLevel="0" collapsed="false">
      <c r="B36" s="68"/>
      <c r="C36" s="69"/>
      <c r="D36" s="69"/>
      <c r="E36" s="69"/>
      <c r="F36" s="69"/>
      <c r="G36" s="17"/>
      <c r="H36" s="17"/>
      <c r="I36" s="69"/>
    </row>
    <row r="37" customFormat="false" ht="15" hidden="false" customHeight="false" outlineLevel="0" collapsed="false">
      <c r="B37" s="68"/>
      <c r="C37" s="69"/>
      <c r="D37" s="69"/>
      <c r="E37" s="69"/>
      <c r="F37" s="69"/>
      <c r="G37" s="17"/>
      <c r="H37" s="17"/>
      <c r="I37" s="69"/>
    </row>
    <row r="38" customFormat="false" ht="15" hidden="false" customHeight="false" outlineLevel="0" collapsed="false">
      <c r="B38" s="68"/>
      <c r="C38" s="69"/>
      <c r="D38" s="69"/>
      <c r="E38" s="69"/>
      <c r="F38" s="69"/>
      <c r="G38" s="17"/>
      <c r="H38" s="17"/>
      <c r="I38" s="69"/>
    </row>
    <row r="39" customFormat="false" ht="15" hidden="false" customHeight="false" outlineLevel="0" collapsed="false">
      <c r="B39" s="68"/>
      <c r="C39" s="69"/>
      <c r="D39" s="69"/>
      <c r="E39" s="69"/>
      <c r="F39" s="69"/>
      <c r="G39" s="17"/>
      <c r="H39" s="17"/>
      <c r="I39" s="69"/>
    </row>
    <row r="40" customFormat="false" ht="15" hidden="false" customHeight="false" outlineLevel="0" collapsed="false">
      <c r="B40" s="68"/>
      <c r="C40" s="69"/>
      <c r="D40" s="69"/>
      <c r="E40" s="69"/>
      <c r="F40" s="69"/>
      <c r="G40" s="17"/>
      <c r="H40" s="17"/>
      <c r="I40" s="69"/>
    </row>
    <row r="41" customFormat="false" ht="15" hidden="false" customHeight="false" outlineLevel="0" collapsed="false">
      <c r="B41" s="68"/>
      <c r="C41" s="69"/>
      <c r="D41" s="69"/>
      <c r="E41" s="69"/>
      <c r="F41" s="69"/>
      <c r="G41" s="17"/>
      <c r="H41" s="17"/>
      <c r="I41" s="69"/>
    </row>
    <row r="42" customFormat="false" ht="15" hidden="false" customHeight="false" outlineLevel="0" collapsed="false">
      <c r="B42" s="68"/>
      <c r="C42" s="69"/>
      <c r="D42" s="69"/>
      <c r="E42" s="69"/>
      <c r="F42" s="69"/>
      <c r="G42" s="17"/>
      <c r="H42" s="17"/>
      <c r="I42" s="69"/>
    </row>
    <row r="43" customFormat="false" ht="15" hidden="false" customHeight="false" outlineLevel="0" collapsed="false">
      <c r="B43" s="68"/>
      <c r="C43" s="69"/>
      <c r="D43" s="69"/>
      <c r="E43" s="69"/>
      <c r="F43" s="69"/>
      <c r="G43" s="17"/>
      <c r="H43" s="17"/>
      <c r="I43" s="69"/>
    </row>
    <row r="44" customFormat="false" ht="15" hidden="false" customHeight="false" outlineLevel="0" collapsed="false">
      <c r="B44" s="68"/>
      <c r="C44" s="69"/>
      <c r="D44" s="69"/>
      <c r="E44" s="69"/>
      <c r="F44" s="69"/>
      <c r="G44" s="17"/>
      <c r="H44" s="17"/>
      <c r="I44" s="69"/>
    </row>
    <row r="46" customFormat="false" ht="24" hidden="false" customHeight="true" outlineLevel="0" collapsed="false">
      <c r="A46" s="3" t="s">
        <v>356</v>
      </c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B47" s="13" t="s">
        <v>357</v>
      </c>
      <c r="C47" s="34" t="n">
        <f aca="false">COUNTIF(D5:D44,"Contacted")</f>
        <v>0</v>
      </c>
    </row>
    <row r="48" customFormat="false" ht="15" hidden="false" customHeight="false" outlineLevel="0" collapsed="false">
      <c r="B48" s="13" t="s">
        <v>358</v>
      </c>
      <c r="C48" s="34" t="n">
        <f aca="false">COUNTIF(D5:D44,"Screening")</f>
        <v>0</v>
      </c>
    </row>
    <row r="49" customFormat="false" ht="15" hidden="false" customHeight="false" outlineLevel="0" collapsed="false">
      <c r="B49" s="13" t="s">
        <v>216</v>
      </c>
      <c r="C49" s="34" t="n">
        <f aca="false">COUNTIF(D5:D44,"Booked")</f>
        <v>0</v>
      </c>
    </row>
    <row r="50" customFormat="false" ht="15" hidden="false" customHeight="false" outlineLevel="0" collapsed="false">
      <c r="B50" s="13" t="s">
        <v>218</v>
      </c>
      <c r="C50" s="34" t="n">
        <f aca="false">COUNTIF(D5:D44,"Showed")</f>
        <v>0</v>
      </c>
    </row>
    <row r="51" customFormat="false" ht="15" hidden="false" customHeight="false" outlineLevel="0" collapsed="false">
      <c r="B51" s="13" t="s">
        <v>349</v>
      </c>
      <c r="C51" s="34" t="n">
        <f aca="false">COUNTIF(D5:D44,"Client")</f>
        <v>1</v>
      </c>
    </row>
    <row r="52" customFormat="false" ht="15" hidden="false" customHeight="false" outlineLevel="0" collapsed="false">
      <c r="B52" s="13" t="s">
        <v>353</v>
      </c>
      <c r="C52" s="34" t="n">
        <f aca="false">COUNTIF(D5:D44,"Regular")</f>
        <v>1</v>
      </c>
    </row>
    <row r="53" customFormat="false" ht="15" hidden="false" customHeight="false" outlineLevel="0" collapsed="false">
      <c r="B53" s="13" t="s">
        <v>359</v>
      </c>
      <c r="C53" s="34" t="n">
        <f aca="false">COUNTIF(D5:D44,"Lost")</f>
        <v>0</v>
      </c>
    </row>
    <row r="55" customFormat="false" ht="24" hidden="false" customHeight="true" outlineLevel="0" collapsed="false">
      <c r="A55" s="3" t="s">
        <v>360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B56" s="13" t="s">
        <v>361</v>
      </c>
      <c r="C56" s="34" t="n">
        <f aca="false">COUNTA(B5:B44)</f>
        <v>2</v>
      </c>
    </row>
    <row r="57" customFormat="false" ht="15" hidden="false" customHeight="false" outlineLevel="0" collapsed="false">
      <c r="B57" s="13" t="s">
        <v>362</v>
      </c>
      <c r="C57" s="34" t="n">
        <f aca="false">COUNTIF(E5:E44,"Passed")</f>
        <v>2</v>
      </c>
    </row>
    <row r="58" customFormat="false" ht="15" hidden="false" customHeight="false" outlineLevel="0" collapsed="false">
      <c r="B58" s="13" t="s">
        <v>363</v>
      </c>
      <c r="C58" s="34" t="n">
        <f aca="false">COUNTIF(D5:D44,"Booked")+COUNTIF(D5:D44,"Showed")+COUNTIF(D5:D44,"Client")+COUNTIF(D5:D44,"Regular")</f>
        <v>2</v>
      </c>
    </row>
    <row r="59" customFormat="false" ht="15" hidden="false" customHeight="false" outlineLevel="0" collapsed="false">
      <c r="B59" s="13" t="s">
        <v>364</v>
      </c>
      <c r="C59" s="45" t="n">
        <f aca="false">IF(C56&gt;0,C57/C56,"")</f>
        <v>1</v>
      </c>
    </row>
    <row r="60" customFormat="false" ht="23.85" hidden="false" customHeight="false" outlineLevel="0" collapsed="false">
      <c r="B60" s="13" t="s">
        <v>365</v>
      </c>
      <c r="C60" s="45" t="n">
        <f aca="false">IF(C57&gt;0,C58/C57,"")</f>
        <v>1</v>
      </c>
    </row>
    <row r="61" customFormat="false" ht="15" hidden="false" customHeight="true" outlineLevel="0" collapsed="false">
      <c r="B61" s="7" t="s">
        <v>366</v>
      </c>
      <c r="C61" s="7"/>
      <c r="D61" s="7"/>
      <c r="E61" s="7"/>
      <c r="F61" s="7"/>
      <c r="G61" s="7"/>
      <c r="H61" s="7"/>
    </row>
  </sheetData>
  <mergeCells count="3">
    <mergeCell ref="A1:I1"/>
    <mergeCell ref="A2:I2"/>
    <mergeCell ref="B61:H61"/>
  </mergeCells>
  <conditionalFormatting sqref="H5:H44">
    <cfRule type="cellIs" priority="2" operator="greaterThan" aboveAverage="0" equalAverage="0" bottom="0" percent="0" rank="0" text="" dxfId="1">
      <formula>G5</formula>
    </cfRule>
  </conditionalFormatting>
  <dataValidations count="4">
    <dataValidation allowBlank="true" errorStyle="stop" operator="between" showDropDown="false" showErrorMessage="false" showInputMessage="false" sqref="D5:D44" type="list">
      <formula1>"Contacted,Screening,Booked,Showed,Client,Regular,Lost"</formula1>
      <formula2>0</formula2>
    </dataValidation>
    <dataValidation allowBlank="true" errorStyle="stop" operator="between" showDropDown="false" showErrorMessage="false" showInputMessage="false" sqref="E5:E44" type="list">
      <formula1>"Not yet,Passed,Did not pass,Withdrew"</formula1>
      <formula2>0</formula2>
    </dataValidation>
    <dataValidation allowBlank="true" errorStyle="stop" operator="between" showDropDown="false" showErrorMessage="false" showInputMessage="false" sqref="F5:F44" type="list">
      <formula1>"None,Asked,Paid,Refunded,Kept"</formula1>
      <formula2>0</formula2>
    </dataValidation>
    <dataValidation allowBlank="true" errorStyle="stop" operator="between" showDropDown="false" showErrorMessage="false" showInputMessage="false" sqref="C5:C44" type="list">
      <formula1>"In person,Content,Calls,Regulars"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687A"/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  <col collapsed="false" customWidth="true" hidden="false" outlineLevel="0" max="4" min="4" style="0" width="4"/>
  </cols>
  <sheetData>
    <row r="1" customFormat="false" ht="33.75" hidden="false" customHeight="true" outlineLevel="0" collapsed="false">
      <c r="A1" s="1" t="s">
        <v>36</v>
      </c>
      <c r="B1" s="1"/>
      <c r="C1" s="1"/>
      <c r="D1" s="1"/>
    </row>
    <row r="2" customFormat="false" ht="30" hidden="false" customHeight="true" outlineLevel="0" collapsed="false">
      <c r="A2" s="2" t="s">
        <v>367</v>
      </c>
      <c r="B2" s="2"/>
      <c r="C2" s="2"/>
      <c r="D2" s="2"/>
    </row>
    <row r="4" customFormat="false" ht="30" hidden="false" customHeight="true" outlineLevel="0" collapsed="false">
      <c r="B4" s="6" t="s">
        <v>213</v>
      </c>
      <c r="C4" s="55" t="s">
        <v>368</v>
      </c>
    </row>
    <row r="5" customFormat="false" ht="30" hidden="false" customHeight="true" outlineLevel="0" collapsed="false">
      <c r="B5" s="6" t="s">
        <v>369</v>
      </c>
      <c r="C5" s="55" t="s">
        <v>370</v>
      </c>
    </row>
    <row r="6" customFormat="false" ht="30" hidden="false" customHeight="true" outlineLevel="0" collapsed="false">
      <c r="B6" s="6" t="s">
        <v>261</v>
      </c>
      <c r="C6" s="55" t="s">
        <v>371</v>
      </c>
    </row>
    <row r="7" customFormat="false" ht="30" hidden="false" customHeight="true" outlineLevel="0" collapsed="false">
      <c r="B7" s="6" t="s">
        <v>263</v>
      </c>
      <c r="C7" s="55" t="s">
        <v>372</v>
      </c>
    </row>
    <row r="8" customFormat="false" ht="30" hidden="false" customHeight="true" outlineLevel="0" collapsed="false">
      <c r="B8" s="6" t="s">
        <v>265</v>
      </c>
      <c r="C8" s="55" t="s">
        <v>373</v>
      </c>
    </row>
    <row r="9" customFormat="false" ht="30" hidden="false" customHeight="true" outlineLevel="0" collapsed="false">
      <c r="B9" s="6" t="s">
        <v>374</v>
      </c>
      <c r="C9" s="55" t="s">
        <v>375</v>
      </c>
    </row>
    <row r="10" customFormat="false" ht="30" hidden="false" customHeight="true" outlineLevel="0" collapsed="false">
      <c r="B10" s="6" t="s">
        <v>181</v>
      </c>
      <c r="C10" s="55" t="s">
        <v>376</v>
      </c>
    </row>
    <row r="11" customFormat="false" ht="30" hidden="false" customHeight="true" outlineLevel="0" collapsed="false">
      <c r="B11" s="6" t="s">
        <v>252</v>
      </c>
      <c r="C11" s="55" t="s">
        <v>377</v>
      </c>
    </row>
    <row r="12" customFormat="false" ht="30" hidden="false" customHeight="true" outlineLevel="0" collapsed="false">
      <c r="B12" s="6" t="s">
        <v>250</v>
      </c>
      <c r="C12" s="55" t="s">
        <v>378</v>
      </c>
    </row>
    <row r="13" customFormat="false" ht="30" hidden="false" customHeight="true" outlineLevel="0" collapsed="false">
      <c r="B13" s="6" t="s">
        <v>379</v>
      </c>
      <c r="C13" s="55" t="s">
        <v>380</v>
      </c>
    </row>
    <row r="14" customFormat="false" ht="30" hidden="false" customHeight="true" outlineLevel="0" collapsed="false">
      <c r="B14" s="6" t="s">
        <v>381</v>
      </c>
      <c r="C14" s="55" t="s">
        <v>382</v>
      </c>
    </row>
    <row r="15" customFormat="false" ht="30" hidden="false" customHeight="true" outlineLevel="0" collapsed="false">
      <c r="B15" s="6" t="s">
        <v>383</v>
      </c>
      <c r="C15" s="55" t="s">
        <v>384</v>
      </c>
    </row>
    <row r="16" customFormat="false" ht="30" hidden="false" customHeight="true" outlineLevel="0" collapsed="false">
      <c r="B16" s="6" t="s">
        <v>47</v>
      </c>
      <c r="C16" s="55" t="s">
        <v>385</v>
      </c>
    </row>
    <row r="17" customFormat="false" ht="30" hidden="false" customHeight="true" outlineLevel="0" collapsed="false">
      <c r="B17" s="6" t="s">
        <v>386</v>
      </c>
      <c r="C17" s="55" t="s">
        <v>387</v>
      </c>
    </row>
    <row r="18" customFormat="false" ht="30" hidden="false" customHeight="true" outlineLevel="0" collapsed="false">
      <c r="B18" s="6" t="s">
        <v>388</v>
      </c>
      <c r="C18" s="55" t="s">
        <v>389</v>
      </c>
    </row>
    <row r="19" customFormat="false" ht="30" hidden="false" customHeight="true" outlineLevel="0" collapsed="false">
      <c r="B19" s="6" t="s">
        <v>390</v>
      </c>
      <c r="C19" s="55" t="s">
        <v>391</v>
      </c>
    </row>
    <row r="20" customFormat="false" ht="30" hidden="false" customHeight="true" outlineLevel="0" collapsed="false">
      <c r="B20" s="6" t="s">
        <v>392</v>
      </c>
      <c r="C20" s="55" t="s">
        <v>393</v>
      </c>
    </row>
    <row r="21" customFormat="false" ht="30" hidden="false" customHeight="true" outlineLevel="0" collapsed="false">
      <c r="B21" s="6" t="s">
        <v>394</v>
      </c>
      <c r="C21" s="55" t="s">
        <v>395</v>
      </c>
    </row>
    <row r="22" customFormat="false" ht="30" hidden="false" customHeight="true" outlineLevel="0" collapsed="false">
      <c r="B22" s="6" t="s">
        <v>396</v>
      </c>
      <c r="C22" s="55" t="s">
        <v>397</v>
      </c>
    </row>
    <row r="23" customFormat="false" ht="30" hidden="false" customHeight="true" outlineLevel="0" collapsed="false">
      <c r="B23" s="6" t="s">
        <v>398</v>
      </c>
      <c r="C23" s="55" t="s">
        <v>399</v>
      </c>
    </row>
    <row r="24" customFormat="false" ht="30" hidden="false" customHeight="true" outlineLevel="0" collapsed="false">
      <c r="B24" s="6" t="s">
        <v>400</v>
      </c>
      <c r="C24" s="55" t="s">
        <v>401</v>
      </c>
    </row>
    <row r="25" customFormat="false" ht="30" hidden="false" customHeight="true" outlineLevel="0" collapsed="false">
      <c r="B25" s="6" t="s">
        <v>402</v>
      </c>
      <c r="C25" s="55" t="s">
        <v>403</v>
      </c>
    </row>
    <row r="26" customFormat="false" ht="30" hidden="false" customHeight="true" outlineLevel="0" collapsed="false">
      <c r="B26" s="6" t="s">
        <v>404</v>
      </c>
      <c r="C26" s="55" t="s">
        <v>405</v>
      </c>
    </row>
    <row r="27" customFormat="false" ht="30" hidden="false" customHeight="true" outlineLevel="0" collapsed="false">
      <c r="B27" s="6" t="s">
        <v>406</v>
      </c>
      <c r="C27" s="55" t="s">
        <v>407</v>
      </c>
    </row>
    <row r="28" customFormat="false" ht="30" hidden="false" customHeight="true" outlineLevel="0" collapsed="false">
      <c r="B28" s="6" t="s">
        <v>408</v>
      </c>
      <c r="C28" s="55" t="s">
        <v>409</v>
      </c>
    </row>
    <row r="29" customFormat="false" ht="30" hidden="false" customHeight="true" outlineLevel="0" collapsed="false">
      <c r="B29" s="6" t="s">
        <v>410</v>
      </c>
      <c r="C29" s="55" t="s">
        <v>411</v>
      </c>
    </row>
    <row r="30" customFormat="false" ht="30" hidden="false" customHeight="true" outlineLevel="0" collapsed="false">
      <c r="B30" s="6" t="s">
        <v>412</v>
      </c>
      <c r="C30" s="55" t="s">
        <v>413</v>
      </c>
    </row>
    <row r="31" customFormat="false" ht="30" hidden="false" customHeight="true" outlineLevel="0" collapsed="false">
      <c r="B31" s="6" t="s">
        <v>414</v>
      </c>
      <c r="C31" s="55" t="s">
        <v>415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2026-09-26T18:13:12Z</dcterms:created>
  <dc:creator>openpyxl</dc:creator>
  <dc:description/>
  <dc:language>en-US</dc:language>
  <cp:lastModifiedBy/>
  <dcterms:modified xsi:type="dcterms:W3CDTF">2026-09-26T18:13:14Z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