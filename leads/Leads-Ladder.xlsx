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Machine" sheetId="2" state="visible" r:id="rId4"/>
    <sheet name="Magnet" sheetId="3" state="visible" r:id="rId5"/>
    <sheet name="Warm" sheetId="4" state="visible" r:id="rId6"/>
    <sheet name="Content" sheetId="5" state="visible" r:id="rId7"/>
    <sheet name="Cold" sheetId="6" state="visible" r:id="rId8"/>
    <sheet name="Ads" sheetId="7" state="visible" r:id="rId9"/>
    <sheet name="Referrals" sheetId="8" state="visible" r:id="rId10"/>
    <sheet name="Employees" sheetId="9" state="visible" r:id="rId11"/>
    <sheet name="Agencies" sheetId="10" state="visible" r:id="rId12"/>
    <sheet name="Affiliates" sheetId="11" state="visible" r:id="rId13"/>
    <sheet name="Daily Log" sheetId="12" state="visible" r:id="rId14"/>
    <sheet name="Words" sheetId="13" state="visible" r:id="rId1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21" authorId="0">
      <text>
        <r>
          <rPr>
            <sz val="10"/>
            <rFont val="Arial"/>
            <family val="2"/>
          </rPr>
          <t xml:space="preserve">Paid ads spend money while you learn. Say in Start Here that you have a monthly ad budget and this planet lights.</t>
        </r>
      </text>
    </comment>
    <comment ref="D22" authorId="0">
      <text>
        <r>
          <rPr>
            <sz val="10"/>
            <rFont val="Arial"/>
            <family val="2"/>
          </rPr>
          <t xml:space="preserve">Referrals need customers to refer. Say in Start Here that you have at least one paying customer and this planet lights.</t>
        </r>
      </text>
    </comment>
    <comment ref="D23" authorId="0">
      <text>
        <r>
          <rPr>
            <sz val="10"/>
            <rFont val="Arial"/>
            <family val="2"/>
          </rPr>
          <t xml:space="preserve">This planet is for handing the work to a team. Say in Start Here that you have one, or are hiring, and it lights.</t>
        </r>
      </text>
    </comment>
    <comment ref="D24" authorId="0">
      <text>
        <r>
          <rPr>
            <sz val="10"/>
            <rFont val="Arial"/>
            <family val="2"/>
          </rPr>
          <t xml:space="preserve">An agency costs money every month. Say in Start Here that you have a budget and this planet lights.</t>
        </r>
      </text>
    </comment>
    <comment ref="D25" authorId="0">
      <text>
        <r>
          <rPr>
            <sz val="10"/>
            <rFont val="Arial"/>
            <family val="2"/>
          </rPr>
          <t xml:space="preserve">Affiliates want proof that customers get results. Say in Start Here that you have at least one paying customer and this planet lights.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C41" authorId="0">
      <text>
        <r>
          <rPr>
            <sz val="10"/>
            <rFont val="Arial"/>
            <family val="2"/>
          </rPr>
          <t xml:space="preserve">The book's rule of thumb: lifetime gross profit at least three times what a customer cost to get. From $100M Leads, the paid ads chapter.</t>
        </r>
      </text>
    </comment>
    <comment ref="C42" authorId="0">
      <text>
        <r>
          <rPr>
            <sz val="10"/>
            <rFont val="Arial"/>
            <family val="2"/>
          </rPr>
          <t xml:space="preserve">The book's second rule: the first thirty days should bring in twice what a customer cost, so the customers pay for the ads.</t>
        </r>
      </text>
    </comment>
  </commentList>
</comments>
</file>

<file path=xl/sharedStrings.xml><?xml version="1.0" encoding="utf-8"?>
<sst xmlns="http://schemas.openxmlformats.org/spreadsheetml/2006/main" count="1260" uniqueCount="760">
  <si>
    <t xml:space="preserve">The Leads Ladder: $100M Leads by Alex Hormozi, as a workbook</t>
  </si>
  <si>
    <t xml:space="preserve">The book restated as exercises. The lead magnet is the sun and everything orbits it; warm outreach, free content, cold outreach and paid ads are the core four; referrals, employees, agencies and affiliates are the lead getters. Every planet has the same five bands: Learn, Sketch, Do, Measure, Scale.</t>
  </si>
  <si>
    <t xml:space="preserve">How to use this sheet: type only in the yellow cells (blue text). Everything in black is worked out for you. A blank yellow cell means "not yet", not zero. Choose Y in a checklist cell to tick it.</t>
  </si>
  <si>
    <t xml:space="preserve">Start here: seven answers</t>
  </si>
  <si>
    <t xml:space="preserve">Your answer</t>
  </si>
  <si>
    <t xml:space="preserve">Why it is asked</t>
  </si>
  <si>
    <t xml:space="preserve">These answers are the example (an invented piano teacher). Replace them with yours.</t>
  </si>
  <si>
    <t xml:space="preserve">What you sell, in one line</t>
  </si>
  <si>
    <t xml:space="preserve">Piano lessons for adults who gave up as kids</t>
  </si>
  <si>
    <t xml:space="preserve">for example: Piano lessons for adults who gave up as kids</t>
  </si>
  <si>
    <t xml:space="preserve">Who it is for, in one line</t>
  </si>
  <si>
    <t xml:space="preserve">Busy adults in their 30s and 40s</t>
  </si>
  <si>
    <t xml:space="preserve">for example: Busy adults in their 30s and 40s who want to play again</t>
  </si>
  <si>
    <t xml:space="preserve">Paying customers today</t>
  </si>
  <si>
    <t xml:space="preserve">One to ten</t>
  </si>
  <si>
    <t xml:space="preserve">for example: </t>
  </si>
  <si>
    <t xml:space="preserve">Money you could spend on ads each month</t>
  </si>
  <si>
    <t xml:space="preserve">Some; and I could afford to lose it while I learn</t>
  </si>
  <si>
    <t xml:space="preserve">Who does the work</t>
  </si>
  <si>
    <t xml:space="preserve">Just me</t>
  </si>
  <si>
    <t xml:space="preserve">Engaged leads you want each week</t>
  </si>
  <si>
    <t xml:space="preserve">An engaged lead is someone who gave you a way to reach them and showed interest. The book's whole point is that this is the number to chase.</t>
  </si>
  <si>
    <t xml:space="preserve">The one core four planet you will start with</t>
  </si>
  <si>
    <t xml:space="preserve">Warm outreach: I know people</t>
  </si>
  <si>
    <t xml:space="preserve">The book's order for a one-person business is warm outreach first, then content, then cold, then paid.</t>
  </si>
  <si>
    <t xml:space="preserve">The rule of 100: a hundred primary actions a day on your first planet. A hundred warm messages. A hundred minutes making content. A hundred cold reach-outs. A hundred dollars of ads. Every day, until the goal is hit.</t>
  </si>
  <si>
    <t xml:space="preserve">Where you stand</t>
  </si>
  <si>
    <t xml:space="preserve">Sheet</t>
  </si>
  <si>
    <t xml:space="preserve">Applies?</t>
  </si>
  <si>
    <t xml:space="preserve">Learn</t>
  </si>
  <si>
    <t xml:space="preserve">Sketch</t>
  </si>
  <si>
    <t xml:space="preserve">Do</t>
  </si>
  <si>
    <t xml:space="preserve">Measure</t>
  </si>
  <si>
    <t xml:space="preserve">Scale</t>
  </si>
  <si>
    <t xml:space="preserve">The Lead Magnet (the sun)</t>
  </si>
  <si>
    <t xml:space="preserve">Magnet</t>
  </si>
  <si>
    <t xml:space="preserve">Warm Outreach</t>
  </si>
  <si>
    <t xml:space="preserve">Warm</t>
  </si>
  <si>
    <t xml:space="preserve">Free Content</t>
  </si>
  <si>
    <t xml:space="preserve">Content</t>
  </si>
  <si>
    <t xml:space="preserve">Cold Outreach</t>
  </si>
  <si>
    <t xml:space="preserve">Cold</t>
  </si>
  <si>
    <t xml:space="preserve">Paid Ads</t>
  </si>
  <si>
    <t xml:space="preserve">Ads</t>
  </si>
  <si>
    <t xml:space="preserve">Referrals</t>
  </si>
  <si>
    <t xml:space="preserve">Employees</t>
  </si>
  <si>
    <t xml:space="preserve">Agencies</t>
  </si>
  <si>
    <t xml:space="preserve">Affiliates</t>
  </si>
  <si>
    <t xml:space="preserve">Ring cleared? (every planet that applies has finished the band)</t>
  </si>
  <si>
    <t xml:space="preserve">Levels done, for the picture</t>
  </si>
  <si>
    <t xml:space="preserve">Done</t>
  </si>
  <si>
    <t xml:space="preserve">Of</t>
  </si>
  <si>
    <t xml:space="preserve">The Lead Magnet</t>
  </si>
  <si>
    <t xml:space="preserve">The whole book</t>
  </si>
  <si>
    <t xml:space="preserve">The Machine, in brief</t>
  </si>
  <si>
    <t xml:space="preserve">Value</t>
  </si>
  <si>
    <t xml:space="preserve">Goal</t>
  </si>
  <si>
    <t xml:space="preserve">Engaged leads a week at your numbers</t>
  </si>
  <si>
    <t xml:space="preserve">Customers a month</t>
  </si>
  <si>
    <t xml:space="preserve">Lifetime gross profit over cost per customer</t>
  </si>
  <si>
    <t xml:space="preserve">the book says three or more</t>
  </si>
  <si>
    <t xml:space="preserve">First thirty days over cost per customer</t>
  </si>
  <si>
    <t xml:space="preserve">the book says two or more</t>
  </si>
  <si>
    <t xml:space="preserve">The book, chapter by chapter</t>
  </si>
  <si>
    <t xml:space="preserve">What it is</t>
  </si>
  <si>
    <t xml:space="preserve">Chapters 1 and 3</t>
  </si>
  <si>
    <t xml:space="preserve">Start Here</t>
  </si>
  <si>
    <t xml:space="preserve">The core four, and which one first</t>
  </si>
  <si>
    <t xml:space="preserve">Chapter 12</t>
  </si>
  <si>
    <t xml:space="preserve">The rule of 100, and the one-year promise</t>
  </si>
  <si>
    <t xml:space="preserve">Chapter 2</t>
  </si>
  <si>
    <t xml:space="preserve">Chapter 4</t>
  </si>
  <si>
    <t xml:space="preserve">Warm Outreach (core four)</t>
  </si>
  <si>
    <t xml:space="preserve">Chapter 5</t>
  </si>
  <si>
    <t xml:space="preserve">Free Content (core four)</t>
  </si>
  <si>
    <t xml:space="preserve">Chapter 6</t>
  </si>
  <si>
    <t xml:space="preserve">Cold Outreach (core four)</t>
  </si>
  <si>
    <t xml:space="preserve">Chapter 7</t>
  </si>
  <si>
    <t xml:space="preserve">Paid Ads (core four)</t>
  </si>
  <si>
    <t xml:space="preserve">Chapter 8</t>
  </si>
  <si>
    <t xml:space="preserve">Referrals (a lead getter)</t>
  </si>
  <si>
    <t xml:space="preserve">Chapter 9</t>
  </si>
  <si>
    <t xml:space="preserve">Employees (a lead getter)</t>
  </si>
  <si>
    <t xml:space="preserve">Chapter 10</t>
  </si>
  <si>
    <t xml:space="preserve">Agencies (a lead getter)</t>
  </si>
  <si>
    <t xml:space="preserve">Chapter 11</t>
  </si>
  <si>
    <t xml:space="preserve">Affiliates (a lead getter)</t>
  </si>
  <si>
    <t xml:space="preserve">The numbers</t>
  </si>
  <si>
    <t xml:space="preserve">Machine</t>
  </si>
  <si>
    <t xml:space="preserve">KPIs, levers, the two checks, referrals against churn</t>
  </si>
  <si>
    <t xml:space="preserve">The daily hundred</t>
  </si>
  <si>
    <t xml:space="preserve">Daily Log</t>
  </si>
  <si>
    <t xml:space="preserve">The rule of 100, day by day</t>
  </si>
  <si>
    <t xml:space="preserve">The words</t>
  </si>
  <si>
    <t xml:space="preserve">Words</t>
  </si>
  <si>
    <t xml:space="preserve">The glossary</t>
  </si>
  <si>
    <t xml:space="preserve">The frameworks of $100M Leads (Alex Hormozi, 2023), restated in this app's own words and turned into exercises. The book is the reference; nothing here quotes it. Chapter numbers point the reader back to it. Frameworks and exercises, not figures. The one rule of thumb carried as a number is the book's: lifetime gross profit should be at least three times what a customer cost to get, and the first thirty days should pay back twice that cost before you scale ads. Every example number in this workbook is invented.</t>
  </si>
  <si>
    <t xml:space="preserve">The Machine: the numbers behind the book</t>
  </si>
  <si>
    <t xml:space="preserve">Reach, the rates, what a customer costs and is worth, the book's two checks, the levers, referrals against churn. The Measure levels on the planet sheets read from here.</t>
  </si>
  <si>
    <t xml:space="preserve">Your numbers</t>
  </si>
  <si>
    <t xml:space="preserve">What it means</t>
  </si>
  <si>
    <t xml:space="preserve">These are the example numbers of an invented piano teacher. Replace every one with yours.</t>
  </si>
  <si>
    <t xml:space="preserve">Primary actions a day</t>
  </si>
  <si>
    <t xml:space="preserve">Messages, reach-outs, or ad impressions bought. The rule of 100 says a hundred.</t>
  </si>
  <si>
    <t xml:space="preserve">Days a month you do them</t>
  </si>
  <si>
    <t xml:space="preserve">Reach-outs that become engaged leads</t>
  </si>
  <si>
    <t xml:space="preserve">Replied, clicked, or took the magnet and gave a way to reach them.</t>
  </si>
  <si>
    <t xml:space="preserve">Engaged leads that book a call or a visit</t>
  </si>
  <si>
    <t xml:space="preserve">Bookings that show up</t>
  </si>
  <si>
    <t xml:space="preserve">Shows that buy</t>
  </si>
  <si>
    <t xml:space="preserve">What a new customer pays up front ($)</t>
  </si>
  <si>
    <t xml:space="preserve">What they pay each month after that ($)</t>
  </si>
  <si>
    <t xml:space="preserve">Zero if nothing, and zero is an answer.</t>
  </si>
  <si>
    <t xml:space="preserve">Months a customer stays, on average</t>
  </si>
  <si>
    <t xml:space="preserve">Gross margin: what is left after delivering</t>
  </si>
  <si>
    <t xml:space="preserve">Ad spend a month ($)</t>
  </si>
  <si>
    <t xml:space="preserve">Zero if you run no ads.</t>
  </si>
  <si>
    <t xml:space="preserve">Pay for the people doing outreach and content, a month ($)</t>
  </si>
  <si>
    <t xml:space="preserve">Zero if it is only you. Zero is an answer.</t>
  </si>
  <si>
    <t xml:space="preserve">Share of customers who leave in a month</t>
  </si>
  <si>
    <t xml:space="preserve">Share of customers who bring one in a month</t>
  </si>
  <si>
    <t xml:space="preserve">A month at these numbers</t>
  </si>
  <si>
    <t xml:space="preserve">How it is worked out</t>
  </si>
  <si>
    <t xml:space="preserve">Reached a month</t>
  </si>
  <si>
    <t xml:space="preserve">actions a day times days a month</t>
  </si>
  <si>
    <t xml:space="preserve">Engaged leads a month</t>
  </si>
  <si>
    <t xml:space="preserve">reached times the reply rate</t>
  </si>
  <si>
    <t xml:space="preserve">Booked</t>
  </si>
  <si>
    <t xml:space="preserve">engaged times the booking rate</t>
  </si>
  <si>
    <t xml:space="preserve">Showed</t>
  </si>
  <si>
    <t xml:space="preserve">booked times the show rate</t>
  </si>
  <si>
    <t xml:space="preserve">showed times the close rate</t>
  </si>
  <si>
    <t xml:space="preserve">Engaged leads a week</t>
  </si>
  <si>
    <t xml:space="preserve">engaged a month, as a week (against the goal on Start Here)</t>
  </si>
  <si>
    <t xml:space="preserve">What a lead and a customer cost</t>
  </si>
  <si>
    <t xml:space="preserve">Spend on getting leads, a month</t>
  </si>
  <si>
    <t xml:space="preserve">ads plus pay</t>
  </si>
  <si>
    <t xml:space="preserve">Cost per engaged lead</t>
  </si>
  <si>
    <t xml:space="preserve">spend over engaged leads</t>
  </si>
  <si>
    <t xml:space="preserve">Cost per customer</t>
  </si>
  <si>
    <t xml:space="preserve">spend over customers</t>
  </si>
  <si>
    <t xml:space="preserve">What a customer is worth</t>
  </si>
  <si>
    <t xml:space="preserve">Lifetime gross profit</t>
  </si>
  <si>
    <t xml:space="preserve">(up front + monthly times months kept) times margin</t>
  </si>
  <si>
    <t xml:space="preserve">Gross profit in the first thirty days</t>
  </si>
  <si>
    <t xml:space="preserve">(up front + one month) times margin</t>
  </si>
  <si>
    <t xml:space="preserve">The book's two checks</t>
  </si>
  <si>
    <t xml:space="preserve">Rule</t>
  </si>
  <si>
    <t xml:space="preserve">Verdict</t>
  </si>
  <si>
    <t xml:space="preserve">The levers: one small change</t>
  </si>
  <si>
    <t xml:space="preserve">Extra customers</t>
  </si>
  <si>
    <t xml:space="preserve">Change</t>
  </si>
  <si>
    <t xml:space="preserve">Why this matters</t>
  </si>
  <si>
    <t xml:space="preserve">As entered</t>
  </si>
  <si>
    <t xml:space="preserve">Every rate multiplies the same chain, so a tenth more of any rate is the same tenth more customers. One point is different: a point on a low rate is worth far more than a point on a high one. The biggest number in "Extra customers" is your lowest rate, and that is where "better" beats "more".</t>
  </si>
  <si>
    <t xml:space="preserve">Reply rate up one point</t>
  </si>
  <si>
    <t xml:space="preserve">+1 point</t>
  </si>
  <si>
    <t xml:space="preserve">Booking rate up one point</t>
  </si>
  <si>
    <t xml:space="preserve">Show rate up one point</t>
  </si>
  <si>
    <t xml:space="preserve">Close rate up one point</t>
  </si>
  <si>
    <t xml:space="preserve">Ten more actions a day</t>
  </si>
  <si>
    <t xml:space="preserve">+10 a day</t>
  </si>
  <si>
    <t xml:space="preserve">Referrals against churn: a year of customers</t>
  </si>
  <si>
    <t xml:space="preserve">With referrals as entered</t>
  </si>
  <si>
    <t xml:space="preserve">If nobody referred</t>
  </si>
  <si>
    <t xml:space="preserve">Now</t>
  </si>
  <si>
    <t xml:space="preserve">Month 1</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</si>
  <si>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</si>
  <si>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</si>
  <si>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</si>
  <si>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</si>
  <si>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</si>
  <si>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</si>
  <si>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</si>
  <si>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</si>
  <si>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</si>
  <si>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</si>
  <si>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</si>
  <si>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The gap after a year</t>
  </si>
  <si>
    <t xml:space="preserve">customers, what asking for referrals is worth</t>
  </si>
  <si>
    <t xml:space="preserve">Chapter 2, Leads alone are not enough. Everything orbits this: one free thing that solves one narrow problem for the people you want, so they raise a hand.</t>
  </si>
  <si>
    <t xml:space="preserve">Band</t>
  </si>
  <si>
    <t xml:space="preserve">Levels done</t>
  </si>
  <si>
    <t xml:space="preserve">Done items</t>
  </si>
  <si>
    <t xml:space="preserve">Status</t>
  </si>
  <si>
    <t xml:space="preserve">1. Learn: The idea, in one sitting</t>
  </si>
  <si>
    <t xml:space="preserve">2. Sketch: Write your version of it</t>
  </si>
  <si>
    <t xml:space="preserve">3. Do: Run it, with a checklist</t>
  </si>
  <si>
    <t xml:space="preserve">4. Measure: Put numbers on it</t>
  </si>
  <si>
    <t xml:space="preserve">5. Scale: More, better, new</t>
  </si>
  <si>
    <t xml:space="preserve">This planet</t>
  </si>
  <si>
    <t xml:space="preserve">The columns E to H on the right are the workings for each level: its band, how many of its items are done, how many there are, and its status. Leave them be.</t>
  </si>
  <si>
    <t xml:space="preserve">Band 1: Learn. The idea, in one sitting. Payoff: clarity.</t>
  </si>
  <si>
    <t xml:space="preserve">A lead is not an engaged lead</t>
  </si>
  <si>
    <t xml:space="preserve">about 5 min</t>
  </si>
  <si>
    <t xml:space="preserve">A lead is anyone you could contact. An engaged lead is someone who showed interest and gave you a way to reach them. Only engaged leads matter, and a lead magnet is how you make them: one free thing that solves one narrow problem for one kind of person.</t>
  </si>
  <si>
    <t xml:space="preserve">The person the magnet is for</t>
  </si>
  <si>
    <t xml:space="preserve">for example: Adults who quit piano as kids</t>
  </si>
  <si>
    <t xml:space="preserve">The narrow problem it solves, the first step of the bigger one</t>
  </si>
  <si>
    <t xml:space="preserve">for example: Not knowing which songs are easy enough to start with</t>
  </si>
  <si>
    <t xml:space="preserve">You have leveled this when: You can say who you serve and the one narrow problem the magnet will solve.</t>
  </si>
  <si>
    <t xml:space="preserve">Pick the kind of magnet</t>
  </si>
  <si>
    <t xml:space="preserve">Chapter 2, step 2</t>
  </si>
  <si>
    <t xml:space="preserve">There are three kinds. One reveals a problem they did not know they had (a test, a check, an audit). One is a sample or a trial of the real thing. One is a single step of a many-step process, done for them.</t>
  </si>
  <si>
    <t xml:space="preserve">The kind</t>
  </si>
  <si>
    <t xml:space="preserve">choose one: Reveal a problem / A sample or a trial / One step of a bigger process</t>
  </si>
  <si>
    <t xml:space="preserve">Why this kind fits the problem</t>
  </si>
  <si>
    <t xml:space="preserve">for example: They do not know how rusty they are, so a five-minute playing check shows them where to start.</t>
  </si>
  <si>
    <t xml:space="preserve">You have leveled this when: One kind chosen, with a reason.</t>
  </si>
  <si>
    <t xml:space="preserve">Band 2: Sketch. Write your version of it. Payoff: a draft you can use tomorrow.</t>
  </si>
  <si>
    <t xml:space="preserve">How it is delivered</t>
  </si>
  <si>
    <t xml:space="preserve">Chapter 2, step 3</t>
  </si>
  <si>
    <t xml:space="preserve">A magnet arrives as software, as information, as a service done for them, or as a physical thing. Pick the one they would actually use. Information is easiest to make; a service is hardest to ignore.</t>
  </si>
  <si>
    <t xml:space="preserve">Delivered as</t>
  </si>
  <si>
    <t xml:space="preserve">choose one: Software or a tool / Information: a guide, a video, a list / A service done for them / A physical thing</t>
  </si>
  <si>
    <t xml:space="preserve">What it is, in one line</t>
  </si>
  <si>
    <t xml:space="preserve">for example: A twelve-minute video that finds your level and gives you three songs</t>
  </si>
  <si>
    <t xml:space="preserve">You have leveled this when: One delivery picked.</t>
  </si>
  <si>
    <t xml:space="preserve">Name it, three ways</t>
  </si>
  <si>
    <t xml:space="preserve">about 10 min</t>
  </si>
  <si>
    <t xml:space="preserve">Chapter 2, step 4</t>
  </si>
  <si>
    <t xml:space="preserve">The name is the headline: what they get, for whom, and why now. Write three, then pick the one a stranger would understand fastest. Test the others later as ad hooks.</t>
  </si>
  <si>
    <t xml:space="preserve">Name one</t>
  </si>
  <si>
    <t xml:space="preserve">for example: The Rusty Fingers Test</t>
  </si>
  <si>
    <t xml:space="preserve">Name two</t>
  </si>
  <si>
    <t xml:space="preserve">for example: Find your first three songs in twelve minutes</t>
  </si>
  <si>
    <t xml:space="preserve">Name three</t>
  </si>
  <si>
    <t xml:space="preserve">for example: The adult beginner's starting map</t>
  </si>
  <si>
    <t xml:space="preserve">The one you will use</t>
  </si>
  <si>
    <t xml:space="preserve">choose one: Name one / Name two / Name three</t>
  </si>
  <si>
    <t xml:space="preserve">You have leveled this when: Three names written, one chosen.</t>
  </si>
  <si>
    <t xml:space="preserve">Band 3: Do. Run it, with a checklist. Payoff: leads.</t>
  </si>
  <si>
    <t xml:space="preserve">Make it easy to take in</t>
  </si>
  <si>
    <t xml:space="preserve">about 15 min</t>
  </si>
  <si>
    <t xml:space="preserve">Chapter 2, step 5</t>
  </si>
  <si>
    <t xml:space="preserve">The fastest magnet wins. Offer it in the formats people already use, keep it short, and ask for nothing but a way to reach them.</t>
  </si>
  <si>
    <t xml:space="preserve">[ ] It takes under fifteen minutes to use</t>
  </si>
  <si>
    <t xml:space="preserve">Y when true</t>
  </si>
  <si>
    <t xml:space="preserve">[ ] It works on a phone</t>
  </si>
  <si>
    <t xml:space="preserve">[ ] It comes in the format they prefer (text, video, audio, a tool)</t>
  </si>
  <si>
    <t xml:space="preserve">[ ] No account or download is needed to get value from it</t>
  </si>
  <si>
    <t xml:space="preserve">[ ] It asks for one thing only: a way to reach them</t>
  </si>
  <si>
    <t xml:space="preserve">You have leveled this when: Every box ticked for the magnet as it exists today.</t>
  </si>
  <si>
    <t xml:space="preserve">Make it so good they would pay</t>
  </si>
  <si>
    <t xml:space="preserve">about 20 min</t>
  </si>
  <si>
    <t xml:space="preserve">Chapter 2, step 6</t>
  </si>
  <si>
    <t xml:space="preserve">Give away the thing you could charge for. A magnet that solves the narrow problem completely earns trust for the bigger one. A weak magnet costs you the lead and the reputation.</t>
  </si>
  <si>
    <t xml:space="preserve">[ ] It solves the narrow problem completely, not half of it</t>
  </si>
  <si>
    <t xml:space="preserve">[ ] Someone would pay for it as it stands</t>
  </si>
  <si>
    <t xml:space="preserve">[ ] It gives a result before they buy anything</t>
  </si>
  <si>
    <t xml:space="preserve">[ ] It is the best free thing of its kind that you know of</t>
  </si>
  <si>
    <t xml:space="preserve">[ ] You have used it yourself, start to finish, as a stranger would</t>
  </si>
  <si>
    <t xml:space="preserve">You have leveled this when: Every box ticked honestly.</t>
  </si>
  <si>
    <t xml:space="preserve">Tell them what to do next</t>
  </si>
  <si>
    <t xml:space="preserve">Chapter 2, step 7</t>
  </si>
  <si>
    <t xml:space="preserve">A magnet ends with a call to action: say exactly what to do, and give a reason to do it now. Scarcity, a deadline, or a bonus that goes away all work. A magnet with no ask is a gift, not advertising.</t>
  </si>
  <si>
    <t xml:space="preserve">The ask, word for word</t>
  </si>
  <si>
    <t xml:space="preserve">for example: Book a free twenty-minute first lesson this week.</t>
  </si>
  <si>
    <t xml:space="preserve">The reason to act now</t>
  </si>
  <si>
    <t xml:space="preserve">choose one: Only so many spots / A deadline / A bonus that goes away / None yet, I will add one</t>
  </si>
  <si>
    <t xml:space="preserve">You have leveled this when: The ask is written and it says why now.</t>
  </si>
  <si>
    <t xml:space="preserve">Band 4: Measure. Put numbers on it. Payoff: certainty.</t>
  </si>
  <si>
    <t xml:space="preserve">Count who took it and who engaged</t>
  </si>
  <si>
    <t xml:space="preserve">Two numbers a month: how many people took the magnet, and how many of those became engaged leads (replied, booked, asked). If the second is a small share of the first, the ask is weak or the magnet drew the wrong people.</t>
  </si>
  <si>
    <t xml:space="preserve">People who took the magnet last month</t>
  </si>
  <si>
    <t xml:space="preserve">for example: 60</t>
  </si>
  <si>
    <t xml:space="preserve">Of them, engaged leads</t>
  </si>
  <si>
    <t xml:space="preserve">for example: 18</t>
  </si>
  <si>
    <t xml:space="preserve">Engaged share</t>
  </si>
  <si>
    <t xml:space="preserve">You have leveled this when: Both numbers entered for the last month.</t>
  </si>
  <si>
    <t xml:space="preserve">Band 5: Scale. More, better, new. Payoff: power.</t>
  </si>
  <si>
    <t xml:space="preserve">More magnets, better magnets, new problems</t>
  </si>
  <si>
    <t xml:space="preserve">Once one magnet works, make the next: a second narrow problem, a second format, or one magnet per planet. Retire the weakest. The magnet is the start of every planet's funnel, so a better magnet lifts all of them.</t>
  </si>
  <si>
    <t xml:space="preserve">[ ] Each planet you use has a magnet that fits how it reaches people</t>
  </si>
  <si>
    <t xml:space="preserve">[ ] The weakest magnet of the last quarter was retired or rewritten</t>
  </si>
  <si>
    <t xml:space="preserve">[ ] A second narrow problem has its own magnet</t>
  </si>
  <si>
    <t xml:space="preserve">[ ] Every magnet ends with the same next step into the paid offer</t>
  </si>
  <si>
    <t xml:space="preserve">You have leveled this when: Every box ticked.</t>
  </si>
  <si>
    <t xml:space="preserve">Warm Outreach (core four: people who know you, one to one)</t>
  </si>
  <si>
    <t xml:space="preserve">Chapter 4, Warm outreach. Reach out, one at a time, to people who already know you. The cheapest way to your first customers.</t>
  </si>
  <si>
    <t xml:space="preserve">What warm outreach is</t>
  </si>
  <si>
    <t xml:space="preserve">One-to-one messages to people who already know you: your contacts, your followers, past customers. It costs nothing but time, and it is where the book says a business with no customers starts. The rule of 100 applies: a hundred reach-outs a day.</t>
  </si>
  <si>
    <t xml:space="preserve">Read it? Put Y here when you have.</t>
  </si>
  <si>
    <t xml:space="preserve">You have leveled this when: Read, and confirmed.</t>
  </si>
  <si>
    <t xml:space="preserve">Acknowledge, compliment, ask</t>
  </si>
  <si>
    <t xml:space="preserve">Chapter 4, step 3</t>
  </si>
  <si>
    <t xml:space="preserve">A warm message is personal or it is spam. Acknowledge something true about them, compliment something real, then ask a question they will want to answer. No pitch in the first message. The pitch comes after they reply.</t>
  </si>
  <si>
    <t xml:space="preserve">A real contact (first name is fine)</t>
  </si>
  <si>
    <t xml:space="preserve">for example: Sam</t>
  </si>
  <si>
    <t xml:space="preserve">Your acknowledge, compliment, ask</t>
  </si>
  <si>
    <t xml:space="preserve">for example: Saw you finished the marathon, that is a serious year of training. How are the knees holding up?</t>
  </si>
  <si>
    <t xml:space="preserve">You have leveled this when: One real message written for one real person.</t>
  </si>
  <si>
    <t xml:space="preserve">Get your list</t>
  </si>
  <si>
    <t xml:space="preserve">Chapter 4, step 1</t>
  </si>
  <si>
    <t xml:space="preserve">Everyone you can reach is your list: phone contacts, email contacts, and followers on every platform. Count them. Most people are surprised how many hundreds they already know.</t>
  </si>
  <si>
    <t xml:space="preserve">Phone contacts</t>
  </si>
  <si>
    <t xml:space="preserve">for example: 420</t>
  </si>
  <si>
    <t xml:space="preserve">Email contacts</t>
  </si>
  <si>
    <t xml:space="preserve">for example: 310</t>
  </si>
  <si>
    <t xml:space="preserve">Followers and connections, all platforms</t>
  </si>
  <si>
    <t xml:space="preserve">for example: 900</t>
  </si>
  <si>
    <t xml:space="preserve">Your list</t>
  </si>
  <si>
    <t xml:space="preserve">You have leveled this when: Every count entered. Zero is fine, blank is not.</t>
  </si>
  <si>
    <t xml:space="preserve">Pick the platform</t>
  </si>
  <si>
    <t xml:space="preserve">Chapter 4, step 2</t>
  </si>
  <si>
    <t xml:space="preserve">Reach people where they already answer you. One platform to start. Text if they text you, email if they email you, direct messages if that is where the list lives.</t>
  </si>
  <si>
    <t xml:space="preserve">Where you will message first</t>
  </si>
  <si>
    <t xml:space="preserve">choose one: Text messages / Direct messages on a social platform / Email / Phone calls / In person</t>
  </si>
  <si>
    <t xml:space="preserve">Why there</t>
  </si>
  <si>
    <t xml:space="preserve">for example: Most of my list is in my phone and they reply to texts within the day</t>
  </si>
  <si>
    <t xml:space="preserve">You have leveled this when: One platform picked.</t>
  </si>
  <si>
    <t xml:space="preserve">Write the offer sentence</t>
  </si>
  <si>
    <t xml:space="preserve">Chapter 4, step 6</t>
  </si>
  <si>
    <t xml:space="preserve">When someone replies, you tell them what you do in one sentence: I help this kind of person get this result in this much time without this pain. Then the ask: do you know anyone who would want that? Asking about others is easier to say yes to, and often they say me.</t>
  </si>
  <si>
    <t xml:space="preserve">I help</t>
  </si>
  <si>
    <t xml:space="preserve">for example: adults who quit piano as kids</t>
  </si>
  <si>
    <t xml:space="preserve">get</t>
  </si>
  <si>
    <t xml:space="preserve">for example: playing a song they love</t>
  </si>
  <si>
    <t xml:space="preserve">in</t>
  </si>
  <si>
    <t xml:space="preserve">for example: thirty days</t>
  </si>
  <si>
    <t xml:space="preserve">without</t>
  </si>
  <si>
    <t xml:space="preserve">for example: scales, theory, or a teacher who sighs</t>
  </si>
  <si>
    <t xml:space="preserve">Your offer</t>
  </si>
  <si>
    <t xml:space="preserve">You have leveled this when: All four blanks filled and the sentence reads well out loud.</t>
  </si>
  <si>
    <t xml:space="preserve">about 90 min</t>
  </si>
  <si>
    <t xml:space="preserve">Chapter 4, steps 4 and 5</t>
  </si>
  <si>
    <t xml:space="preserve">A hundred personal messages a day, from your list, on your platform. Warm each reply with another acknowledge, compliment, ask before the offer. Log the count. The book's promise is simple: do this every day and the first customers come.</t>
  </si>
  <si>
    <t xml:space="preserve">[ ] The list is open and sorted so you never hunt for the next name</t>
  </si>
  <si>
    <t xml:space="preserve">[ ] One hundred messages sent, each with a real acknowledge and compliment</t>
  </si>
  <si>
    <t xml:space="preserve">[ ] Every reply got a second personal message before any offer</t>
  </si>
  <si>
    <t xml:space="preserve">[ ] The offer sentence was said to everyone who engaged</t>
  </si>
  <si>
    <t xml:space="preserve">[ ] Everyone who said no was asked if they know someone</t>
  </si>
  <si>
    <t xml:space="preserve">[ ] Today's count is logged</t>
  </si>
  <si>
    <t xml:space="preserve">You have leveled this when: A day where every box is true. Tick it, then log the count on the Machine page.</t>
  </si>
  <si>
    <t xml:space="preserve">Free, then proof, then a price</t>
  </si>
  <si>
    <t xml:space="preserve">about 30 min</t>
  </si>
  <si>
    <t xml:space="preserve">Chapter 4, steps 7 and 8</t>
  </si>
  <si>
    <t xml:space="preserve">The first few customers pay with feedback and a testimonial, not money. Serve them so well the results are undeniable. Ask for the testimonial and a referral. Then charge the next batch, and raise the price a little with every batch after that.</t>
  </si>
  <si>
    <t xml:space="preserve">[ ] Five people said yes to the free version</t>
  </si>
  <si>
    <t xml:space="preserve">[ ] Each got more than was promised</t>
  </si>
  <si>
    <t xml:space="preserve">[ ] Each gave a testimonial in their own words</t>
  </si>
  <si>
    <t xml:space="preserve">[ ] Each was asked for one referral</t>
  </si>
  <si>
    <t xml:space="preserve">[ ] The next batch was charged, and the price goes up with each batch</t>
  </si>
  <si>
    <t xml:space="preserve">Keep the list warm</t>
  </si>
  <si>
    <t xml:space="preserve">Chapter 4, step 9</t>
  </si>
  <si>
    <t xml:space="preserve">A list goes cold if you only show up to sell. Touch it regularly with something useful or personal, and add every new person you meet to it the same day.</t>
  </si>
  <si>
    <t xml:space="preserve">[ ] A monthly note goes to the whole list with something useful, no ask</t>
  </si>
  <si>
    <t xml:space="preserve">[ ] Every new person you meet is added to the list the same day</t>
  </si>
  <si>
    <t xml:space="preserve">[ ] Past customers hear from you as often as prospects do</t>
  </si>
  <si>
    <t xml:space="preserve">Your warm numbers</t>
  </si>
  <si>
    <t xml:space="preserve">Four numbers a week: messages sent, replies, offers made, and yeses. Reply rate tells you whether the messages are personal. Yes rate tells you whether the offer is good.</t>
  </si>
  <si>
    <t xml:space="preserve">Messages sent</t>
  </si>
  <si>
    <t xml:space="preserve">for example: 500</t>
  </si>
  <si>
    <t xml:space="preserve">Replies</t>
  </si>
  <si>
    <t xml:space="preserve">for example: 140</t>
  </si>
  <si>
    <t xml:space="preserve">Offers made</t>
  </si>
  <si>
    <t xml:space="preserve">Yeses</t>
  </si>
  <si>
    <t xml:space="preserve">for example: 9</t>
  </si>
  <si>
    <t xml:space="preserve">Last seven days</t>
  </si>
  <si>
    <t xml:space="preserve">each step as a share of the one before</t>
  </si>
  <si>
    <t xml:space="preserve">    Replies, as a share</t>
  </si>
  <si>
    <t xml:space="preserve">    Offers made, as a share</t>
  </si>
  <si>
    <t xml:space="preserve">    Yeses, as a share</t>
  </si>
  <si>
    <t xml:space="preserve">You have leveled this when: All four entered for the last seven days.</t>
  </si>
  <si>
    <t xml:space="preserve">More, better, new</t>
  </si>
  <si>
    <t xml:space="preserve">Chapters 4 and 12</t>
  </si>
  <si>
    <t xml:space="preserve">More: a bigger list, from everyone you meet and every customer's circle. Better: a tighter offer sentence and a referral ask every time. New: when warm outreach runs every day without you thinking about it, add the next planet, not before.</t>
  </si>
  <si>
    <t xml:space="preserve">[ ] The list grows every week and the growth is counted</t>
  </si>
  <si>
    <t xml:space="preserve">[ ] The offer sentence was rewritten from what people actually said yes to</t>
  </si>
  <si>
    <t xml:space="preserve">[ ] Warm outreach runs daily, and someone else could run it from the checklist</t>
  </si>
  <si>
    <t xml:space="preserve">[ ] The next planet is chosen</t>
  </si>
  <si>
    <t xml:space="preserve">Free Content (core four: people who know you, one to many)</t>
  </si>
  <si>
    <t xml:space="preserve">Chapter 5, Post free content. Post things worth keeping, so strangers become people who know you, and some of them ask.</t>
  </si>
  <si>
    <t xml:space="preserve">The content unit: hook, retain, reward</t>
  </si>
  <si>
    <t xml:space="preserve">Every piece of content does three jobs. The hook earns the first second of attention. The middle keeps it, with a list, steps, or a story. The reward is what they walk away with, so they come back. Post it where the people you want already spend their time.</t>
  </si>
  <si>
    <t xml:space="preserve">Give, give, give, ask</t>
  </si>
  <si>
    <t xml:space="preserve">Most content gives and never asks. Some content asks. The ratio is yours to set, and the book's advice is to give far more than you ask. An ask can sit inside a giving piece (integrated) or be its own piece now and then (intermittent).</t>
  </si>
  <si>
    <t xml:space="preserve">Giving pieces for every asking piece</t>
  </si>
  <si>
    <t xml:space="preserve">choose one: Three gives, one ask / Five gives, one ask / Ten gives, one ask</t>
  </si>
  <si>
    <t xml:space="preserve">How you will ask</t>
  </si>
  <si>
    <t xml:space="preserve">choose one: A line inside giving pieces / A whole piece, now and then / Both</t>
  </si>
  <si>
    <t xml:space="preserve">You have leveled this when: A ratio chosen.</t>
  </si>
  <si>
    <t xml:space="preserve">Five hooks from five places</t>
  </si>
  <si>
    <t xml:space="preserve">Chapter 5, hooks</t>
  </si>
  <si>
    <t xml:space="preserve">Hooks come from topics, and topics come from five places: your far past, your recent past, what is happening now, what is trending, and something you make happen. Write one hook from each. A hook is a headline: a question, a bold claim, a number, or the start of a story.</t>
  </si>
  <si>
    <t xml:space="preserve">From your far past</t>
  </si>
  <si>
    <t xml:space="preserve">for example: I quit piano at nine. Here is what I would tell that kid.</t>
  </si>
  <si>
    <t xml:space="preserve">From your recent past</t>
  </si>
  <si>
    <t xml:space="preserve">for example: A student played her wedding song last week after six lessons.</t>
  </si>
  <si>
    <t xml:space="preserve">From right now</t>
  </si>
  <si>
    <t xml:space="preserve">for example: Teaching the same song to three adults today. Three different mistakes.</t>
  </si>
  <si>
    <t xml:space="preserve">From a trend</t>
  </si>
  <si>
    <t xml:space="preserve">for example: That viral piano clip? Here is the one trick that makes it easy.</t>
  </si>
  <si>
    <t xml:space="preserve">Something you made happen</t>
  </si>
  <si>
    <t xml:space="preserve">for example: I asked twenty adults why they quit. All twenty said the same thing.</t>
  </si>
  <si>
    <t xml:space="preserve">You have leveled this when: Five hooks written.</t>
  </si>
  <si>
    <t xml:space="preserve">Three shapes that keep attention</t>
  </si>
  <si>
    <t xml:space="preserve">Chapter 5, retain</t>
  </si>
  <si>
    <t xml:space="preserve">People stay for lists, for steps, and for stories. Outline one piece in each shape from your hooks. Short pieces do one shape; long pieces stack them.</t>
  </si>
  <si>
    <t xml:space="preserve">A list piece (the hook, then the items)</t>
  </si>
  <si>
    <t xml:space="preserve">for example: Five songs adults can play in week one: 1. ... 2. ...</t>
  </si>
  <si>
    <t xml:space="preserve">A steps piece (the hook, then the order)</t>
  </si>
  <si>
    <t xml:space="preserve">for example: How to relearn a song in a week: day one ... day two ...</t>
  </si>
  <si>
    <t xml:space="preserve">A story piece (the hook, the turn, the lesson)</t>
  </si>
  <si>
    <t xml:space="preserve">for example: She had not touched a piano in twenty years. Then ...</t>
  </si>
  <si>
    <t xml:space="preserve">You have leveled this when: Three outlines written.</t>
  </si>
  <si>
    <t xml:space="preserve">The reward, and the platform</t>
  </si>
  <si>
    <t xml:space="preserve">Chapter 5, reward</t>
  </si>
  <si>
    <t xml:space="preserve">The reward is the reason they follow: they got something they can use. Say what each piece leaves them with. Then pick one platform, the one where your people already are, and stay there until it works.</t>
  </si>
  <si>
    <t xml:space="preserve">The one platform to start</t>
  </si>
  <si>
    <t xml:space="preserve">for example: Instagram</t>
  </si>
  <si>
    <t xml:space="preserve">What a viewer leaves with</t>
  </si>
  <si>
    <t xml:space="preserve">for example: One thing to try at the piano tonight</t>
  </si>
  <si>
    <t xml:space="preserve">You have leveled this when: A platform picked and the reward written.</t>
  </si>
  <si>
    <t xml:space="preserve">A week of posting</t>
  </si>
  <si>
    <t xml:space="preserve">about 120 min</t>
  </si>
  <si>
    <t xml:space="preserve">Plan seven pieces, post one a day, and answer everyone who comments. Content compounds: the first week feels like talking to a room with nobody in it. The book says post anyway.</t>
  </si>
  <si>
    <t xml:space="preserve">[ ] Seven pieces planned, each with a hook from the five places</t>
  </si>
  <si>
    <t xml:space="preserve">[ ] Each piece has one shape: list, steps, or story</t>
  </si>
  <si>
    <t xml:space="preserve">[ ] Each piece names what the viewer leaves with</t>
  </si>
  <si>
    <t xml:space="preserve">[ ] The give-to-ask ratio was kept</t>
  </si>
  <si>
    <t xml:space="preserve">[ ] One piece was posted every day</t>
  </si>
  <si>
    <t xml:space="preserve">[ ] Every comment got a reply</t>
  </si>
  <si>
    <t xml:space="preserve">You have leveled this when: A week where every box is true.</t>
  </si>
  <si>
    <t xml:space="preserve">A hundred minutes a day</t>
  </si>
  <si>
    <t xml:space="preserve">about 100 min</t>
  </si>
  <si>
    <t xml:space="preserve">Chapters 5 and 12</t>
  </si>
  <si>
    <t xml:space="preserve">The rule of 100 for content is time: a hundred minutes a day making and posting. Log it. Days you skip are days the room stays empty.</t>
  </si>
  <si>
    <t xml:space="preserve">[ ] A hundred minutes on content today, timed</t>
  </si>
  <si>
    <t xml:space="preserve">[ ] At least one piece posted</t>
  </si>
  <si>
    <t xml:space="preserve">[ ] Today's minutes are logged</t>
  </si>
  <si>
    <t xml:space="preserve">You have leveled this when: A day with the minutes logged.</t>
  </si>
  <si>
    <t xml:space="preserve">Your content numbers</t>
  </si>
  <si>
    <t xml:space="preserve">Three numbers a month: pieces posted, followers gained, and engaged leads that came from content. Pieces tell you if you are doing the work. Followers tell you if the hooks work. Engaged leads tell you if the asks work.</t>
  </si>
  <si>
    <t xml:space="preserve">Pieces posted</t>
  </si>
  <si>
    <t xml:space="preserve">for example: 28</t>
  </si>
  <si>
    <t xml:space="preserve">Followers gained</t>
  </si>
  <si>
    <t xml:space="preserve">for example: 240</t>
  </si>
  <si>
    <t xml:space="preserve">Engaged leads from content</t>
  </si>
  <si>
    <t xml:space="preserve">for example: 12</t>
  </si>
  <si>
    <t xml:space="preserve">You have leveled this when: All three entered for the last month.</t>
  </si>
  <si>
    <t xml:space="preserve">Chapter 5, grow</t>
  </si>
  <si>
    <t xml:space="preserve">More: post more often. Better: look at the ten best pieces and make more like them. New: cut long pieces into short ones, take the winners to a second platform, then hand the cutting to someone else.</t>
  </si>
  <si>
    <t xml:space="preserve">[ ] The ten best pieces of the quarter are listed with what their hooks had in common</t>
  </si>
  <si>
    <t xml:space="preserve">[ ] Posting frequency went up and stayed up</t>
  </si>
  <si>
    <t xml:space="preserve">[ ] Winners are repurposed to a second platform</t>
  </si>
  <si>
    <t xml:space="preserve">[ ] Someone else cuts long pieces into short ones</t>
  </si>
  <si>
    <t xml:space="preserve">Cold Outreach (core four: strangers, one to one)</t>
  </si>
  <si>
    <t xml:space="preserve">Chapter 6, Cold outreach. Reach out, one at a time, to people who have never heard of you. Volume, personal first lines, and something of value up front.</t>
  </si>
  <si>
    <t xml:space="preserve">What cold outreach is</t>
  </si>
  <si>
    <t xml:space="preserve">One-to-one messages to strangers who fit your customer. It works on four things: a list of the right people, a first line that proves you looked at them, something of real value in the first message, and volume, because most will not answer. Expect to reach many to get one.</t>
  </si>
  <si>
    <t xml:space="preserve">Get the list</t>
  </si>
  <si>
    <t xml:space="preserve">Chapter 6, lists</t>
  </si>
  <si>
    <t xml:space="preserve">Three ways to get names: a tool that finds them, a list you buy, or a list you build by hand from where your customers gather. Start with the one you can have by tomorrow.</t>
  </si>
  <si>
    <t xml:space="preserve">Where the names come from</t>
  </si>
  <si>
    <t xml:space="preserve">choose one: A tool that finds them / A list I buy / A list I build by hand</t>
  </si>
  <si>
    <t xml:space="preserve">Names in the list today</t>
  </si>
  <si>
    <t xml:space="preserve">for example: 800</t>
  </si>
  <si>
    <t xml:space="preserve">You have leveled this when: A source picked and a count of names in hand.</t>
  </si>
  <si>
    <t xml:space="preserve">The first line, and the gift</t>
  </si>
  <si>
    <t xml:space="preserve">Chapter 6, personalize and value</t>
  </si>
  <si>
    <t xml:space="preserve">The first line is about them, and it proves a person wrote it. Then give something of value before you ask anything: the lead magnet, a fix, a result they can see fast. Big, fast value is what makes a stranger answer.</t>
  </si>
  <si>
    <t xml:space="preserve">A first line for one name on the list</t>
  </si>
  <si>
    <t xml:space="preserve">for example: Your studio's spring recital video has 2,000 views, and the adult students got the loudest cheers.</t>
  </si>
  <si>
    <t xml:space="preserve">What you give in that first message</t>
  </si>
  <si>
    <t xml:space="preserve">for example: A free twelve-minute level check for any adult student who wants to restart.</t>
  </si>
  <si>
    <t xml:space="preserve">You have leveled this when: Both written.</t>
  </si>
  <si>
    <t xml:space="preserve">The follow-up plan</t>
  </si>
  <si>
    <t xml:space="preserve">Chapter 6, follow up</t>
  </si>
  <si>
    <t xml:space="preserve">A stranger who did not answer has not said no. Follow up more times than feels comfortable, in more than one way: message, email, a call, a voice note. Decide the number of touches and the channels before you start, so the plan runs itself.</t>
  </si>
  <si>
    <t xml:space="preserve">Touches before you stop</t>
  </si>
  <si>
    <t xml:space="preserve">for example: 7</t>
  </si>
  <si>
    <t xml:space="preserve">Channels you will use (Y beside each that applies)</t>
  </si>
  <si>
    <t xml:space="preserve">    Email</t>
  </si>
  <si>
    <t xml:space="preserve">    Direct message</t>
  </si>
  <si>
    <t xml:space="preserve">    Phone</t>
  </si>
  <si>
    <t xml:space="preserve">    Voice note</t>
  </si>
  <si>
    <t xml:space="preserve">    Physical mail</t>
  </si>
  <si>
    <t xml:space="preserve">You have leveled this when: A number of touches and at least two channels.</t>
  </si>
  <si>
    <t xml:space="preserve">A hundred new cold reach-outs a day, plus every follow-up that is due. Personal first line, the gift, the ask. Log the count.</t>
  </si>
  <si>
    <t xml:space="preserve">[ ] One hundred new reach-outs sent</t>
  </si>
  <si>
    <t xml:space="preserve">[ ] Each had a first line about them</t>
  </si>
  <si>
    <t xml:space="preserve">[ ] Each gave the gift before any ask</t>
  </si>
  <si>
    <t xml:space="preserve">[ ] Every follow-up that was due went out, on the planned channel</t>
  </si>
  <si>
    <t xml:space="preserve">You have leveled this when: A day where every box is true.</t>
  </si>
  <si>
    <t xml:space="preserve">Make the volume run itself</t>
  </si>
  <si>
    <t xml:space="preserve">about 60 min</t>
  </si>
  <si>
    <t xml:space="preserve">Chapter 6, volume</t>
  </si>
  <si>
    <t xml:space="preserve">Volume is the whole game, and volume needs a system: templates with a personal first line, a tool that sends and tracks, a list refilled every week, and, when it works, someone else doing the sending.</t>
  </si>
  <si>
    <t xml:space="preserve">[ ] Templates exist for the first message and every follow-up</t>
  </si>
  <si>
    <t xml:space="preserve">[ ] A tool sends, tracks and reminds you of follow-ups</t>
  </si>
  <si>
    <t xml:space="preserve">[ ] The list is refilled every week before it runs out</t>
  </si>
  <si>
    <t xml:space="preserve">[ ] Someone else can run a day from the checklist</t>
  </si>
  <si>
    <t xml:space="preserve">Your cold numbers</t>
  </si>
  <si>
    <t xml:space="preserve">Three numbers a week: reach-outs, replies, and bookings. The reply rate tests the first line and the gift. The booking rate tests the ask.</t>
  </si>
  <si>
    <t xml:space="preserve">Reach-outs sent</t>
  </si>
  <si>
    <t xml:space="preserve">for example: 25</t>
  </si>
  <si>
    <t xml:space="preserve">Bookings</t>
  </si>
  <si>
    <t xml:space="preserve">for example: 6</t>
  </si>
  <si>
    <t xml:space="preserve">    Bookings, as a share</t>
  </si>
  <si>
    <t xml:space="preserve">You have leveled this when: All three entered for the last seven days.</t>
  </si>
  <si>
    <t xml:space="preserve">More: more senders and a bigger list. Better: test first lines and gifts against each other and keep the winner. New: a new list source or a new channel once the current one is steady.</t>
  </si>
  <si>
    <t xml:space="preserve">[ ] Two first lines were tested against each other this month and the winner kept</t>
  </si>
  <si>
    <t xml:space="preserve">[ ] Two gifts were tested the same way</t>
  </si>
  <si>
    <t xml:space="preserve">[ ] Daily volume went up</t>
  </si>
  <si>
    <t xml:space="preserve">[ ] A second channel or list source is running</t>
  </si>
  <si>
    <t xml:space="preserve">Paid Ads (core four: strangers, one to many)</t>
  </si>
  <si>
    <t xml:space="preserve">Chapter 7, Run paid ads. Pay to put your lead magnet in front of strangers. Fast, and it costs money while you learn.</t>
  </si>
  <si>
    <t xml:space="preserve">What paid ads are, and the money rule</t>
  </si>
  <si>
    <t xml:space="preserve">You pay a platform to show your lead magnet to strangers. It is the fastest way to reach many, and the only one that costs cash while you learn. Two rules from the book keep it safe: over a customer's life, gross profit should be at least three times what they cost to get, and the first thirty days should bring in twice that cost before you spend more.</t>
  </si>
  <si>
    <t xml:space="preserve">The parts of an ad</t>
  </si>
  <si>
    <t xml:space="preserve">Chapter 7, part 1</t>
  </si>
  <si>
    <t xml:space="preserve">Call out the person so the right people stop and the wrong ones scroll on. Hook them the way content does. Give them the value: what they get, for whom, and why now. Then the call to action: the magnet, and one clear step.</t>
  </si>
  <si>
    <t xml:space="preserve">The platform and the call-out</t>
  </si>
  <si>
    <t xml:space="preserve">Advertise where your people already are. Then write the labels that call them out: who should see this, and who should not. A good call-out makes a stranger feel found.</t>
  </si>
  <si>
    <t xml:space="preserve">The platform</t>
  </si>
  <si>
    <t xml:space="preserve">for example: Facebook and Instagram</t>
  </si>
  <si>
    <t xml:space="preserve">Who this is for (the labels)</t>
  </si>
  <si>
    <t xml:space="preserve">for example: Adults over 35 who used to play piano</t>
  </si>
  <si>
    <t xml:space="preserve">Who should scroll past</t>
  </si>
  <si>
    <t xml:space="preserve">for example: Parents looking for kids' lessons</t>
  </si>
  <si>
    <t xml:space="preserve">You have leveled this when: All three written.</t>
  </si>
  <si>
    <t xml:space="preserve">Write the ad</t>
  </si>
  <si>
    <t xml:space="preserve">Four pieces, in order. Write it plain. The magnet is the offer in the ad; the paid product comes later.</t>
  </si>
  <si>
    <t xml:space="preserve">The hook</t>
  </si>
  <si>
    <t xml:space="preserve">for example: Quit piano as a kid? Your hands remember more than you think.</t>
  </si>
  <si>
    <t xml:space="preserve">The value: what, for whom, why now</t>
  </si>
  <si>
    <t xml:space="preserve">for example: A free twelve-minute level check that finds three songs you can play this month. For adults who stopped. Ten spots this week.</t>
  </si>
  <si>
    <t xml:space="preserve">The call to action</t>
  </si>
  <si>
    <t xml:space="preserve">for example: Tap to get your level check.</t>
  </si>
  <si>
    <t xml:space="preserve">The magnet it points to</t>
  </si>
  <si>
    <t xml:space="preserve">You have leveled this when: All four written.</t>
  </si>
  <si>
    <t xml:space="preserve">Launch day</t>
  </si>
  <si>
    <t xml:space="preserve">A hundred dollars a day is the book's rule of 100 for ads: enough to learn, small enough to lose. Launch a few versions, capture the contact, and make sure you can see what each lead cost from day one.</t>
  </si>
  <si>
    <t xml:space="preserve">[ ] The daily budget is set and you can afford to lose it while you learn</t>
  </si>
  <si>
    <t xml:space="preserve">[ ] At least three versions of the ad are live (different hooks)</t>
  </si>
  <si>
    <t xml:space="preserve">[ ] The ad points to the magnet, and the magnet asks for a way to reach them</t>
  </si>
  <si>
    <t xml:space="preserve">[ ] Cost per lead is visible in the dashboard</t>
  </si>
  <si>
    <t xml:space="preserve">[ ] A person or a system follows up with every lead the same day</t>
  </si>
  <si>
    <t xml:space="preserve">You have leveled this when: Every box ticked on launch day.</t>
  </si>
  <si>
    <t xml:space="preserve">The testing loop</t>
  </si>
  <si>
    <t xml:space="preserve">Chapter 7, part 2</t>
  </si>
  <si>
    <t xml:space="preserve">Every week: keep the winner, kill the losers, launch new challengers. Change one thing at a time, the hook most often. The loop never stops; that is the job.</t>
  </si>
  <si>
    <t xml:space="preserve">[ ] The losing versions were turned off</t>
  </si>
  <si>
    <t xml:space="preserve">[ ] New challengers went live against the winner</t>
  </si>
  <si>
    <t xml:space="preserve">[ ] One thing changed per challenger</t>
  </si>
  <si>
    <t xml:space="preserve">[ ] Cost per engaged lead was compared, not just cost per lead</t>
  </si>
  <si>
    <t xml:space="preserve">You have leveled this when: Every box ticked for the last week.</t>
  </si>
  <si>
    <t xml:space="preserve">Cost per lead, cost per engaged lead, cost per customer</t>
  </si>
  <si>
    <t xml:space="preserve">Three costs, and they belong on the Machine page where the whole funnel lives: what you spent, how many engaged leads it made, and how many customers. The Machine turns them into the cost of one engaged lead and the cost of one customer.</t>
  </si>
  <si>
    <t xml:space="preserve">From the Machine sheet: Ad spend a month ($)</t>
  </si>
  <si>
    <t xml:space="preserve">type it on the Machine sheet, it shows here</t>
  </si>
  <si>
    <t xml:space="preserve">From the Machine sheet: Primary actions a day</t>
  </si>
  <si>
    <t xml:space="preserve">From the Machine sheet: Days a month you do them</t>
  </si>
  <si>
    <t xml:space="preserve">From the Machine sheet: Reach-outs that become engaged leads</t>
  </si>
  <si>
    <t xml:space="preserve">From the Machine sheet: Engaged leads that book a call or a visit</t>
  </si>
  <si>
    <t xml:space="preserve">From the Machine sheet: Bookings that show up</t>
  </si>
  <si>
    <t xml:space="preserve">From the Machine sheet: Shows that buy</t>
  </si>
  <si>
    <t xml:space="preserve">You have leveled this when: The Machine has your monthly spend, your funnel rates, and your working days.</t>
  </si>
  <si>
    <t xml:space="preserve">The three-to-one check</t>
  </si>
  <si>
    <t xml:space="preserve">Lifetime gross profit divided by the cost of a customer. Under three, fix the offer or the funnel before spending more. The thirty-day check sits beside it: gross profit in the first month against twice the cost of a customer.</t>
  </si>
  <si>
    <t xml:space="preserve">From the Machine sheet: What a new customer pays up front ($)</t>
  </si>
  <si>
    <t xml:space="preserve">From the Machine sheet: What they pay each month after that ($)</t>
  </si>
  <si>
    <t xml:space="preserve">From the Machine sheet: Months a customer stays, on average</t>
  </si>
  <si>
    <t xml:space="preserve">From the Machine sheet: Gross margin: what is left after delivering</t>
  </si>
  <si>
    <t xml:space="preserve">You have leveled this when: The Machine has the price, the margin, and how long a customer stays.</t>
  </si>
  <si>
    <t xml:space="preserve">More: raise the budget while the three-to-one and thirty-day checks hold, and stop the moment they do not. Better: better hooks, tighter call-outs, a stronger magnet. New: a second platform, once the first is boring.</t>
  </si>
  <si>
    <t xml:space="preserve">[ ] The budget only rises when both money checks pass</t>
  </si>
  <si>
    <t xml:space="preserve">[ ] There is a rule for when it falls back</t>
  </si>
  <si>
    <t xml:space="preserve">[ ] The best hook of the quarter is known and reused</t>
  </si>
  <si>
    <t xml:space="preserve">[ ] A second platform is being tested with its own small budget</t>
  </si>
  <si>
    <t xml:space="preserve">Chapter 8, Customer referrals. Customers who bring customers. The best leads there are, and the only growth that costs nothing.</t>
  </si>
  <si>
    <t xml:space="preserve">Why referrals beat everything</t>
  </si>
  <si>
    <t xml:space="preserve">A referred customer costs nothing to get, buys more, and stays longer. A business grows on its own only when the customers coming in from referrals outnumber the customers leaving. Referrals come from goodwill, and goodwill is the gap between what you promised and what they got.</t>
  </si>
  <si>
    <t xml:space="preserve">Make it worth referring</t>
  </si>
  <si>
    <t xml:space="preserve">Before asking, make the product more referable. The book lists the ways: sell to better-fit customers, set better expectations, get more of them to a result, get them there faster, and keep them longer. Pick the one you will do this quarter.</t>
  </si>
  <si>
    <t xml:space="preserve">This quarter</t>
  </si>
  <si>
    <t xml:space="preserve">choose one: Sell to better-fit customers / Set better expectations / Get more customers to a result / Get them there faster / Keep them longer</t>
  </si>
  <si>
    <t xml:space="preserve">The change, in one line</t>
  </si>
  <si>
    <t xml:space="preserve">for example: Every new student plays a full song in lesson one, so the first week has a win.</t>
  </si>
  <si>
    <t xml:space="preserve">You have leveled this when: One picked and the change written.</t>
  </si>
  <si>
    <t xml:space="preserve">Six ways to ask, from the book: a reward for the referrer, a reward for both, asking right after a win, bonuses that unlock when they refer, referral events, and a standing program. Choose the ones you will run and write the offer.</t>
  </si>
  <si>
    <t xml:space="preserve">The ways you will use (Y beside each that applies)</t>
  </si>
  <si>
    <t xml:space="preserve">    A reward for the referrer</t>
  </si>
  <si>
    <t xml:space="preserve">    A reward for both</t>
  </si>
  <si>
    <t xml:space="preserve">    Ask right after a win</t>
  </si>
  <si>
    <t xml:space="preserve">    Bonuses that unlock</t>
  </si>
  <si>
    <t xml:space="preserve">    A referral event</t>
  </si>
  <si>
    <t xml:space="preserve">    A standing program</t>
  </si>
  <si>
    <t xml:space="preserve">The referral offer, word for word</t>
  </si>
  <si>
    <t xml:space="preserve">for example: Bring a friend to their first lesson and you both get the next one free.</t>
  </si>
  <si>
    <t xml:space="preserve">You have leveled this when: At least one way chosen and the offer written.</t>
  </si>
  <si>
    <t xml:space="preserve">Ask every time</t>
  </si>
  <si>
    <t xml:space="preserve">The ask lives at two moments: when they buy, and when they win. Make both automatic, track who sent whom, and thank the referrer within the day.</t>
  </si>
  <si>
    <t xml:space="preserve">[ ] Every new customer hears the referral offer at signup</t>
  </si>
  <si>
    <t xml:space="preserve">[ ] Every first win is followed by the ask</t>
  </si>
  <si>
    <t xml:space="preserve">[ ] Who referred whom is written down</t>
  </si>
  <si>
    <t xml:space="preserve">[ ] Every referrer is thanked the same day</t>
  </si>
  <si>
    <t xml:space="preserve">[ ] The referral offer is somewhere customers can find it without asking</t>
  </si>
  <si>
    <t xml:space="preserve">Referrals in, customers out</t>
  </si>
  <si>
    <t xml:space="preserve">Two rates a month, and the Machine draws what they do over a year: the share of customers who brought a new one, and the share who left. When the first is bigger than the second, the business grows without ads.</t>
  </si>
  <si>
    <t xml:space="preserve">From the Machine sheet: Paying customers today</t>
  </si>
  <si>
    <t xml:space="preserve">From the Machine sheet: Share of customers who bring one in a month</t>
  </si>
  <si>
    <t xml:space="preserve">From the Machine sheet: Share of customers who leave in a month</t>
  </si>
  <si>
    <t xml:space="preserve">You have leveled this when: The Machine has your customer count, your referral rate and your churn.</t>
  </si>
  <si>
    <t xml:space="preserve">More: ask at more moments. Better: a bigger reward for the referrer whose people stay. New: the customers who refer most are your first affiliates.</t>
  </si>
  <si>
    <t xml:space="preserve">[ ] The referral rate is higher than it was last quarter</t>
  </si>
  <si>
    <t xml:space="preserve">[ ] The best referrers are named</t>
  </si>
  <si>
    <t xml:space="preserve">[ ] The best referrers were offered the affiliate deal</t>
  </si>
  <si>
    <t xml:space="preserve">Chapter 9, Employees. People on your team who do the core four for you. Document, demonstrate, duplicate.</t>
  </si>
  <si>
    <t xml:space="preserve">Someone else does the core four</t>
  </si>
  <si>
    <t xml:space="preserve">An employee who does one of the core four for you is a lead getter. Training is three steps: document what you do, demonstrate it while they watch, then duplicate: they do it while you watch, until their numbers match yours.</t>
  </si>
  <si>
    <t xml:space="preserve">Document one job</t>
  </si>
  <si>
    <t xml:space="preserve">about 45 min</t>
  </si>
  <si>
    <t xml:space="preserve">Chapter 9, document</t>
  </si>
  <si>
    <t xml:space="preserve">Pick the core four action you do every day and write it as a checklist a stranger could follow. The daily hundred on that planet is the checklist; add the words you say and the numbers you expect.</t>
  </si>
  <si>
    <t xml:space="preserve">The job to hand off first</t>
  </si>
  <si>
    <t xml:space="preserve">choose one: Warm outreach / Content / Cold outreach / Paid ads</t>
  </si>
  <si>
    <t xml:space="preserve">The checklist, step by step</t>
  </si>
  <si>
    <t xml:space="preserve">for example: 1. Open the list. 2. Send 100 messages using the template, first line personal. 3. ...</t>
  </si>
  <si>
    <t xml:space="preserve">You have leveled this when: A job picked and its checklist written.</t>
  </si>
  <si>
    <t xml:space="preserve">Demonstrate, then duplicate</t>
  </si>
  <si>
    <t xml:space="preserve">They watch you do a full day. Then you watch them do a full day. Then they do it alone and you check the numbers. Pay for outcomes you can count.</t>
  </si>
  <si>
    <t xml:space="preserve">[ ] They watched a whole day of the job, with the checklist in hand</t>
  </si>
  <si>
    <t xml:space="preserve">[ ] You watched them do a whole day</t>
  </si>
  <si>
    <t xml:space="preserve">[ ] They did a week alone and the numbers were checked daily</t>
  </si>
  <si>
    <t xml:space="preserve">[ ] Their pay is tied to a number they control</t>
  </si>
  <si>
    <t xml:space="preserve">Their numbers against yours</t>
  </si>
  <si>
    <t xml:space="preserve">One comparison a week: their daily actions and results beside yours from the same job. Train until the gap closes.</t>
  </si>
  <si>
    <t xml:space="preserve">Their actions a day</t>
  </si>
  <si>
    <t xml:space="preserve">for example: 80</t>
  </si>
  <si>
    <t xml:space="preserve">Your actions a day, same job</t>
  </si>
  <si>
    <t xml:space="preserve">for example: 100</t>
  </si>
  <si>
    <t xml:space="preserve">Of your pace</t>
  </si>
  <si>
    <t xml:space="preserve">You have leveled this when: Both entered.</t>
  </si>
  <si>
    <t xml:space="preserve">More: a second person on the same job. Better: the best of them trains the next. New: a person on the next planet, and eventually someone who runs the people.</t>
  </si>
  <si>
    <t xml:space="preserve">[ ] Two people run the first job</t>
  </si>
  <si>
    <t xml:space="preserve">[ ] The best of them trains new hires from the checklist</t>
  </si>
  <si>
    <t xml:space="preserve">[ ] A second planet has its own person</t>
  </si>
  <si>
    <t xml:space="preserve">[ ] Someone other than you checks the daily numbers</t>
  </si>
  <si>
    <t xml:space="preserve">Chapter 10, Agencies. Hire an agency to learn a channel from, then bring it in-house.</t>
  </si>
  <si>
    <t xml:space="preserve">Rent the skill, then own it</t>
  </si>
  <si>
    <t xml:space="preserve">An agency is a way to learn a channel from people who already know it. The book's play: hire one that is good, say up front you plan to bring the work in-house, have your person sit in on everything, then hire a cheaper one to sustain while your person takes over.</t>
  </si>
  <si>
    <t xml:space="preserve">The interview</t>
  </si>
  <si>
    <t xml:space="preserve">Ask every agency the same questions and write the answers down. The channel is theirs to run; the learning is yours to keep.</t>
  </si>
  <si>
    <t xml:space="preserve">The agency you chose, and why</t>
  </si>
  <si>
    <t xml:space="preserve">for example: Northside, because their person will train mine on the calls</t>
  </si>
  <si>
    <t xml:space="preserve">[ ] Who exactly will run my account, and how many others do they run</t>
  </si>
  <si>
    <t xml:space="preserve">[ ] What does the first ninety days look like, week by week</t>
  </si>
  <si>
    <t xml:space="preserve">[ ] Can my person sit in on every call and see every setting</t>
  </si>
  <si>
    <t xml:space="preserve">[ ] Show me results for a business like mine, with the numbers</t>
  </si>
  <si>
    <t xml:space="preserve">[ ] I told them I intend to bring this in-house and asked how they will help</t>
  </si>
  <si>
    <t xml:space="preserve">You have leveled this when: Every question asked of at least two agencies.</t>
  </si>
  <si>
    <t xml:space="preserve">Run the engagement</t>
  </si>
  <si>
    <t xml:space="preserve">Fixed term, weekly calls with your person in the room, every account in your name, and the numbers in your hands every month. When your person can do it, the expensive agency's job is done.</t>
  </si>
  <si>
    <t xml:space="preserve">[ ] The contract has an end date</t>
  </si>
  <si>
    <t xml:space="preserve">[ ] The ad accounts and the pages belong to you, not the agency</t>
  </si>
  <si>
    <t xml:space="preserve">[ ] Your person is on every weekly call</t>
  </si>
  <si>
    <t xml:space="preserve">[ ] You get spend, leads, engaged leads and customers every month</t>
  </si>
  <si>
    <t xml:space="preserve">[ ] Your person has a date to take over</t>
  </si>
  <si>
    <t xml:space="preserve">What the agency costs per lead</t>
  </si>
  <si>
    <t xml:space="preserve">The fee plus the spend, over the engaged leads it made. Compare it with what your own planets cost per engaged lead; that is the number that says when to bring it home.</t>
  </si>
  <si>
    <t xml:space="preserve">Agency fee last month</t>
  </si>
  <si>
    <t xml:space="preserve">for example: $3000</t>
  </si>
  <si>
    <t xml:space="preserve">Ad spend last month</t>
  </si>
  <si>
    <t xml:space="preserve">Engaged leads it produced</t>
  </si>
  <si>
    <t xml:space="preserve">for example: 120</t>
  </si>
  <si>
    <t xml:space="preserve">You have leveled this when: All three entered for last month.</t>
  </si>
  <si>
    <t xml:space="preserve">Bring it home</t>
  </si>
  <si>
    <t xml:space="preserve">Your person runs it. A cheaper agency, or none, sustains it. The learning stays.</t>
  </si>
  <si>
    <t xml:space="preserve">[ ] Your person runs the channel day to day</t>
  </si>
  <si>
    <t xml:space="preserve">[ ] The expensive agency is done, or on a smaller retainer</t>
  </si>
  <si>
    <t xml:space="preserve">[ ] Cost per engaged lead held or fell after the handover</t>
  </si>
  <si>
    <t xml:space="preserve">Chapter 11, Affiliates. Other businesses that already serve your customer, sending them to you for a cut.</t>
  </si>
  <si>
    <t xml:space="preserve">Other businesses that send you customers</t>
  </si>
  <si>
    <t xml:space="preserve">An affiliate already sells to the people you want. Recruiting them is a core four campaign of its own: find them, reach out, make them an offer, get them started, and pay them. One good affiliate can outdo a planet.</t>
  </si>
  <si>
    <t xml:space="preserve">Who your affiliates are</t>
  </si>
  <si>
    <t xml:space="preserve">Describe the business that already serves your customer and does not compete with you. Then list twenty of them by name.</t>
  </si>
  <si>
    <t xml:space="preserve">The ideal affiliate, in one line</t>
  </si>
  <si>
    <t xml:space="preserve">for example: Piano shops and tuners who meet adults with a piano gathering dust</t>
  </si>
  <si>
    <t xml:space="preserve">Named candidates on your list</t>
  </si>
  <si>
    <t xml:space="preserve">for example: 20</t>
  </si>
  <si>
    <t xml:space="preserve">You have leveled this when: The profile written and twenty names counted.</t>
  </si>
  <si>
    <t xml:space="preserve">The affiliate offer</t>
  </si>
  <si>
    <t xml:space="preserve">What do they get: a share of each sale, a fee per lead, or your product to give their customers. What gets them started: the book favours having them use or buy the product first, and launching together. Write it.</t>
  </si>
  <si>
    <t xml:space="preserve">How they are paid</t>
  </si>
  <si>
    <t xml:space="preserve">choose one: A share of each sale / A fee per lead / Product for their customers / A mix</t>
  </si>
  <si>
    <t xml:space="preserve">What gets them started</t>
  </si>
  <si>
    <t xml:space="preserve">choose one: They use or buy it first / A launch we run together / Both</t>
  </si>
  <si>
    <t xml:space="preserve">The offer, word for word</t>
  </si>
  <si>
    <t xml:space="preserve">for example: Send us an adult who restarts and we pay you a third of their first month, every time.</t>
  </si>
  <si>
    <t xml:space="preserve">You have leveled this when: Both chosen and the offer written.</t>
  </si>
  <si>
    <t xml:space="preserve">Recruit and launch</t>
  </si>
  <si>
    <t xml:space="preserve">Reach the twenty the way you reach any lead: warm if you know them, cold if you do not. Get the first ones started with a launch you run together, and give them everything they need to sell without thinking.</t>
  </si>
  <si>
    <t xml:space="preserve">[ ] All twenty were contacted, with the offer</t>
  </si>
  <si>
    <t xml:space="preserve">[ ] The first affiliate used or bought the product</t>
  </si>
  <si>
    <t xml:space="preserve">[ ] A launch was run together and the results shared</t>
  </si>
  <si>
    <t xml:space="preserve">[ ] Every affiliate has ready-made messages, links and the magnet</t>
  </si>
  <si>
    <t xml:space="preserve">[ ] Payouts go out on a fixed day</t>
  </si>
  <si>
    <t xml:space="preserve">Your affiliate numbers</t>
  </si>
  <si>
    <t xml:space="preserve">Two numbers a month: affiliates who sent at least one lead, and the engaged leads they sent. The first says whether they are activated; the second says whether it is worth more of your time.</t>
  </si>
  <si>
    <t xml:space="preserve">Affiliates who sent a lead</t>
  </si>
  <si>
    <t xml:space="preserve">for example: 4</t>
  </si>
  <si>
    <t xml:space="preserve">Engaged leads from affiliates</t>
  </si>
  <si>
    <t xml:space="preserve">for example: 22</t>
  </si>
  <si>
    <t xml:space="preserve">You have leveled this when: Both entered for last month.</t>
  </si>
  <si>
    <t xml:space="preserve">More: recruit every month. Better: a leaderboard, tiers and prizes for the ones who send the most. New: a person whose whole job is affiliates.</t>
  </si>
  <si>
    <t xml:space="preserve">[ ] Recruiting runs monthly, from a list that is refilled</t>
  </si>
  <si>
    <t xml:space="preserve">[ ] Affiliates can see how they rank</t>
  </si>
  <si>
    <t xml:space="preserve">[ ] The top tier earns more</t>
  </si>
  <si>
    <t xml:space="preserve">[ ] Someone owns the affiliate program</t>
  </si>
  <si>
    <t xml:space="preserve">The rule of 100: your daily log</t>
  </si>
  <si>
    <t xml:space="preserve">A hundred primary actions a day on your chosen planet: messages, minutes of content, reach-outs, or dollars. Log every day. A day you skip is a blank row, not a zero.</t>
  </si>
  <si>
    <t xml:space="preserve">Day</t>
  </si>
  <si>
    <t xml:space="preserve">Planet</t>
  </si>
  <si>
    <t xml:space="preserve">Count</t>
  </si>
  <si>
    <t xml:space="preserve">The last thirty days (from today)</t>
  </si>
  <si>
    <t xml:space="preserve">Warm outreach</t>
  </si>
  <si>
    <t xml:space="preserve">Days logged</t>
  </si>
  <si>
    <t xml:space="preserve">These fourteen rows are example days. Replace them with yours; blank rows below are ready.</t>
  </si>
  <si>
    <t xml:space="preserve">Days at 100 or more</t>
  </si>
  <si>
    <t xml:space="preserve">Actions in the last thirty days</t>
  </si>
  <si>
    <t xml:space="preserve">Average on a logged day</t>
  </si>
  <si>
    <t xml:space="preserve">Every term the book leans on, in one sentence.</t>
  </si>
  <si>
    <t xml:space="preserve">Term</t>
  </si>
  <si>
    <t xml:space="preserve">Meaning</t>
  </si>
  <si>
    <t xml:space="preserve">Lead</t>
  </si>
  <si>
    <t xml:space="preserve">Anyone you could contact.</t>
  </si>
  <si>
    <t xml:space="preserve">Engaged lead</t>
  </si>
  <si>
    <t xml:space="preserve">Someone who showed interest and gave you a way to reach them. The number the whole book is about.</t>
  </si>
  <si>
    <t xml:space="preserve">Lead magnet</t>
  </si>
  <si>
    <t xml:space="preserve">A free thing that solves one narrow problem for the person you want, in exchange for a way to reach them.</t>
  </si>
  <si>
    <t xml:space="preserve">Core four</t>
  </si>
  <si>
    <t xml:space="preserve">The only four ways to get leads: warm outreach, free content, cold outreach, paid ads. Two are to people who know you and two are to strangers; two are one to one and two are one to many.</t>
  </si>
  <si>
    <t xml:space="preserve">Lead getter</t>
  </si>
  <si>
    <t xml:space="preserve">Someone who does the core four for you: a customer who refers, an employee, an agency, an affiliate.</t>
  </si>
  <si>
    <t xml:space="preserve">Rule of 100</t>
  </si>
  <si>
    <t xml:space="preserve">A hundred primary actions a day on your chosen planet: messages, minutes of content, reach-outs, or dollars.</t>
  </si>
  <si>
    <t xml:space="preserve">Open to goal</t>
  </si>
  <si>
    <t xml:space="preserve">You do not stop for the day when the hundred is done; you stop when the goal is hit, or the hundred, whichever is later.</t>
  </si>
  <si>
    <t xml:space="preserve">The shape of a warm message: something true about them, something you like, a question they want to answer.</t>
  </si>
  <si>
    <t xml:space="preserve">Hook, retain, reward</t>
  </si>
  <si>
    <t xml:space="preserve">The three jobs of a piece of content.</t>
  </si>
  <si>
    <t xml:space="preserve">Big fast value</t>
  </si>
  <si>
    <t xml:space="preserve">What a cold message gives before it asks anything.</t>
  </si>
  <si>
    <t xml:space="preserve">The three ways to scale any planet: do more of it, do it better, add a new place to do it.</t>
  </si>
  <si>
    <t xml:space="preserve">What you spent, divided by the engaged leads it made.</t>
  </si>
  <si>
    <t xml:space="preserve">Cost to get a customer</t>
  </si>
  <si>
    <t xml:space="preserve">What you spent on getting leads, divided by the customers it made.</t>
  </si>
  <si>
    <t xml:space="preserve">Everything a customer pays you over their life, minus what it costs you to deliver it.</t>
  </si>
  <si>
    <t xml:space="preserve">Three to one</t>
  </si>
  <si>
    <t xml:space="preserve">The book's rule: lifetime gross profit should be at least three times the cost to get a customer.</t>
  </si>
  <si>
    <t xml:space="preserve">Thirty-day check</t>
  </si>
  <si>
    <t xml:space="preserve">Gross profit in a customer's first thirty days should cover the cost to get them twice, so the customers pay for the ads.</t>
  </si>
  <si>
    <t xml:space="preserve">Churn</t>
  </si>
  <si>
    <t xml:space="preserve">The share of customers who leave in a month.</t>
  </si>
  <si>
    <t xml:space="preserve">Referral rate</t>
  </si>
  <si>
    <t xml:space="preserve">The share of customers who bring a new customer in a month.</t>
  </si>
  <si>
    <t xml:space="preserve">Document, demonstrate, duplicate</t>
  </si>
  <si>
    <t xml:space="preserve">How you train someone to do a job: write it down, show them, watch them.</t>
  </si>
</sst>
</file>

<file path=xl/styles.xml><?xml version="1.0" encoding="utf-8"?>
<styleSheet xmlns="http://schemas.openxmlformats.org/spreadsheetml/2006/main">
  <numFmts count="15">
    <numFmt numFmtId="164" formatCode="General"/>
    <numFmt numFmtId="165" formatCode="#,##0"/>
    <numFmt numFmtId="166" formatCode="General"/>
    <numFmt numFmtId="167" formatCode="0%"/>
    <numFmt numFmtId="168" formatCode="#,##0.0"/>
    <numFmt numFmtId="169" formatCode="0.0\x"/>
    <numFmt numFmtId="170" formatCode="0.0%"/>
    <numFmt numFmtId="171" formatCode="\$#,##0;&quot;($&quot;#,##0\);\-"/>
    <numFmt numFmtId="172" formatCode="\$#,##0.00;&quot;($&quot;#,##0.00\);\-"/>
    <numFmt numFmtId="173" formatCode="0&quot;x or more&quot;"/>
    <numFmt numFmtId="174" formatCode="#,##0.00"/>
    <numFmt numFmtId="175" formatCode="#,##0&quot; people&quot;"/>
    <numFmt numFmtId="176" formatCode="\$#,##0"/>
    <numFmt numFmtId="177" formatCode="\$#,##0.00"/>
    <numFmt numFmtId="178" formatCode="yyyy\-mm\-dd"/>
  </numFmts>
  <fonts count="2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44444"/>
      <name val="Arial"/>
      <family val="0"/>
      <charset val="1"/>
    </font>
    <font>
      <i val="true"/>
      <sz val="9"/>
      <color rgb="FF444444"/>
      <name val="Arial"/>
      <family val="0"/>
      <charset val="1"/>
    </font>
    <font>
      <b val="true"/>
      <sz val="10"/>
      <color rgb="FF000000"/>
      <name val="Arial"/>
      <family val="0"/>
      <charset val="1"/>
    </font>
    <font>
      <i val="true"/>
      <sz val="9"/>
      <color rgb="FFA05A00"/>
      <name val="Arial"/>
      <family val="0"/>
      <charset val="1"/>
    </font>
    <font>
      <sz val="10"/>
      <color rgb="FF000000"/>
      <name val="Arial"/>
      <family val="0"/>
      <charset val="1"/>
    </font>
    <font>
      <sz val="10"/>
      <color rgb="FF0000FF"/>
      <name val="Arial"/>
      <family val="0"/>
      <charset val="1"/>
    </font>
    <font>
      <i val="true"/>
      <sz val="9"/>
      <color rgb="FF555555"/>
      <name val="Arial"/>
      <family val="0"/>
      <charset val="1"/>
    </font>
    <font>
      <b val="true"/>
      <sz val="10"/>
      <color rgb="FF7A5A00"/>
      <name val="Arial"/>
      <family val="0"/>
      <charset val="1"/>
    </font>
    <font>
      <sz val="10"/>
      <color rgb="FF008000"/>
      <name val="Arial"/>
      <family val="0"/>
      <charset val="1"/>
    </font>
    <font>
      <i val="true"/>
      <sz val="8"/>
      <color rgb="FF777777"/>
      <name val="Arial"/>
      <family val="0"/>
      <charset val="1"/>
    </font>
    <font>
      <sz val="10"/>
      <name val="Arial"/>
      <family val="2"/>
    </font>
    <font>
      <b val="true"/>
      <sz val="18"/>
      <color rgb="FF000000"/>
      <name val="Calibri"/>
      <family val="2"/>
    </font>
    <font>
      <sz val="10"/>
      <color rgb="FF000000"/>
      <name val="Calibri"/>
      <family val="2"/>
    </font>
    <font>
      <b val="true"/>
      <sz val="11"/>
      <color rgb="FF000000"/>
      <name val="Arial"/>
      <family val="0"/>
      <charset val="1"/>
    </font>
    <font>
      <sz val="9"/>
      <color rgb="FF555555"/>
      <name val="Arial"/>
      <family val="0"/>
      <charset val="1"/>
    </font>
    <font>
      <b val="true"/>
      <sz val="11"/>
      <color rgb="FFFFFFFF"/>
      <name val="Arial"/>
      <family val="0"/>
      <charset val="1"/>
    </font>
    <font>
      <sz val="9"/>
      <color rgb="FF999999"/>
      <name val="Arial"/>
      <family val="0"/>
      <charset val="1"/>
    </font>
    <font>
      <i val="true"/>
      <sz val="9"/>
      <color rgb="FF7A5A00"/>
      <name val="Arial"/>
      <family val="0"/>
      <charset val="1"/>
    </font>
    <font>
      <b val="true"/>
      <sz val="10"/>
      <color rgb="FF1F2A44"/>
      <name val="Arial"/>
      <family val="0"/>
      <charset val="1"/>
    </font>
  </fonts>
  <fills count="6">
    <fill>
      <patternFill patternType="none"/>
    </fill>
    <fill>
      <patternFill patternType="gray125"/>
    </fill>
    <fill>
      <patternFill patternType="solid">
        <fgColor rgb="FF1F2A44"/>
        <bgColor rgb="FF003366"/>
      </patternFill>
    </fill>
    <fill>
      <patternFill patternType="solid">
        <fgColor rgb="FFE9ECF1"/>
        <bgColor rgb="FFD8F0DF"/>
      </patternFill>
    </fill>
    <fill>
      <patternFill patternType="solid">
        <fgColor rgb="FFFFFFCC"/>
        <bgColor rgb="FFF9F9F9"/>
      </patternFill>
    </fill>
    <fill>
      <patternFill patternType="solid">
        <fgColor rgb="FFFCE9B6"/>
        <bgColor rgb="FFFBE5C3"/>
      </patternFill>
    </fill>
  </fills>
  <borders count="2">
    <border diagonalUp="false" diagonalDown="false">
      <left/>
      <right/>
      <top/>
      <bottom/>
      <diagonal/>
    </border>
    <border diagonalUp="false" diagonalDown="false">
      <left style="thin">
        <color rgb="FFC9CDD4"/>
      </left>
      <right style="thin">
        <color rgb="FFC9CDD4"/>
      </right>
      <top style="thin">
        <color rgb="FFC9CDD4"/>
      </top>
      <bottom style="thin">
        <color rgb="FFC9CD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5" fontId="10" fillId="4" borderId="1" xfId="0" applyFont="true" applyBorder="true" applyAlignment="true" applyProtection="false">
      <alignment horizontal="general" vertical="top" textRotation="0" wrapText="true" indent="0" shrinkToFit="false"/>
      <protection locked="true" hidden="false"/>
    </xf>
    <xf numFmtId="164" fontId="12" fillId="5"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70" fontId="10" fillId="4" borderId="1" xfId="0" applyFont="true" applyBorder="true" applyAlignment="false" applyProtection="false">
      <alignment horizontal="general" vertical="bottom" textRotation="0" wrapText="false" indent="0" shrinkToFit="false"/>
      <protection locked="true" hidden="false"/>
    </xf>
    <xf numFmtId="171" fontId="10" fillId="4"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9" fontId="18" fillId="0" borderId="1" xfId="0" applyFont="true" applyBorder="tru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4" fontId="19" fillId="3"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75"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76"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71" fontId="10" fillId="4" borderId="1" xfId="0" applyFont="true" applyBorder="true" applyAlignment="true" applyProtection="false">
      <alignment horizontal="general" vertical="top" textRotation="0" wrapText="true" indent="0" shrinkToFit="false"/>
      <protection locked="true" hidden="false"/>
    </xf>
    <xf numFmtId="177" fontId="7" fillId="0" borderId="1" xfId="0" applyFont="true" applyBorder="true" applyAlignment="true" applyProtection="false">
      <alignment horizontal="general" vertical="top" textRotation="0" wrapText="true" indent="0" shrinkToFit="false"/>
      <protection locked="true" hidden="false"/>
    </xf>
    <xf numFmtId="178" fontId="10" fillId="4"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CE9B6"/>
        </patternFill>
      </fill>
    </dxf>
    <dxf>
      <fill>
        <patternFill>
          <bgColor rgb="FFD8F0DF"/>
        </patternFill>
      </fill>
    </dxf>
    <dxf>
      <fill>
        <patternFill>
          <bgColor rgb="FFFBE5C3"/>
        </patternFill>
      </fill>
    </dxf>
    <dxf>
      <fill>
        <patternFill>
          <bgColor rgb="FFF7D2D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A5A00"/>
      <rgbColor rgb="FF800080"/>
      <rgbColor rgb="FF008080"/>
      <rgbColor rgb="FFC9CDD4"/>
      <rgbColor rgb="FF878787"/>
      <rgbColor rgb="FF9999FF"/>
      <rgbColor rgb="FFAA433F"/>
      <rgbColor rgb="FFFFFFCC"/>
      <rgbColor rgb="FFE9ECF1"/>
      <rgbColor rgb="FF660066"/>
      <rgbColor rgb="FFCC8F8E"/>
      <rgbColor rgb="FF0066CC"/>
      <rgbColor rgb="FFD9D9D9"/>
      <rgbColor rgb="FF000080"/>
      <rgbColor rgb="FFFF00FF"/>
      <rgbColor rgb="FFFFFF00"/>
      <rgbColor rgb="FF00FFFF"/>
      <rgbColor rgb="FF800080"/>
      <rgbColor rgb="FF800000"/>
      <rgbColor rgb="FF008080"/>
      <rgbColor rgb="FF0000FF"/>
      <rgbColor rgb="FF00CCFF"/>
      <rgbColor rgb="FFF9F9F9"/>
      <rgbColor rgb="FFD8F0DF"/>
      <rgbColor rgb="FFFCE9B6"/>
      <rgbColor rgb="FF99CCFF"/>
      <rgbColor rgb="FFFBE5C3"/>
      <rgbColor rgb="FFCC99FF"/>
      <rgbColor rgb="FFF7D2D2"/>
      <rgbColor rgb="FF4F81BD"/>
      <rgbColor rgb="FF33CCCC"/>
      <rgbColor rgb="FF99CC00"/>
      <rgbColor rgb="FFFFCC00"/>
      <rgbColor rgb="FFFF9900"/>
      <rgbColor rgb="FFFF6600"/>
      <rgbColor rgb="FF777777"/>
      <rgbColor rgb="FF999999"/>
      <rgbColor rgb="FF003366"/>
      <rgbColor rgb="FF339966"/>
      <rgbColor rgb="FF003300"/>
      <rgbColor rgb="FF444444"/>
      <rgbColor rgb="FFA05A00"/>
      <rgbColor rgb="FF993366"/>
      <rgbColor rgb="FF555555"/>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Levels done by planet</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'Start Here'!$A$29:$A$37</c:f>
              <c:strCache>
                <c:ptCount val="9"/>
                <c:pt idx="0">
                  <c:v>The Lead Magnet</c:v>
                </c:pt>
                <c:pt idx="1">
                  <c:v>Warm Outreach</c:v>
                </c:pt>
                <c:pt idx="2">
                  <c:v>Free Content</c:v>
                </c:pt>
                <c:pt idx="3">
                  <c:v>Cold Outreach</c:v>
                </c:pt>
                <c:pt idx="4">
                  <c:v>Paid Ads</c:v>
                </c:pt>
                <c:pt idx="5">
                  <c:v>Referrals</c:v>
                </c:pt>
                <c:pt idx="6">
                  <c:v>Employees</c:v>
                </c:pt>
                <c:pt idx="7">
                  <c:v>Agencies</c:v>
                </c:pt>
                <c:pt idx="8">
                  <c:v>Affiliates</c:v>
                </c:pt>
              </c:strCache>
            </c:strRef>
          </c:cat>
          <c:val>
            <c:numRef>
              <c:f>'Start Here'!$B$29:$B$37</c:f>
              <c:numCache>
                <c:formatCode>General</c:formatCode>
                <c:ptCount val="9"/>
                <c:pt idx="0">
                  <c:v>0</c:v>
                </c:pt>
                <c:pt idx="1">
                  <c:v>0</c:v>
                </c:pt>
                <c:pt idx="2">
                  <c:v>0</c:v>
                </c:pt>
                <c:pt idx="3">
                  <c:v>0</c:v>
                </c:pt>
                <c:pt idx="4">
                  <c:v>2</c:v>
                </c:pt>
                <c:pt idx="5">
                  <c:v>1</c:v>
                </c:pt>
                <c:pt idx="6">
                  <c:v>0</c:v>
                </c:pt>
                <c:pt idx="7">
                  <c:v>0</c:v>
                </c:pt>
                <c:pt idx="8">
                  <c:v>0</c:v>
                </c:pt>
              </c:numCache>
            </c:numRef>
          </c:val>
        </c:ser>
        <c:gapWidth val="150"/>
        <c:overlap val="0"/>
        <c:axId val="75672049"/>
        <c:axId val="69615015"/>
      </c:barChart>
      <c:catAx>
        <c:axId val="756720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615015"/>
        <c:crosses val="autoZero"/>
        <c:auto val="1"/>
        <c:lblAlgn val="ctr"/>
        <c:lblOffset val="100"/>
        <c:noMultiLvlLbl val="0"/>
      </c:catAx>
      <c:valAx>
        <c:axId val="6961501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67204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Extra customers a month from one small change</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Machine!$A$46:$A$50</c:f>
              <c:strCache>
                <c:ptCount val="5"/>
                <c:pt idx="0">
                  <c:v>Reply rate up one point</c:v>
                </c:pt>
                <c:pt idx="1">
                  <c:v>Booking rate up one point</c:v>
                </c:pt>
                <c:pt idx="2">
                  <c:v>Show rate up one point</c:v>
                </c:pt>
                <c:pt idx="3">
                  <c:v>Close rate up one point</c:v>
                </c:pt>
                <c:pt idx="4">
                  <c:v>Ten more actions a day</c:v>
                </c:pt>
              </c:strCache>
            </c:strRef>
          </c:cat>
          <c:val>
            <c:numRef>
              <c:f>Machine!$C$46:$C$50</c:f>
              <c:numCache>
                <c:formatCode>#,##0.00</c:formatCode>
                <c:ptCount val="5"/>
                <c:pt idx="0">
                  <c:v>1.848</c:v>
                </c:pt>
                <c:pt idx="1">
                  <c:v>0.231000000000002</c:v>
                </c:pt>
                <c:pt idx="2">
                  <c:v>0.132000000000001</c:v>
                </c:pt>
                <c:pt idx="3">
                  <c:v>0.308</c:v>
                </c:pt>
                <c:pt idx="4">
                  <c:v>0.924000000000001</c:v>
                </c:pt>
              </c:numCache>
            </c:numRef>
          </c:val>
        </c:ser>
        <c:gapWidth val="150"/>
        <c:overlap val="0"/>
        <c:axId val="14269478"/>
        <c:axId val="36163617"/>
      </c:barChart>
      <c:catAx>
        <c:axId val="142694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163617"/>
        <c:crosses val="autoZero"/>
        <c:auto val="1"/>
        <c:lblAlgn val="ctr"/>
        <c:lblOffset val="100"/>
        <c:noMultiLvlLbl val="0"/>
      </c:catAx>
      <c:valAx>
        <c:axId val="36163617"/>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26947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Customers over twelve months</a:t>
            </a:r>
          </a:p>
        </c:rich>
      </c:tx>
      <c:overlay val="0"/>
      <c:spPr>
        <a:noFill/>
        <a:ln w="0">
          <a:noFill/>
        </a:ln>
      </c:spPr>
    </c:title>
    <c:autoTitleDeleted val="0"/>
    <c:plotArea>
      <c:lineChart>
        <c:grouping val="standard"/>
        <c:varyColors val="0"/>
        <c:ser>
          <c:idx val="0"/>
          <c:order val="0"/>
          <c:tx>
            <c:strRef>
              <c:f>Machine!B52</c:f>
              <c:strCache>
                <c:ptCount val="1"/>
                <c:pt idx="0">
                  <c:v>With referrals as entered</c:v>
                </c:pt>
              </c:strCache>
            </c:strRef>
          </c:tx>
          <c:spPr>
            <a:solidFill>
              <a:srgbClr val="aa433f"/>
            </a:solidFill>
            <a:ln w="47520">
              <a:solidFill>
                <a:srgbClr val="aa43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Machine!$A$53:$A$65</c:f>
              <c:strCache>
                <c:ptCount val="13"/>
                <c:pt idx="0">
                  <c:v>Now</c:v>
                </c:pt>
                <c:pt idx="1">
                  <c:v>Month 1</c:v>
                </c:pt>
                <c:pt idx="2">
                  <c:v>Month 2</c:v>
                </c:pt>
                <c:pt idx="3">
                  <c:v>Month 3</c:v>
                </c:pt>
                <c:pt idx="4">
                  <c:v>Month 4</c:v>
                </c:pt>
                <c:pt idx="5">
                  <c:v>Month 5</c:v>
                </c:pt>
                <c:pt idx="6">
                  <c:v>Month 6</c:v>
                </c:pt>
                <c:pt idx="7">
                  <c:v>Month 7</c:v>
                </c:pt>
                <c:pt idx="8">
                  <c:v>Month 8</c:v>
                </c:pt>
                <c:pt idx="9">
                  <c:v>Month 9</c:v>
                </c:pt>
                <c:pt idx="10">
                  <c:v>Month 10</c:v>
                </c:pt>
                <c:pt idx="11">
                  <c:v>Month 11</c:v>
                </c:pt>
                <c:pt idx="12">
                  <c:v>Month 12</c:v>
                </c:pt>
              </c:strCache>
            </c:strRef>
          </c:cat>
          <c:val>
            <c:numRef>
              <c:f>Machine!$B$53:$B$65</c:f>
              <c:numCache>
                <c:formatCode>#,##0.0</c:formatCode>
                <c:ptCount val="13"/>
                <c:pt idx="0">
                  <c:v>12</c:v>
                </c:pt>
                <c:pt idx="1">
                  <c:v>21.48</c:v>
                </c:pt>
                <c:pt idx="2">
                  <c:v>31.1496</c:v>
                </c:pt>
                <c:pt idx="3">
                  <c:v>41.012592</c:v>
                </c:pt>
                <c:pt idx="4">
                  <c:v>51.07284384</c:v>
                </c:pt>
                <c:pt idx="5">
                  <c:v>61.3343007168</c:v>
                </c:pt>
                <c:pt idx="6">
                  <c:v>71.800986731136</c:v>
                </c:pt>
                <c:pt idx="7">
                  <c:v>82.4770064657587</c:v>
                </c:pt>
                <c:pt idx="8">
                  <c:v>93.3665465950739</c:v>
                </c:pt>
                <c:pt idx="9">
                  <c:v>104.473877526975</c:v>
                </c:pt>
                <c:pt idx="10">
                  <c:v>115.803355077515</c:v>
                </c:pt>
                <c:pt idx="11">
                  <c:v>127.359422179065</c:v>
                </c:pt>
                <c:pt idx="12">
                  <c:v>139.146610622646</c:v>
                </c:pt>
              </c:numCache>
            </c:numRef>
          </c:val>
          <c:smooth val="1"/>
        </c:ser>
        <c:ser>
          <c:idx val="1"/>
          <c:order val="1"/>
          <c:tx>
            <c:strRef>
              <c:f>Machine!C52</c:f>
              <c:strCache>
                <c:ptCount val="1"/>
                <c:pt idx="0">
                  <c:v>If nobody referred</c:v>
                </c:pt>
              </c:strCache>
            </c:strRef>
          </c:tx>
          <c:spPr>
            <a:solidFill>
              <a:srgbClr val="cc8f8e"/>
            </a:solidFill>
            <a:ln w="47520">
              <a:solidFill>
                <a:srgbClr val="cc8f8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Machine!$A$53:$A$65</c:f>
              <c:strCache>
                <c:ptCount val="13"/>
                <c:pt idx="0">
                  <c:v>Now</c:v>
                </c:pt>
                <c:pt idx="1">
                  <c:v>Month 1</c:v>
                </c:pt>
                <c:pt idx="2">
                  <c:v>Month 2</c:v>
                </c:pt>
                <c:pt idx="3">
                  <c:v>Month 3</c:v>
                </c:pt>
                <c:pt idx="4">
                  <c:v>Month 4</c:v>
                </c:pt>
                <c:pt idx="5">
                  <c:v>Month 5</c:v>
                </c:pt>
                <c:pt idx="6">
                  <c:v>Month 6</c:v>
                </c:pt>
                <c:pt idx="7">
                  <c:v>Month 7</c:v>
                </c:pt>
                <c:pt idx="8">
                  <c:v>Month 8</c:v>
                </c:pt>
                <c:pt idx="9">
                  <c:v>Month 9</c:v>
                </c:pt>
                <c:pt idx="10">
                  <c:v>Month 10</c:v>
                </c:pt>
                <c:pt idx="11">
                  <c:v>Month 11</c:v>
                </c:pt>
                <c:pt idx="12">
                  <c:v>Month 12</c:v>
                </c:pt>
              </c:strCache>
            </c:strRef>
          </c:cat>
          <c:val>
            <c:numRef>
              <c:f>Machine!$C$53:$C$65</c:f>
              <c:numCache>
                <c:formatCode>#,##0.0</c:formatCode>
                <c:ptCount val="13"/>
                <c:pt idx="0">
                  <c:v>12</c:v>
                </c:pt>
                <c:pt idx="1">
                  <c:v>20.28</c:v>
                </c:pt>
                <c:pt idx="2">
                  <c:v>27.8976</c:v>
                </c:pt>
                <c:pt idx="3">
                  <c:v>34.905792</c:v>
                </c:pt>
                <c:pt idx="4">
                  <c:v>41.35332864</c:v>
                </c:pt>
                <c:pt idx="5">
                  <c:v>47.2850623488</c:v>
                </c:pt>
                <c:pt idx="6">
                  <c:v>52.742257360896</c:v>
                </c:pt>
                <c:pt idx="7">
                  <c:v>57.7628767720243</c:v>
                </c:pt>
                <c:pt idx="8">
                  <c:v>62.3818466302624</c:v>
                </c:pt>
                <c:pt idx="9">
                  <c:v>66.6312988998414</c:v>
                </c:pt>
                <c:pt idx="10">
                  <c:v>70.5407949878541</c:v>
                </c:pt>
                <c:pt idx="11">
                  <c:v>74.1375313888258</c:v>
                </c:pt>
                <c:pt idx="12">
                  <c:v>77.4465288777197</c:v>
                </c:pt>
              </c:numCache>
            </c:numRef>
          </c:val>
          <c:smooth val="1"/>
        </c:ser>
        <c:hiLowLines>
          <c:spPr>
            <a:ln w="0">
              <a:noFill/>
            </a:ln>
          </c:spPr>
        </c:hiLowLines>
        <c:marker val="0"/>
        <c:axId val="28398494"/>
        <c:axId val="91323633"/>
      </c:lineChart>
      <c:catAx>
        <c:axId val="2839849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323633"/>
        <c:crosses val="autoZero"/>
        <c:auto val="1"/>
        <c:lblAlgn val="ctr"/>
        <c:lblOffset val="100"/>
        <c:noMultiLvlLbl val="0"/>
      </c:catAx>
      <c:valAx>
        <c:axId val="9132363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3984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From reached to customers, a month</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Machine!$A$24:$A$28</c:f>
              <c:strCache>
                <c:ptCount val="5"/>
                <c:pt idx="0">
                  <c:v>Reached a month</c:v>
                </c:pt>
                <c:pt idx="1">
                  <c:v>Engaged leads a month</c:v>
                </c:pt>
                <c:pt idx="2">
                  <c:v>Booked</c:v>
                </c:pt>
                <c:pt idx="3">
                  <c:v>Showed</c:v>
                </c:pt>
                <c:pt idx="4">
                  <c:v>Customers a month</c:v>
                </c:pt>
              </c:strCache>
            </c:strRef>
          </c:cat>
          <c:val>
            <c:numRef>
              <c:f>Machine!$B$24:$B$28</c:f>
              <c:numCache>
                <c:formatCode>#,##0</c:formatCode>
                <c:ptCount val="5"/>
                <c:pt idx="0">
                  <c:v>2200</c:v>
                </c:pt>
                <c:pt idx="1">
                  <c:v>110</c:v>
                </c:pt>
                <c:pt idx="2">
                  <c:v>44</c:v>
                </c:pt>
                <c:pt idx="3">
                  <c:v>30.8</c:v>
                </c:pt>
                <c:pt idx="4">
                  <c:v>9.24</c:v>
                </c:pt>
              </c:numCache>
            </c:numRef>
          </c:val>
        </c:ser>
        <c:gapWidth val="150"/>
        <c:overlap val="0"/>
        <c:axId val="28078886"/>
        <c:axId val="54346104"/>
      </c:barChart>
      <c:catAx>
        <c:axId val="280788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346104"/>
        <c:crosses val="autoZero"/>
        <c:auto val="1"/>
        <c:lblAlgn val="ctr"/>
        <c:lblOffset val="100"/>
        <c:noMultiLvlLbl val="0"/>
      </c:catAx>
      <c:valAx>
        <c:axId val="5434610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0788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Primary actions a day</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 Log'!$A$5:$A$34</c:f>
              <c:strCache>
                <c:ptCount val="30"/>
                <c:pt idx="0">
                  <c:v>2026-09-13</c:v>
                </c:pt>
                <c:pt idx="1">
                  <c:v>2026-09-14</c:v>
                </c:pt>
                <c:pt idx="2">
                  <c:v>2026-09-15</c:v>
                </c:pt>
                <c:pt idx="3">
                  <c:v>2026-09-16</c:v>
                </c:pt>
                <c:pt idx="4">
                  <c:v>2026-09-17</c:v>
                </c:pt>
                <c:pt idx="5">
                  <c:v>2026-09-18</c:v>
                </c:pt>
                <c:pt idx="6">
                  <c:v>2026-09-19</c:v>
                </c:pt>
                <c:pt idx="7">
                  <c:v>2026-09-20</c:v>
                </c:pt>
                <c:pt idx="8">
                  <c:v>2026-09-21</c:v>
                </c:pt>
                <c:pt idx="9">
                  <c:v>2026-09-22</c:v>
                </c:pt>
                <c:pt idx="10">
                  <c:v>2026-09-23</c:v>
                </c:pt>
                <c:pt idx="11">
                  <c:v>2026-09-24</c:v>
                </c:pt>
                <c:pt idx="12">
                  <c:v>2026-09-25</c:v>
                </c:pt>
                <c:pt idx="13">
                  <c:v>2026-09-26</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strCache>
            </c:strRef>
          </c:cat>
          <c:val>
            <c:numRef>
              <c:f>'Daily Log'!$C$5:$C$34</c:f>
              <c:numCache>
                <c:formatCode>#,##0</c:formatCode>
                <c:ptCount val="30"/>
                <c:pt idx="0">
                  <c:v>100</c:v>
                </c:pt>
                <c:pt idx="1">
                  <c:v>110</c:v>
                </c:pt>
                <c:pt idx="2">
                  <c:v>95</c:v>
                </c:pt>
                <c:pt idx="4">
                  <c:v>120</c:v>
                </c:pt>
                <c:pt idx="5">
                  <c:v>100</c:v>
                </c:pt>
                <c:pt idx="6">
                  <c:v>100</c:v>
                </c:pt>
                <c:pt idx="7">
                  <c:v>130</c:v>
                </c:pt>
                <c:pt idx="8">
                  <c:v>60</c:v>
                </c:pt>
                <c:pt idx="9">
                  <c:v>100</c:v>
                </c:pt>
                <c:pt idx="10">
                  <c:v>105</c:v>
                </c:pt>
                <c:pt idx="11">
                  <c:v>100</c:v>
                </c:pt>
                <c:pt idx="12">
                  <c:v>100</c:v>
                </c:pt>
                <c:pt idx="13">
                  <c:v>115</c:v>
                </c:pt>
              </c:numCache>
            </c:numRef>
          </c:val>
        </c:ser>
        <c:gapWidth val="150"/>
        <c:overlap val="0"/>
        <c:axId val="88380621"/>
        <c:axId val="12421556"/>
      </c:barChart>
      <c:catAx>
        <c:axId val="88380621"/>
        <c:scaling>
          <c:orientation val="minMax"/>
        </c:scaling>
        <c:delete val="0"/>
        <c:axPos val="b"/>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421556"/>
        <c:crosses val="autoZero"/>
        <c:auto val="1"/>
        <c:lblAlgn val="ctr"/>
        <c:lblOffset val="100"/>
        <c:noMultiLvlLbl val="0"/>
      </c:catAx>
      <c:valAx>
        <c:axId val="1242155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38062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28</xdr:row>
      <xdr:rowOff>0</xdr:rowOff>
    </xdr:from>
    <xdr:to>
      <xdr:col>10</xdr:col>
      <xdr:colOff>733680</xdr:colOff>
      <xdr:row>42</xdr:row>
      <xdr:rowOff>21960</xdr:rowOff>
    </xdr:to>
    <xdr:graphicFrame>
      <xdr:nvGraphicFramePr>
        <xdr:cNvPr id="0" name="Chart 1"/>
        <xdr:cNvGraphicFramePr/>
      </xdr:nvGraphicFramePr>
      <xdr:xfrm>
        <a:off x="11646000" y="796284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43</xdr:row>
      <xdr:rowOff>268560</xdr:rowOff>
    </xdr:from>
    <xdr:to>
      <xdr:col>15</xdr:col>
      <xdr:colOff>408960</xdr:colOff>
      <xdr:row>55</xdr:row>
      <xdr:rowOff>121320</xdr:rowOff>
    </xdr:to>
    <xdr:graphicFrame>
      <xdr:nvGraphicFramePr>
        <xdr:cNvPr id="1" name="Chart 1"/>
        <xdr:cNvGraphicFramePr/>
      </xdr:nvGraphicFramePr>
      <xdr:xfrm>
        <a:off x="16405200" y="100393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58</xdr:row>
      <xdr:rowOff>78120</xdr:rowOff>
    </xdr:from>
    <xdr:to>
      <xdr:col>15</xdr:col>
      <xdr:colOff>408960</xdr:colOff>
      <xdr:row>73</xdr:row>
      <xdr:rowOff>100440</xdr:rowOff>
    </xdr:to>
    <xdr:graphicFrame>
      <xdr:nvGraphicFramePr>
        <xdr:cNvPr id="2" name="Chart 2"/>
        <xdr:cNvGraphicFramePr/>
      </xdr:nvGraphicFramePr>
      <xdr:xfrm>
        <a:off x="16405200" y="1308744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23</xdr:row>
      <xdr:rowOff>0</xdr:rowOff>
    </xdr:from>
    <xdr:to>
      <xdr:col>15</xdr:col>
      <xdr:colOff>408960</xdr:colOff>
      <xdr:row>35</xdr:row>
      <xdr:rowOff>43200</xdr:rowOff>
    </xdr:to>
    <xdr:graphicFrame>
      <xdr:nvGraphicFramePr>
        <xdr:cNvPr id="3" name="Chart 3"/>
        <xdr:cNvGraphicFramePr/>
      </xdr:nvGraphicFramePr>
      <xdr:xfrm>
        <a:off x="16405200" y="5276880"/>
        <a:ext cx="647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9</xdr:row>
      <xdr:rowOff>97200</xdr:rowOff>
    </xdr:from>
    <xdr:to>
      <xdr:col>6</xdr:col>
      <xdr:colOff>2043360</xdr:colOff>
      <xdr:row>24</xdr:row>
      <xdr:rowOff>119520</xdr:rowOff>
    </xdr:to>
    <xdr:graphicFrame>
      <xdr:nvGraphicFramePr>
        <xdr:cNvPr id="4" name="Chart 1"/>
        <xdr:cNvGraphicFramePr/>
      </xdr:nvGraphicFramePr>
      <xdr:xfrm>
        <a:off x="4356000" y="261000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Leads-Ladder.xlsx" TargetMode="External"/><Relationship Id="rId3" Type="http://schemas.openxmlformats.org/officeDocument/2006/relationships/hyperlink" Target="Leads-Ladder.xlsx" TargetMode="External"/><Relationship Id="rId4" Type="http://schemas.openxmlformats.org/officeDocument/2006/relationships/hyperlink" Target="Leads-Ladder.xlsx" TargetMode="External"/><Relationship Id="rId5" Type="http://schemas.openxmlformats.org/officeDocument/2006/relationships/hyperlink" Target="Leads-Ladder.xlsx" TargetMode="External"/><Relationship Id="rId6" Type="http://schemas.openxmlformats.org/officeDocument/2006/relationships/hyperlink" Target="Leads-Ladder.xlsx" TargetMode="External"/><Relationship Id="rId7" Type="http://schemas.openxmlformats.org/officeDocument/2006/relationships/hyperlink" Target="Leads-Ladder.xlsx" TargetMode="External"/><Relationship Id="rId8" Type="http://schemas.openxmlformats.org/officeDocument/2006/relationships/hyperlink" Target="Leads-Ladder.xlsx" TargetMode="External"/><Relationship Id="rId9" Type="http://schemas.openxmlformats.org/officeDocument/2006/relationships/hyperlink" Target="Leads-Ladder.xlsx" TargetMode="External"/><Relationship Id="rId10" Type="http://schemas.openxmlformats.org/officeDocument/2006/relationships/hyperlink" Target="Leads-Ladder.xlsx" TargetMode="External"/><Relationship Id="rId11" Type="http://schemas.openxmlformats.org/officeDocument/2006/relationships/hyperlink" Target="Leads-Ladder.xlsx" TargetMode="External"/><Relationship Id="rId12" Type="http://schemas.openxmlformats.org/officeDocument/2006/relationships/hyperlink" Target="Leads-Ladder.xlsx" TargetMode="External"/><Relationship Id="rId13" Type="http://schemas.openxmlformats.org/officeDocument/2006/relationships/hyperlink" Target="Leads-Ladder.xlsx" TargetMode="External"/><Relationship Id="rId14" Type="http://schemas.openxmlformats.org/officeDocument/2006/relationships/hyperlink" Target="Leads-Ladder.xlsx" TargetMode="External"/><Relationship Id="rId15" Type="http://schemas.openxmlformats.org/officeDocument/2006/relationships/hyperlink" Target="Leads-Ladder.xlsx" TargetMode="External"/><Relationship Id="rId16" Type="http://schemas.openxmlformats.org/officeDocument/2006/relationships/hyperlink" Target="Leads-Ladder.xlsx" TargetMode="External"/><Relationship Id="rId17" Type="http://schemas.openxmlformats.org/officeDocument/2006/relationships/hyperlink" Target="Leads-Ladder.xlsx" TargetMode="External"/><Relationship Id="rId18" Type="http://schemas.openxmlformats.org/officeDocument/2006/relationships/hyperlink" Target="Leads-Ladder.xlsx" TargetMode="External"/><Relationship Id="rId19" Type="http://schemas.openxmlformats.org/officeDocument/2006/relationships/hyperlink" Target="Leads-Ladder.xlsx" TargetMode="External"/><Relationship Id="rId20" Type="http://schemas.openxmlformats.org/officeDocument/2006/relationships/hyperlink" Target="Leads-Ladder.xlsx" TargetMode="External"/><Relationship Id="rId21" Type="http://schemas.openxmlformats.org/officeDocument/2006/relationships/hyperlink" Target="Leads-Ladder.xlsx" TargetMode="External"/><Relationship Id="rId22" Type="http://schemas.openxmlformats.org/officeDocument/2006/relationships/hyperlink" Target="Leads-Ladder.xlsx" TargetMode="External"/><Relationship Id="rId23" Type="http://schemas.openxmlformats.org/officeDocument/2006/relationships/hyperlink" Target="Leads-Ladder.xlsx" TargetMode="External"/><Relationship Id="rId24" Type="http://schemas.openxmlformats.org/officeDocument/2006/relationships/hyperlink" Target="Leads-Ladder.xlsx" TargetMode="External"/><Relationship Id="rId25" Type="http://schemas.openxmlformats.org/officeDocument/2006/relationships/drawing" Target="../drawings/drawing1.xml"/><Relationship Id="rId26"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40"/>
    <col collapsed="false" customWidth="true" hidden="false" outlineLevel="0" max="3" min="3" style="0" width="3"/>
    <col collapsed="false" customWidth="true" hidden="false" outlineLevel="0" max="4" min="4" style="0" width="30"/>
    <col collapsed="false" customWidth="true" hidden="false" outlineLevel="0" max="9" min="5" style="0" width="12"/>
  </cols>
  <sheetData>
    <row r="1" customFormat="false" ht="25.5" hidden="false" customHeight="true" outlineLevel="0" collapsed="false">
      <c r="A1" s="1" t="s">
        <v>0</v>
      </c>
      <c r="B1" s="1"/>
      <c r="C1" s="1"/>
      <c r="D1" s="1"/>
      <c r="E1" s="1"/>
      <c r="F1" s="1"/>
      <c r="G1" s="1"/>
      <c r="H1" s="1"/>
      <c r="I1" s="1"/>
    </row>
    <row r="2" customFormat="false" ht="30" hidden="false" customHeight="true" outlineLevel="0" collapsed="false">
      <c r="A2" s="2" t="s">
        <v>1</v>
      </c>
      <c r="B2" s="2"/>
      <c r="C2" s="2"/>
      <c r="D2" s="2"/>
      <c r="E2" s="2"/>
      <c r="F2" s="2"/>
      <c r="G2" s="2"/>
      <c r="H2" s="2"/>
      <c r="I2" s="2"/>
    </row>
    <row r="3" customFormat="false" ht="30" hidden="false" customHeight="true" outlineLevel="0" collapsed="false">
      <c r="A3" s="3" t="s">
        <v>2</v>
      </c>
      <c r="B3" s="3"/>
      <c r="C3" s="3"/>
      <c r="D3" s="3"/>
      <c r="E3" s="3"/>
      <c r="F3" s="3"/>
      <c r="G3" s="3"/>
      <c r="H3" s="3"/>
      <c r="I3" s="3"/>
    </row>
    <row r="5" customFormat="false" ht="30" hidden="false" customHeight="true" outlineLevel="0" collapsed="false">
      <c r="A5" s="4" t="s">
        <v>3</v>
      </c>
      <c r="B5" s="4" t="s">
        <v>4</v>
      </c>
      <c r="C5" s="4"/>
      <c r="D5" s="4" t="s">
        <v>5</v>
      </c>
      <c r="E5" s="4"/>
      <c r="F5" s="4"/>
      <c r="G5" s="4"/>
      <c r="H5" s="4"/>
      <c r="I5" s="4"/>
    </row>
    <row r="6" customFormat="false" ht="15" hidden="false" customHeight="false" outlineLevel="0" collapsed="false">
      <c r="A6" s="5" t="s">
        <v>6</v>
      </c>
    </row>
    <row r="7" customFormat="false" ht="30" hidden="false" customHeight="true" outlineLevel="0" collapsed="false">
      <c r="A7" s="6" t="s">
        <v>7</v>
      </c>
      <c r="B7" s="7" t="s">
        <v>8</v>
      </c>
      <c r="D7" s="8" t="s">
        <v>9</v>
      </c>
      <c r="E7" s="8"/>
      <c r="F7" s="8"/>
      <c r="G7" s="8"/>
      <c r="H7" s="8"/>
      <c r="I7" s="8"/>
    </row>
    <row r="8" customFormat="false" ht="30" hidden="false" customHeight="true" outlineLevel="0" collapsed="false">
      <c r="A8" s="6" t="s">
        <v>10</v>
      </c>
      <c r="B8" s="7" t="s">
        <v>11</v>
      </c>
      <c r="D8" s="8" t="s">
        <v>12</v>
      </c>
      <c r="E8" s="8"/>
      <c r="F8" s="8"/>
      <c r="G8" s="8"/>
      <c r="H8" s="8"/>
      <c r="I8" s="8"/>
    </row>
    <row r="9" customFormat="false" ht="30" hidden="false" customHeight="true" outlineLevel="0" collapsed="false">
      <c r="A9" s="6" t="s">
        <v>13</v>
      </c>
      <c r="B9" s="7" t="s">
        <v>14</v>
      </c>
      <c r="D9" s="8" t="s">
        <v>15</v>
      </c>
      <c r="E9" s="8"/>
      <c r="F9" s="8"/>
      <c r="G9" s="8"/>
      <c r="H9" s="8"/>
      <c r="I9" s="8"/>
    </row>
    <row r="10" customFormat="false" ht="30" hidden="false" customHeight="true" outlineLevel="0" collapsed="false">
      <c r="A10" s="6" t="s">
        <v>16</v>
      </c>
      <c r="B10" s="7" t="s">
        <v>17</v>
      </c>
      <c r="D10" s="8" t="s">
        <v>15</v>
      </c>
      <c r="E10" s="8"/>
      <c r="F10" s="8"/>
      <c r="G10" s="8"/>
      <c r="H10" s="8"/>
      <c r="I10" s="8"/>
    </row>
    <row r="11" customFormat="false" ht="30" hidden="false" customHeight="true" outlineLevel="0" collapsed="false">
      <c r="A11" s="6" t="s">
        <v>18</v>
      </c>
      <c r="B11" s="7" t="s">
        <v>19</v>
      </c>
      <c r="D11" s="8" t="s">
        <v>15</v>
      </c>
      <c r="E11" s="8"/>
      <c r="F11" s="8"/>
      <c r="G11" s="8"/>
      <c r="H11" s="8"/>
      <c r="I11" s="8"/>
    </row>
    <row r="12" customFormat="false" ht="30" hidden="false" customHeight="true" outlineLevel="0" collapsed="false">
      <c r="A12" s="6" t="s">
        <v>20</v>
      </c>
      <c r="B12" s="9" t="n">
        <v>20</v>
      </c>
      <c r="D12" s="8" t="s">
        <v>21</v>
      </c>
      <c r="E12" s="8"/>
      <c r="F12" s="8"/>
      <c r="G12" s="8"/>
      <c r="H12" s="8"/>
      <c r="I12" s="8"/>
    </row>
    <row r="13" customFormat="false" ht="30" hidden="false" customHeight="true" outlineLevel="0" collapsed="false">
      <c r="A13" s="6" t="s">
        <v>22</v>
      </c>
      <c r="B13" s="7" t="s">
        <v>23</v>
      </c>
      <c r="D13" s="8" t="s">
        <v>24</v>
      </c>
      <c r="E13" s="8"/>
      <c r="F13" s="8"/>
      <c r="G13" s="8"/>
      <c r="H13" s="8"/>
      <c r="I13" s="8"/>
    </row>
    <row r="14" customFormat="false" ht="31.5" hidden="false" customHeight="true" outlineLevel="0" collapsed="false">
      <c r="A14" s="10" t="s">
        <v>25</v>
      </c>
      <c r="B14" s="10"/>
      <c r="C14" s="10"/>
      <c r="D14" s="10"/>
      <c r="E14" s="10"/>
      <c r="F14" s="10"/>
      <c r="G14" s="10"/>
      <c r="H14" s="10"/>
      <c r="I14" s="10"/>
    </row>
    <row r="16" customFormat="false" ht="30" hidden="false" customHeight="true" outlineLevel="0" collapsed="false">
      <c r="A16" s="4" t="s">
        <v>26</v>
      </c>
      <c r="B16" s="4" t="s">
        <v>27</v>
      </c>
      <c r="C16" s="4"/>
      <c r="D16" s="4" t="s">
        <v>28</v>
      </c>
      <c r="E16" s="4" t="s">
        <v>29</v>
      </c>
      <c r="F16" s="4" t="s">
        <v>30</v>
      </c>
      <c r="G16" s="4" t="s">
        <v>31</v>
      </c>
      <c r="H16" s="4" t="s">
        <v>32</v>
      </c>
      <c r="I16" s="4" t="s">
        <v>33</v>
      </c>
    </row>
    <row r="17" customFormat="false" ht="15" hidden="false" customHeight="false" outlineLevel="0" collapsed="false">
      <c r="A17" s="11" t="s">
        <v>34</v>
      </c>
      <c r="B17" s="12" t="s">
        <v>35</v>
      </c>
      <c r="D17" s="13" t="str">
        <f aca="false">IF(TRUE(),"yes","not yet")</f>
        <v>yes</v>
      </c>
      <c r="E17" s="13" t="str">
        <f aca="false">COUNTIFS(Magnet!$E$1:$E$600,1,Magnet!$H$1:$H$600,"Done")&amp;" of "&amp;COUNTIF(Magnet!$E$1:$E$600,1)</f>
        <v>0 of 2</v>
      </c>
      <c r="F17" s="13" t="str">
        <f aca="false">COUNTIFS(Magnet!$E$1:$E$600,2,Magnet!$H$1:$H$600,"Done")&amp;" of "&amp;COUNTIF(Magnet!$E$1:$E$600,2)</f>
        <v>0 of 2</v>
      </c>
      <c r="G17" s="13" t="str">
        <f aca="false">COUNTIFS(Magnet!$E$1:$E$600,3,Magnet!$H$1:$H$600,"Done")&amp;" of "&amp;COUNTIF(Magnet!$E$1:$E$600,3)</f>
        <v>0 of 3</v>
      </c>
      <c r="H17" s="13" t="str">
        <f aca="false">COUNTIFS(Magnet!$E$1:$E$600,4,Magnet!$H$1:$H$600,"Done")&amp;" of "&amp;COUNTIF(Magnet!$E$1:$E$600,4)</f>
        <v>0 of 1</v>
      </c>
      <c r="I17" s="13" t="str">
        <f aca="false">COUNTIFS(Magnet!$E$1:$E$600,5,Magnet!$H$1:$H$600,"Done")&amp;" of "&amp;COUNTIF(Magnet!$E$1:$E$600,5)</f>
        <v>0 of 1</v>
      </c>
    </row>
    <row r="18" customFormat="false" ht="15" hidden="false" customHeight="false" outlineLevel="0" collapsed="false">
      <c r="A18" s="11" t="s">
        <v>36</v>
      </c>
      <c r="B18" s="12" t="s">
        <v>37</v>
      </c>
      <c r="D18" s="13" t="str">
        <f aca="false">IF(TRUE(),"yes","not yet")</f>
        <v>yes</v>
      </c>
      <c r="E18" s="13" t="str">
        <f aca="false">COUNTIFS(Warm!$E$1:$E$600,1,Warm!$H$1:$H$600,"Done")&amp;" of "&amp;COUNTIF(Warm!$E$1:$E$600,1)</f>
        <v>0 of 2</v>
      </c>
      <c r="F18" s="13" t="str">
        <f aca="false">COUNTIFS(Warm!$E$1:$E$600,2,Warm!$H$1:$H$600,"Done")&amp;" of "&amp;COUNTIF(Warm!$E$1:$E$600,2)</f>
        <v>0 of 3</v>
      </c>
      <c r="G18" s="13" t="str">
        <f aca="false">COUNTIFS(Warm!$E$1:$E$600,3,Warm!$H$1:$H$600,"Done")&amp;" of "&amp;COUNTIF(Warm!$E$1:$E$600,3)</f>
        <v>0 of 3</v>
      </c>
      <c r="H18" s="13" t="str">
        <f aca="false">COUNTIFS(Warm!$E$1:$E$600,4,Warm!$H$1:$H$600,"Done")&amp;" of "&amp;COUNTIF(Warm!$E$1:$E$600,4)</f>
        <v>0 of 1</v>
      </c>
      <c r="I18" s="13" t="str">
        <f aca="false">COUNTIFS(Warm!$E$1:$E$600,5,Warm!$H$1:$H$600,"Done")&amp;" of "&amp;COUNTIF(Warm!$E$1:$E$600,5)</f>
        <v>0 of 1</v>
      </c>
    </row>
    <row r="19" customFormat="false" ht="15" hidden="false" customHeight="false" outlineLevel="0" collapsed="false">
      <c r="A19" s="11" t="s">
        <v>38</v>
      </c>
      <c r="B19" s="12" t="s">
        <v>39</v>
      </c>
      <c r="D19" s="13" t="str">
        <f aca="false">IF(TRUE(),"yes","not yet")</f>
        <v>yes</v>
      </c>
      <c r="E19" s="13" t="str">
        <f aca="false">COUNTIFS(Content!$E$1:$E$600,1,Content!$H$1:$H$600,"Done")&amp;" of "&amp;COUNTIF(Content!$E$1:$E$600,1)</f>
        <v>0 of 2</v>
      </c>
      <c r="F19" s="13" t="str">
        <f aca="false">COUNTIFS(Content!$E$1:$E$600,2,Content!$H$1:$H$600,"Done")&amp;" of "&amp;COUNTIF(Content!$E$1:$E$600,2)</f>
        <v>0 of 3</v>
      </c>
      <c r="G19" s="13" t="str">
        <f aca="false">COUNTIFS(Content!$E$1:$E$600,3,Content!$H$1:$H$600,"Done")&amp;" of "&amp;COUNTIF(Content!$E$1:$E$600,3)</f>
        <v>0 of 2</v>
      </c>
      <c r="H19" s="13" t="str">
        <f aca="false">COUNTIFS(Content!$E$1:$E$600,4,Content!$H$1:$H$600,"Done")&amp;" of "&amp;COUNTIF(Content!$E$1:$E$600,4)</f>
        <v>0 of 1</v>
      </c>
      <c r="I19" s="13" t="str">
        <f aca="false">COUNTIFS(Content!$E$1:$E$600,5,Content!$H$1:$H$600,"Done")&amp;" of "&amp;COUNTIF(Content!$E$1:$E$600,5)</f>
        <v>0 of 1</v>
      </c>
    </row>
    <row r="20" customFormat="false" ht="15" hidden="false" customHeight="false" outlineLevel="0" collapsed="false">
      <c r="A20" s="11" t="s">
        <v>40</v>
      </c>
      <c r="B20" s="12" t="s">
        <v>41</v>
      </c>
      <c r="D20" s="13" t="str">
        <f aca="false">IF(TRUE(),"yes","not yet")</f>
        <v>yes</v>
      </c>
      <c r="E20" s="13" t="str">
        <f aca="false">COUNTIFS(Cold!$E$1:$E$600,1,Cold!$H$1:$H$600,"Done")&amp;" of "&amp;COUNTIF(Cold!$E$1:$E$600,1)</f>
        <v>0 of 1</v>
      </c>
      <c r="F20" s="13" t="str">
        <f aca="false">COUNTIFS(Cold!$E$1:$E$600,2,Cold!$H$1:$H$600,"Done")&amp;" of "&amp;COUNTIF(Cold!$E$1:$E$600,2)</f>
        <v>0 of 3</v>
      </c>
      <c r="G20" s="13" t="str">
        <f aca="false">COUNTIFS(Cold!$E$1:$E$600,3,Cold!$H$1:$H$600,"Done")&amp;" of "&amp;COUNTIF(Cold!$E$1:$E$600,3)</f>
        <v>0 of 2</v>
      </c>
      <c r="H20" s="13" t="str">
        <f aca="false">COUNTIFS(Cold!$E$1:$E$600,4,Cold!$H$1:$H$600,"Done")&amp;" of "&amp;COUNTIF(Cold!$E$1:$E$600,4)</f>
        <v>0 of 1</v>
      </c>
      <c r="I20" s="13" t="str">
        <f aca="false">COUNTIFS(Cold!$E$1:$E$600,5,Cold!$H$1:$H$600,"Done")&amp;" of "&amp;COUNTIF(Cold!$E$1:$E$600,5)</f>
        <v>0 of 1</v>
      </c>
    </row>
    <row r="21" customFormat="false" ht="15" hidden="false" customHeight="false" outlineLevel="0" collapsed="false">
      <c r="A21" s="11" t="s">
        <v>42</v>
      </c>
      <c r="B21" s="12" t="s">
        <v>43</v>
      </c>
      <c r="D21" s="13" t="str">
        <f aca="false">IF($B$10="Some; and I could afford to lose it while I learn","yes","not yet")</f>
        <v>yes</v>
      </c>
      <c r="E21" s="13" t="str">
        <f aca="false">COUNTIFS(Ads!$E$1:$E$600,1,Ads!$H$1:$H$600,"Done")&amp;" of "&amp;COUNTIF(Ads!$E$1:$E$600,1)</f>
        <v>0 of 2</v>
      </c>
      <c r="F21" s="13" t="str">
        <f aca="false">COUNTIFS(Ads!$E$1:$E$600,2,Ads!$H$1:$H$600,"Done")&amp;" of "&amp;COUNTIF(Ads!$E$1:$E$600,2)</f>
        <v>0 of 2</v>
      </c>
      <c r="G21" s="13" t="str">
        <f aca="false">COUNTIFS(Ads!$E$1:$E$600,3,Ads!$H$1:$H$600,"Done")&amp;" of "&amp;COUNTIF(Ads!$E$1:$E$600,3)</f>
        <v>0 of 2</v>
      </c>
      <c r="H21" s="13" t="str">
        <f aca="false">COUNTIFS(Ads!$E$1:$E$600,4,Ads!$H$1:$H$600,"Done")&amp;" of "&amp;COUNTIF(Ads!$E$1:$E$600,4)</f>
        <v>2 of 2</v>
      </c>
      <c r="I21" s="13" t="str">
        <f aca="false">COUNTIFS(Ads!$E$1:$E$600,5,Ads!$H$1:$H$600,"Done")&amp;" of "&amp;COUNTIF(Ads!$E$1:$E$600,5)</f>
        <v>0 of 1</v>
      </c>
    </row>
    <row r="22" customFormat="false" ht="15" hidden="false" customHeight="false" outlineLevel="0" collapsed="false">
      <c r="A22" s="11" t="s">
        <v>44</v>
      </c>
      <c r="B22" s="12" t="s">
        <v>44</v>
      </c>
      <c r="D22" s="13" t="str">
        <f aca="false">IF(OR($B$9="One to ten",$B$9="More than ten"),"yes","not yet")</f>
        <v>yes</v>
      </c>
      <c r="E22" s="13" t="str">
        <f aca="false">COUNTIFS(Referrals!$E$1:$E$600,1,Referrals!$H$1:$H$600,"Done")&amp;" of "&amp;COUNTIF(Referrals!$E$1:$E$600,1)</f>
        <v>0 of 1</v>
      </c>
      <c r="F22" s="13" t="str">
        <f aca="false">COUNTIFS(Referrals!$E$1:$E$600,2,Referrals!$H$1:$H$600,"Done")&amp;" of "&amp;COUNTIF(Referrals!$E$1:$E$600,2)</f>
        <v>0 of 2</v>
      </c>
      <c r="G22" s="13" t="str">
        <f aca="false">COUNTIFS(Referrals!$E$1:$E$600,3,Referrals!$H$1:$H$600,"Done")&amp;" of "&amp;COUNTIF(Referrals!$E$1:$E$600,3)</f>
        <v>0 of 1</v>
      </c>
      <c r="H22" s="13" t="str">
        <f aca="false">COUNTIFS(Referrals!$E$1:$E$600,4,Referrals!$H$1:$H$600,"Done")&amp;" of "&amp;COUNTIF(Referrals!$E$1:$E$600,4)</f>
        <v>1 of 1</v>
      </c>
      <c r="I22" s="13" t="str">
        <f aca="false">COUNTIFS(Referrals!$E$1:$E$600,5,Referrals!$H$1:$H$600,"Done")&amp;" of "&amp;COUNTIF(Referrals!$E$1:$E$600,5)</f>
        <v>0 of 1</v>
      </c>
    </row>
    <row r="23" customFormat="false" ht="15" hidden="false" customHeight="false" outlineLevel="0" collapsed="false">
      <c r="A23" s="11" t="s">
        <v>45</v>
      </c>
      <c r="B23" s="12" t="s">
        <v>45</v>
      </c>
      <c r="D23" s="13" t="str">
        <f aca="false">IF(OR($B$11="A team",$B$11="Me; and I am hiring"),"yes","not yet")</f>
        <v>not yet</v>
      </c>
      <c r="E23" s="13" t="str">
        <f aca="false">COUNTIFS(Employees!$E$1:$E$600,1,Employees!$H$1:$H$600,"Done")&amp;" of "&amp;COUNTIF(Employees!$E$1:$E$600,1)</f>
        <v>0 of 1</v>
      </c>
      <c r="F23" s="13" t="str">
        <f aca="false">COUNTIFS(Employees!$E$1:$E$600,2,Employees!$H$1:$H$600,"Done")&amp;" of "&amp;COUNTIF(Employees!$E$1:$E$600,2)</f>
        <v>0 of 1</v>
      </c>
      <c r="G23" s="13" t="str">
        <f aca="false">COUNTIFS(Employees!$E$1:$E$600,3,Employees!$H$1:$H$600,"Done")&amp;" of "&amp;COUNTIF(Employees!$E$1:$E$600,3)</f>
        <v>0 of 1</v>
      </c>
      <c r="H23" s="13" t="str">
        <f aca="false">COUNTIFS(Employees!$E$1:$E$600,4,Employees!$H$1:$H$600,"Done")&amp;" of "&amp;COUNTIF(Employees!$E$1:$E$600,4)</f>
        <v>0 of 1</v>
      </c>
      <c r="I23" s="13" t="str">
        <f aca="false">COUNTIFS(Employees!$E$1:$E$600,5,Employees!$H$1:$H$600,"Done")&amp;" of "&amp;COUNTIF(Employees!$E$1:$E$600,5)</f>
        <v>0 of 1</v>
      </c>
    </row>
    <row r="24" customFormat="false" ht="15" hidden="false" customHeight="false" outlineLevel="0" collapsed="false">
      <c r="A24" s="11" t="s">
        <v>46</v>
      </c>
      <c r="B24" s="12" t="s">
        <v>46</v>
      </c>
      <c r="D24" s="13" t="str">
        <f aca="false">IF($B$10="Some; and I could afford to lose it while I learn","yes","not yet")</f>
        <v>yes</v>
      </c>
      <c r="E24" s="13" t="str">
        <f aca="false">COUNTIFS(Agencies!$E$1:$E$600,1,Agencies!$H$1:$H$600,"Done")&amp;" of "&amp;COUNTIF(Agencies!$E$1:$E$600,1)</f>
        <v>0 of 1</v>
      </c>
      <c r="F24" s="13" t="str">
        <f aca="false">COUNTIFS(Agencies!$E$1:$E$600,2,Agencies!$H$1:$H$600,"Done")&amp;" of "&amp;COUNTIF(Agencies!$E$1:$E$600,2)</f>
        <v>0 of 1</v>
      </c>
      <c r="G24" s="13" t="str">
        <f aca="false">COUNTIFS(Agencies!$E$1:$E$600,3,Agencies!$H$1:$H$600,"Done")&amp;" of "&amp;COUNTIF(Agencies!$E$1:$E$600,3)</f>
        <v>0 of 1</v>
      </c>
      <c r="H24" s="13" t="str">
        <f aca="false">COUNTIFS(Agencies!$E$1:$E$600,4,Agencies!$H$1:$H$600,"Done")&amp;" of "&amp;COUNTIF(Agencies!$E$1:$E$600,4)</f>
        <v>0 of 1</v>
      </c>
      <c r="I24" s="13" t="str">
        <f aca="false">COUNTIFS(Agencies!$E$1:$E$600,5,Agencies!$H$1:$H$600,"Done")&amp;" of "&amp;COUNTIF(Agencies!$E$1:$E$600,5)</f>
        <v>0 of 1</v>
      </c>
    </row>
    <row r="25" customFormat="false" ht="15" hidden="false" customHeight="false" outlineLevel="0" collapsed="false">
      <c r="A25" s="11" t="s">
        <v>47</v>
      </c>
      <c r="B25" s="12" t="s">
        <v>47</v>
      </c>
      <c r="D25" s="13" t="str">
        <f aca="false">IF(OR($B$9="One to ten",$B$9="More than ten"),"yes","not yet")</f>
        <v>yes</v>
      </c>
      <c r="E25" s="13" t="str">
        <f aca="false">COUNTIFS(Affiliates!$E$1:$E$600,1,Affiliates!$H$1:$H$600,"Done")&amp;" of "&amp;COUNTIF(Affiliates!$E$1:$E$600,1)</f>
        <v>0 of 1</v>
      </c>
      <c r="F25" s="13" t="str">
        <f aca="false">COUNTIFS(Affiliates!$E$1:$E$600,2,Affiliates!$H$1:$H$600,"Done")&amp;" of "&amp;COUNTIF(Affiliates!$E$1:$E$600,2)</f>
        <v>0 of 2</v>
      </c>
      <c r="G25" s="13" t="str">
        <f aca="false">COUNTIFS(Affiliates!$E$1:$E$600,3,Affiliates!$H$1:$H$600,"Done")&amp;" of "&amp;COUNTIF(Affiliates!$E$1:$E$600,3)</f>
        <v>0 of 1</v>
      </c>
      <c r="H25" s="13" t="str">
        <f aca="false">COUNTIFS(Affiliates!$E$1:$E$600,4,Affiliates!$H$1:$H$600,"Done")&amp;" of "&amp;COUNTIF(Affiliates!$E$1:$E$600,4)</f>
        <v>0 of 1</v>
      </c>
      <c r="I25" s="13" t="str">
        <f aca="false">COUNTIFS(Affiliates!$E$1:$E$600,5,Affiliates!$H$1:$H$600,"Done")&amp;" of "&amp;COUNTIF(Affiliates!$E$1:$E$600,5)</f>
        <v>0 of 1</v>
      </c>
    </row>
    <row r="26" customFormat="false" ht="15" hidden="false" customHeight="false" outlineLevel="0" collapsed="false">
      <c r="A26" s="14" t="s">
        <v>48</v>
      </c>
      <c r="E26" s="15" t="str">
        <f aca="false">IF(SUM((TRUE())*(COUNTIFS(Magnet!$E$1:$E$600,1,Magnet!$H$1:$H$600,"Done")&lt;COUNTIF(Magnet!$E$1:$E$600,1)),(TRUE())*(COUNTIFS(Warm!$E$1:$E$600,1,Warm!$H$1:$H$600,"Done")&lt;COUNTIF(Warm!$E$1:$E$600,1)),(TRUE())*(COUNTIFS(Content!$E$1:$E$600,1,Content!$H$1:$H$600,"Done")&lt;COUNTIF(Content!$E$1:$E$600,1)),(TRUE())*(COUNTIFS(Cold!$E$1:$E$600,1,Cold!$H$1:$H$600,"Done")&lt;COUNTIF(Cold!$E$1:$E$600,1)),($B$10="Some; and I could afford to lose it while I learn")*(COUNTIFS(Ads!$E$1:$E$600,1,Ads!$H$1:$H$600,"Done")&lt;COUNTIF(Ads!$E$1:$E$600,1)),(OR($B$9="One to ten",$B$9="More than ten"))*(COUNTIFS(Referrals!$E$1:$E$600,1,Referrals!$H$1:$H$600,"Done")&lt;COUNTIF(Referrals!$E$1:$E$600,1)),(OR($B$11="A team",$B$11="Me; and I am hiring"))*(COUNTIFS(Employees!$E$1:$E$600,1,Employees!$H$1:$H$600,"Done")&lt;COUNTIF(Employees!$E$1:$E$600,1)),($B$10="Some; and I could afford to lose it while I learn")*(COUNTIFS(Agencies!$E$1:$E$600,1,Agencies!$H$1:$H$600,"Done")&lt;COUNTIF(Agencies!$E$1:$E$600,1)),(OR($B$9="One to ten",$B$9="More than ten"))*(COUNTIFS(Affiliates!$E$1:$E$600,1,Affiliates!$H$1:$H$600,"Done")&lt;COUNTIF(Affiliates!$E$1:$E$600,1)))=0,"cleared","open")</f>
        <v>open</v>
      </c>
      <c r="F26" s="15" t="str">
        <f aca="false">IF(SUM((TRUE())*(COUNTIFS(Magnet!$E$1:$E$600,2,Magnet!$H$1:$H$600,"Done")&lt;COUNTIF(Magnet!$E$1:$E$600,2)),(TRUE())*(COUNTIFS(Warm!$E$1:$E$600,2,Warm!$H$1:$H$600,"Done")&lt;COUNTIF(Warm!$E$1:$E$600,2)),(TRUE())*(COUNTIFS(Content!$E$1:$E$600,2,Content!$H$1:$H$600,"Done")&lt;COUNTIF(Content!$E$1:$E$600,2)),(TRUE())*(COUNTIFS(Cold!$E$1:$E$600,2,Cold!$H$1:$H$600,"Done")&lt;COUNTIF(Cold!$E$1:$E$600,2)),($B$10="Some; and I could afford to lose it while I learn")*(COUNTIFS(Ads!$E$1:$E$600,2,Ads!$H$1:$H$600,"Done")&lt;COUNTIF(Ads!$E$1:$E$600,2)),(OR($B$9="One to ten",$B$9="More than ten"))*(COUNTIFS(Referrals!$E$1:$E$600,2,Referrals!$H$1:$H$600,"Done")&lt;COUNTIF(Referrals!$E$1:$E$600,2)),(OR($B$11="A team",$B$11="Me; and I am hiring"))*(COUNTIFS(Employees!$E$1:$E$600,2,Employees!$H$1:$H$600,"Done")&lt;COUNTIF(Employees!$E$1:$E$600,2)),($B$10="Some; and I could afford to lose it while I learn")*(COUNTIFS(Agencies!$E$1:$E$600,2,Agencies!$H$1:$H$600,"Done")&lt;COUNTIF(Agencies!$E$1:$E$600,2)),(OR($B$9="One to ten",$B$9="More than ten"))*(COUNTIFS(Affiliates!$E$1:$E$600,2,Affiliates!$H$1:$H$600,"Done")&lt;COUNTIF(Affiliates!$E$1:$E$600,2)))=0,"cleared","open")</f>
        <v>open</v>
      </c>
      <c r="G26" s="15" t="str">
        <f aca="false">IF(SUM((TRUE())*(COUNTIFS(Magnet!$E$1:$E$600,3,Magnet!$H$1:$H$600,"Done")&lt;COUNTIF(Magnet!$E$1:$E$600,3)),(TRUE())*(COUNTIFS(Warm!$E$1:$E$600,3,Warm!$H$1:$H$600,"Done")&lt;COUNTIF(Warm!$E$1:$E$600,3)),(TRUE())*(COUNTIFS(Content!$E$1:$E$600,3,Content!$H$1:$H$600,"Done")&lt;COUNTIF(Content!$E$1:$E$600,3)),(TRUE())*(COUNTIFS(Cold!$E$1:$E$600,3,Cold!$H$1:$H$600,"Done")&lt;COUNTIF(Cold!$E$1:$E$600,3)),($B$10="Some; and I could afford to lose it while I learn")*(COUNTIFS(Ads!$E$1:$E$600,3,Ads!$H$1:$H$600,"Done")&lt;COUNTIF(Ads!$E$1:$E$600,3)),(OR($B$9="One to ten",$B$9="More than ten"))*(COUNTIFS(Referrals!$E$1:$E$600,3,Referrals!$H$1:$H$600,"Done")&lt;COUNTIF(Referrals!$E$1:$E$600,3)),(OR($B$11="A team",$B$11="Me; and I am hiring"))*(COUNTIFS(Employees!$E$1:$E$600,3,Employees!$H$1:$H$600,"Done")&lt;COUNTIF(Employees!$E$1:$E$600,3)),($B$10="Some; and I could afford to lose it while I learn")*(COUNTIFS(Agencies!$E$1:$E$600,3,Agencies!$H$1:$H$600,"Done")&lt;COUNTIF(Agencies!$E$1:$E$600,3)),(OR($B$9="One to ten",$B$9="More than ten"))*(COUNTIFS(Affiliates!$E$1:$E$600,3,Affiliates!$H$1:$H$600,"Done")&lt;COUNTIF(Affiliates!$E$1:$E$600,3)))=0,"cleared","open")</f>
        <v>open</v>
      </c>
      <c r="H26" s="15" t="str">
        <f aca="false">IF(SUM((TRUE())*(COUNTIFS(Magnet!$E$1:$E$600,4,Magnet!$H$1:$H$600,"Done")&lt;COUNTIF(Magnet!$E$1:$E$600,4)),(TRUE())*(COUNTIFS(Warm!$E$1:$E$600,4,Warm!$H$1:$H$600,"Done")&lt;COUNTIF(Warm!$E$1:$E$600,4)),(TRUE())*(COUNTIFS(Content!$E$1:$E$600,4,Content!$H$1:$H$600,"Done")&lt;COUNTIF(Content!$E$1:$E$600,4)),(TRUE())*(COUNTIFS(Cold!$E$1:$E$600,4,Cold!$H$1:$H$600,"Done")&lt;COUNTIF(Cold!$E$1:$E$600,4)),($B$10="Some; and I could afford to lose it while I learn")*(COUNTIFS(Ads!$E$1:$E$600,4,Ads!$H$1:$H$600,"Done")&lt;COUNTIF(Ads!$E$1:$E$600,4)),(OR($B$9="One to ten",$B$9="More than ten"))*(COUNTIFS(Referrals!$E$1:$E$600,4,Referrals!$H$1:$H$600,"Done")&lt;COUNTIF(Referrals!$E$1:$E$600,4)),(OR($B$11="A team",$B$11="Me; and I am hiring"))*(COUNTIFS(Employees!$E$1:$E$600,4,Employees!$H$1:$H$600,"Done")&lt;COUNTIF(Employees!$E$1:$E$600,4)),($B$10="Some; and I could afford to lose it while I learn")*(COUNTIFS(Agencies!$E$1:$E$600,4,Agencies!$H$1:$H$600,"Done")&lt;COUNTIF(Agencies!$E$1:$E$600,4)),(OR($B$9="One to ten",$B$9="More than ten"))*(COUNTIFS(Affiliates!$E$1:$E$600,4,Affiliates!$H$1:$H$600,"Done")&lt;COUNTIF(Affiliates!$E$1:$E$600,4)))=0,"cleared","open")</f>
        <v>open</v>
      </c>
      <c r="I26" s="15" t="str">
        <f aca="false">IF(SUM((TRUE())*(COUNTIFS(Magnet!$E$1:$E$600,5,Magnet!$H$1:$H$600,"Done")&lt;COUNTIF(Magnet!$E$1:$E$600,5)),(TRUE())*(COUNTIFS(Warm!$E$1:$E$600,5,Warm!$H$1:$H$600,"Done")&lt;COUNTIF(Warm!$E$1:$E$600,5)),(TRUE())*(COUNTIFS(Content!$E$1:$E$600,5,Content!$H$1:$H$600,"Done")&lt;COUNTIF(Content!$E$1:$E$600,5)),(TRUE())*(COUNTIFS(Cold!$E$1:$E$600,5,Cold!$H$1:$H$600,"Done")&lt;COUNTIF(Cold!$E$1:$E$600,5)),($B$10="Some; and I could afford to lose it while I learn")*(COUNTIFS(Ads!$E$1:$E$600,5,Ads!$H$1:$H$600,"Done")&lt;COUNTIF(Ads!$E$1:$E$600,5)),(OR($B$9="One to ten",$B$9="More than ten"))*(COUNTIFS(Referrals!$E$1:$E$600,5,Referrals!$H$1:$H$600,"Done")&lt;COUNTIF(Referrals!$E$1:$E$600,5)),(OR($B$11="A team",$B$11="Me; and I am hiring"))*(COUNTIFS(Employees!$E$1:$E$600,5,Employees!$H$1:$H$600,"Done")&lt;COUNTIF(Employees!$E$1:$E$600,5)),($B$10="Some; and I could afford to lose it while I learn")*(COUNTIFS(Agencies!$E$1:$E$600,5,Agencies!$H$1:$H$600,"Done")&lt;COUNTIF(Agencies!$E$1:$E$600,5)),(OR($B$9="One to ten",$B$9="More than ten"))*(COUNTIFS(Affiliates!$E$1:$E$600,5,Affiliates!$H$1:$H$600,"Done")&lt;COUNTIF(Affiliates!$E$1:$E$600,5)))=0,"cleared","open")</f>
        <v>open</v>
      </c>
    </row>
    <row r="28" customFormat="false" ht="30" hidden="false" customHeight="true" outlineLevel="0" collapsed="false">
      <c r="A28" s="4" t="s">
        <v>49</v>
      </c>
      <c r="B28" s="4" t="s">
        <v>50</v>
      </c>
      <c r="C28" s="4"/>
      <c r="D28" s="4" t="s">
        <v>51</v>
      </c>
      <c r="E28" s="4"/>
      <c r="F28" s="4"/>
      <c r="G28" s="4"/>
      <c r="H28" s="4"/>
      <c r="I28" s="4"/>
    </row>
    <row r="29" customFormat="false" ht="15" hidden="false" customHeight="false" outlineLevel="0" collapsed="false">
      <c r="A29" s="16" t="s">
        <v>52</v>
      </c>
      <c r="B29" s="17" t="n">
        <f aca="false">COUNTIF(Magnet!$H$1:$H$600,"Done")</f>
        <v>0</v>
      </c>
      <c r="D29" s="17" t="n">
        <f aca="false">COUNT(Magnet!$E$1:$E$600)</f>
        <v>9</v>
      </c>
    </row>
    <row r="30" customFormat="false" ht="15" hidden="false" customHeight="false" outlineLevel="0" collapsed="false">
      <c r="A30" s="16" t="s">
        <v>36</v>
      </c>
      <c r="B30" s="17" t="n">
        <f aca="false">COUNTIF(Warm!$H$1:$H$600,"Done")</f>
        <v>0</v>
      </c>
      <c r="D30" s="17" t="n">
        <f aca="false">COUNT(Warm!$E$1:$E$600)</f>
        <v>10</v>
      </c>
    </row>
    <row r="31" customFormat="false" ht="15" hidden="false" customHeight="false" outlineLevel="0" collapsed="false">
      <c r="A31" s="16" t="s">
        <v>38</v>
      </c>
      <c r="B31" s="17" t="n">
        <f aca="false">COUNTIF(Content!$H$1:$H$600,"Done")</f>
        <v>0</v>
      </c>
      <c r="D31" s="17" t="n">
        <f aca="false">COUNT(Content!$E$1:$E$600)</f>
        <v>9</v>
      </c>
    </row>
    <row r="32" customFormat="false" ht="15" hidden="false" customHeight="false" outlineLevel="0" collapsed="false">
      <c r="A32" s="16" t="s">
        <v>40</v>
      </c>
      <c r="B32" s="17" t="n">
        <f aca="false">COUNTIF(Cold!$H$1:$H$600,"Done")</f>
        <v>0</v>
      </c>
      <c r="D32" s="17" t="n">
        <f aca="false">COUNT(Cold!$E$1:$E$600)</f>
        <v>8</v>
      </c>
    </row>
    <row r="33" customFormat="false" ht="15" hidden="false" customHeight="false" outlineLevel="0" collapsed="false">
      <c r="A33" s="16" t="s">
        <v>42</v>
      </c>
      <c r="B33" s="17" t="n">
        <f aca="false">COUNTIF(Ads!$H$1:$H$600,"Done")</f>
        <v>2</v>
      </c>
      <c r="D33" s="17" t="n">
        <f aca="false">COUNT(Ads!$E$1:$E$600)</f>
        <v>9</v>
      </c>
    </row>
    <row r="34" customFormat="false" ht="15" hidden="false" customHeight="false" outlineLevel="0" collapsed="false">
      <c r="A34" s="16" t="s">
        <v>44</v>
      </c>
      <c r="B34" s="17" t="n">
        <f aca="false">COUNTIF(Referrals!$H$1:$H$600,"Done")</f>
        <v>1</v>
      </c>
      <c r="D34" s="17" t="n">
        <f aca="false">COUNT(Referrals!$E$1:$E$600)</f>
        <v>6</v>
      </c>
    </row>
    <row r="35" customFormat="false" ht="15" hidden="false" customHeight="false" outlineLevel="0" collapsed="false">
      <c r="A35" s="16" t="s">
        <v>45</v>
      </c>
      <c r="B35" s="17" t="n">
        <f aca="false">COUNTIF(Employees!$H$1:$H$600,"Done")</f>
        <v>0</v>
      </c>
      <c r="D35" s="17" t="n">
        <f aca="false">COUNT(Employees!$E$1:$E$600)</f>
        <v>5</v>
      </c>
    </row>
    <row r="36" customFormat="false" ht="15" hidden="false" customHeight="false" outlineLevel="0" collapsed="false">
      <c r="A36" s="16" t="s">
        <v>46</v>
      </c>
      <c r="B36" s="17" t="n">
        <f aca="false">COUNTIF(Agencies!$H$1:$H$600,"Done")</f>
        <v>0</v>
      </c>
      <c r="D36" s="17" t="n">
        <f aca="false">COUNT(Agencies!$E$1:$E$600)</f>
        <v>5</v>
      </c>
    </row>
    <row r="37" customFormat="false" ht="15" hidden="false" customHeight="false" outlineLevel="0" collapsed="false">
      <c r="A37" s="16" t="s">
        <v>47</v>
      </c>
      <c r="B37" s="17" t="n">
        <f aca="false">COUNTIF(Affiliates!$H$1:$H$600,"Done")</f>
        <v>0</v>
      </c>
      <c r="D37" s="17" t="n">
        <f aca="false">COUNT(Affiliates!$E$1:$E$600)</f>
        <v>6</v>
      </c>
    </row>
    <row r="38" customFormat="false" ht="15" hidden="false" customHeight="false" outlineLevel="0" collapsed="false">
      <c r="A38" s="11" t="s">
        <v>53</v>
      </c>
      <c r="B38" s="18" t="n">
        <f aca="false">SUM(B29:B37)</f>
        <v>3</v>
      </c>
      <c r="D38" s="18" t="n">
        <f aca="false">SUM(D29:D37)</f>
        <v>67</v>
      </c>
      <c r="E38" s="19" t="n">
        <f aca="false">IF(D38=0,"",B38/D38)</f>
        <v>0.0447761194029851</v>
      </c>
    </row>
    <row r="40" customFormat="false" ht="30" hidden="false" customHeight="true" outlineLevel="0" collapsed="false">
      <c r="A40" s="4" t="s">
        <v>54</v>
      </c>
      <c r="B40" s="4" t="s">
        <v>55</v>
      </c>
      <c r="C40" s="4"/>
      <c r="D40" s="4" t="s">
        <v>56</v>
      </c>
      <c r="E40" s="4"/>
      <c r="F40" s="4"/>
      <c r="G40" s="4"/>
      <c r="H40" s="4"/>
      <c r="I40" s="4"/>
    </row>
    <row r="41" customFormat="false" ht="15" hidden="false" customHeight="false" outlineLevel="0" collapsed="false">
      <c r="A41" s="16" t="s">
        <v>57</v>
      </c>
      <c r="B41" s="20" t="n">
        <f aca="false">IF(Machine!B29="","not yet",Machine!B29)</f>
        <v>25.3846153846154</v>
      </c>
      <c r="D41" s="17" t="str">
        <f aca="false">IF($B$12="","set the goal above",IF(B41="not yet","fill the Machine",IF(B41&gt;=$B$12,"hit","short by "&amp;TEXT($B$12-B41,"0.0"))))</f>
        <v>hit</v>
      </c>
    </row>
    <row r="42" customFormat="false" ht="15" hidden="false" customHeight="false" outlineLevel="0" collapsed="false">
      <c r="A42" s="16" t="s">
        <v>58</v>
      </c>
      <c r="B42" s="20" t="n">
        <f aca="false">IF(Machine!B28="","not yet",Machine!B28)</f>
        <v>9.24</v>
      </c>
    </row>
    <row r="43" customFormat="false" ht="15" hidden="false" customHeight="false" outlineLevel="0" collapsed="false">
      <c r="A43" s="16" t="s">
        <v>59</v>
      </c>
      <c r="B43" s="21" t="n">
        <f aca="false">IF(Machine!B41="","not yet",Machine!B41)</f>
        <v>4.0964</v>
      </c>
      <c r="D43" s="22" t="s">
        <v>60</v>
      </c>
    </row>
    <row r="44" customFormat="false" ht="15" hidden="false" customHeight="false" outlineLevel="0" collapsed="false">
      <c r="A44" s="16" t="s">
        <v>61</v>
      </c>
      <c r="B44" s="21" t="n">
        <f aca="false">IF(Machine!B42="","not yet",Machine!B42)</f>
        <v>1.078</v>
      </c>
      <c r="D44" s="22" t="s">
        <v>62</v>
      </c>
    </row>
    <row r="46" customFormat="false" ht="30" hidden="false" customHeight="true" outlineLevel="0" collapsed="false">
      <c r="A46" s="4" t="s">
        <v>63</v>
      </c>
      <c r="B46" s="4" t="s">
        <v>27</v>
      </c>
      <c r="C46" s="4"/>
      <c r="D46" s="4" t="s">
        <v>64</v>
      </c>
      <c r="E46" s="4"/>
      <c r="F46" s="4"/>
      <c r="G46" s="4"/>
      <c r="H46" s="4"/>
      <c r="I46" s="4"/>
    </row>
    <row r="47" customFormat="false" ht="15" hidden="false" customHeight="false" outlineLevel="0" collapsed="false">
      <c r="A47" s="16" t="s">
        <v>65</v>
      </c>
      <c r="B47" s="12" t="s">
        <v>66</v>
      </c>
      <c r="D47" s="16" t="s">
        <v>67</v>
      </c>
    </row>
    <row r="48" customFormat="false" ht="15" hidden="false" customHeight="false" outlineLevel="0" collapsed="false">
      <c r="A48" s="16" t="s">
        <v>68</v>
      </c>
      <c r="B48" s="12" t="s">
        <v>66</v>
      </c>
      <c r="D48" s="16" t="s">
        <v>69</v>
      </c>
    </row>
    <row r="49" customFormat="false" ht="15" hidden="false" customHeight="false" outlineLevel="0" collapsed="false">
      <c r="A49" s="16" t="s">
        <v>70</v>
      </c>
      <c r="B49" s="12" t="s">
        <v>35</v>
      </c>
      <c r="D49" s="16" t="s">
        <v>34</v>
      </c>
    </row>
    <row r="50" customFormat="false" ht="15" hidden="false" customHeight="false" outlineLevel="0" collapsed="false">
      <c r="A50" s="16" t="s">
        <v>71</v>
      </c>
      <c r="B50" s="12" t="s">
        <v>37</v>
      </c>
      <c r="D50" s="16" t="s">
        <v>72</v>
      </c>
    </row>
    <row r="51" customFormat="false" ht="15" hidden="false" customHeight="false" outlineLevel="0" collapsed="false">
      <c r="A51" s="16" t="s">
        <v>73</v>
      </c>
      <c r="B51" s="12" t="s">
        <v>39</v>
      </c>
      <c r="D51" s="16" t="s">
        <v>74</v>
      </c>
    </row>
    <row r="52" customFormat="false" ht="15" hidden="false" customHeight="false" outlineLevel="0" collapsed="false">
      <c r="A52" s="16" t="s">
        <v>75</v>
      </c>
      <c r="B52" s="12" t="s">
        <v>41</v>
      </c>
      <c r="D52" s="16" t="s">
        <v>76</v>
      </c>
    </row>
    <row r="53" customFormat="false" ht="15" hidden="false" customHeight="false" outlineLevel="0" collapsed="false">
      <c r="A53" s="16" t="s">
        <v>77</v>
      </c>
      <c r="B53" s="12" t="s">
        <v>43</v>
      </c>
      <c r="D53" s="16" t="s">
        <v>78</v>
      </c>
    </row>
    <row r="54" customFormat="false" ht="15" hidden="false" customHeight="false" outlineLevel="0" collapsed="false">
      <c r="A54" s="16" t="s">
        <v>79</v>
      </c>
      <c r="B54" s="12" t="s">
        <v>44</v>
      </c>
      <c r="D54" s="16" t="s">
        <v>80</v>
      </c>
    </row>
    <row r="55" customFormat="false" ht="15" hidden="false" customHeight="false" outlineLevel="0" collapsed="false">
      <c r="A55" s="16" t="s">
        <v>81</v>
      </c>
      <c r="B55" s="12" t="s">
        <v>45</v>
      </c>
      <c r="D55" s="16" t="s">
        <v>82</v>
      </c>
    </row>
    <row r="56" customFormat="false" ht="15" hidden="false" customHeight="false" outlineLevel="0" collapsed="false">
      <c r="A56" s="16" t="s">
        <v>83</v>
      </c>
      <c r="B56" s="12" t="s">
        <v>46</v>
      </c>
      <c r="D56" s="16" t="s">
        <v>84</v>
      </c>
    </row>
    <row r="57" customFormat="false" ht="15" hidden="false" customHeight="false" outlineLevel="0" collapsed="false">
      <c r="A57" s="16" t="s">
        <v>85</v>
      </c>
      <c r="B57" s="12" t="s">
        <v>47</v>
      </c>
      <c r="D57" s="16" t="s">
        <v>86</v>
      </c>
    </row>
    <row r="58" customFormat="false" ht="15" hidden="false" customHeight="false" outlineLevel="0" collapsed="false">
      <c r="A58" s="16" t="s">
        <v>87</v>
      </c>
      <c r="B58" s="12" t="s">
        <v>88</v>
      </c>
      <c r="D58" s="16" t="s">
        <v>89</v>
      </c>
    </row>
    <row r="59" customFormat="false" ht="15" hidden="false" customHeight="false" outlineLevel="0" collapsed="false">
      <c r="A59" s="16" t="s">
        <v>90</v>
      </c>
      <c r="B59" s="12" t="s">
        <v>91</v>
      </c>
      <c r="D59" s="16" t="s">
        <v>92</v>
      </c>
    </row>
    <row r="60" customFormat="false" ht="15" hidden="false" customHeight="false" outlineLevel="0" collapsed="false">
      <c r="A60" s="16" t="s">
        <v>93</v>
      </c>
      <c r="B60" s="12" t="s">
        <v>94</v>
      </c>
      <c r="D60" s="16" t="s">
        <v>95</v>
      </c>
    </row>
    <row r="62" customFormat="false" ht="39.75" hidden="false" customHeight="true" outlineLevel="0" collapsed="false">
      <c r="A62" s="23" t="s">
        <v>96</v>
      </c>
      <c r="B62" s="23"/>
      <c r="C62" s="23"/>
      <c r="D62" s="23"/>
      <c r="E62" s="23"/>
      <c r="F62" s="23"/>
      <c r="G62" s="23"/>
      <c r="H62" s="23"/>
      <c r="I62" s="23"/>
    </row>
  </sheetData>
  <mergeCells count="12">
    <mergeCell ref="A1:I1"/>
    <mergeCell ref="A2:I2"/>
    <mergeCell ref="A3:I3"/>
    <mergeCell ref="D7:I7"/>
    <mergeCell ref="D8:I8"/>
    <mergeCell ref="D9:I9"/>
    <mergeCell ref="D10:I10"/>
    <mergeCell ref="D11:I11"/>
    <mergeCell ref="D12:I12"/>
    <mergeCell ref="D13:I13"/>
    <mergeCell ref="A14:I14"/>
    <mergeCell ref="A62:I62"/>
  </mergeCells>
  <conditionalFormatting sqref="E26">
    <cfRule type="cellIs" priority="2" operator="equal" aboveAverage="0" equalAverage="0" bottom="0" percent="0" rank="0" text="" dxfId="0">
      <formula>"cleared"</formula>
    </cfRule>
  </conditionalFormatting>
  <conditionalFormatting sqref="F26">
    <cfRule type="cellIs" priority="3" operator="equal" aboveAverage="0" equalAverage="0" bottom="0" percent="0" rank="0" text="" dxfId="0">
      <formula>"cleared"</formula>
    </cfRule>
  </conditionalFormatting>
  <conditionalFormatting sqref="G26">
    <cfRule type="cellIs" priority="4" operator="equal" aboveAverage="0" equalAverage="0" bottom="0" percent="0" rank="0" text="" dxfId="0">
      <formula>"cleared"</formula>
    </cfRule>
  </conditionalFormatting>
  <conditionalFormatting sqref="H26">
    <cfRule type="cellIs" priority="5" operator="equal" aboveAverage="0" equalAverage="0" bottom="0" percent="0" rank="0" text="" dxfId="0">
      <formula>"cleared"</formula>
    </cfRule>
  </conditionalFormatting>
  <conditionalFormatting sqref="I26">
    <cfRule type="cellIs" priority="6" operator="equal" aboveAverage="0" equalAverage="0" bottom="0" percent="0" rank="0" text="" dxfId="0">
      <formula>"cleared"</formula>
    </cfRule>
  </conditionalFormatting>
  <dataValidations count="4">
    <dataValidation allowBlank="true" errorStyle="stop" operator="between" showDropDown="false" showErrorMessage="false" showInputMessage="false" sqref="B9" type="list">
      <formula1>"None yet,One to ten,More than ten"</formula1>
      <formula2>0</formula2>
    </dataValidation>
    <dataValidation allowBlank="true" errorStyle="stop" operator="between" showDropDown="false" showErrorMessage="false" showInputMessage="false" sqref="B10" type="list">
      <formula1>"None right now,Some; and I could afford to lose it while I learn"</formula1>
      <formula2>0</formula2>
    </dataValidation>
    <dataValidation allowBlank="true" errorStyle="stop" operator="between" showDropDown="false" showErrorMessage="false" showInputMessage="false" sqref="B11" type="list">
      <formula1>"Just me,Me; and I am hiring,A team"</formula1>
      <formula2>0</formula2>
    </dataValidation>
    <dataValidation allowBlank="true" errorStyle="stop" operator="between" showDropDown="false" showErrorMessage="false" showInputMessage="false" sqref="B13" type="list">
      <formula1>"Warm outreach: I know people,Free content: I can post every day,Cold outreach: I can do volume,Paid ads: I have money to learn with"</formula1>
      <formula2>0</formula2>
    </dataValidation>
  </dataValidations>
  <hyperlinks>
    <hyperlink ref="B17" r:id="rId2" location="'Magnet'!A1" display="Magnet"/>
    <hyperlink ref="B18" r:id="rId3" location="'Warm'!A1" display="Warm"/>
    <hyperlink ref="B19" r:id="rId4" location="'Content'!A1" display="Content"/>
    <hyperlink ref="B20" r:id="rId5" location="'Cold'!A1" display="Cold"/>
    <hyperlink ref="B21" r:id="rId6" location="'Ads'!A1" display="Ads"/>
    <hyperlink ref="B22" r:id="rId7" location="'Referrals'!A1" display="Referrals"/>
    <hyperlink ref="B23" r:id="rId8" location="'Employees'!A1" display="Employees"/>
    <hyperlink ref="B24" r:id="rId9" location="'Agencies'!A1" display="Agencies"/>
    <hyperlink ref="B25" r:id="rId10" location="'Affiliates'!A1" display="Affiliates"/>
    <hyperlink ref="B47" r:id="rId11" location="'Start%20Here'!A1" display="Start Here"/>
    <hyperlink ref="B48" r:id="rId12" location="'Start%20Here'!A1" display="Start Here"/>
    <hyperlink ref="B49" r:id="rId13" location="'Magnet'!A1" display="Magnet"/>
    <hyperlink ref="B50" r:id="rId14" location="'Warm'!A1" display="Warm"/>
    <hyperlink ref="B51" r:id="rId15" location="'Content'!A1" display="Content"/>
    <hyperlink ref="B52" r:id="rId16" location="'Cold'!A1" display="Cold"/>
    <hyperlink ref="B53" r:id="rId17" location="'Ads'!A1" display="Ads"/>
    <hyperlink ref="B54" r:id="rId18" location="'Referrals'!A1" display="Referrals"/>
    <hyperlink ref="B55" r:id="rId19" location="'Employees'!A1" display="Employees"/>
    <hyperlink ref="B56" r:id="rId20" location="'Agencies'!A1" display="Agencies"/>
    <hyperlink ref="B57" r:id="rId21" location="'Affiliates'!A1" display="Affiliates"/>
    <hyperlink ref="B58" r:id="rId22" location="'Machine'!A1" display="Machine"/>
    <hyperlink ref="B59" r:id="rId23" location="'Daily%20Log'!A1" display="Daily Log"/>
    <hyperlink ref="B60" r:id="rId24" location="'Words'!A1" display="Word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5"/>
  <legacyDrawing r:id="rId2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5" min="2" style="0" width="16"/>
    <col collapsed="false" customWidth="true" hidden="false" outlineLevel="0" max="6" min="6" style="0" width="60"/>
  </cols>
  <sheetData>
    <row r="1" customFormat="false" ht="25.5" hidden="false" customHeight="true" outlineLevel="0" collapsed="false">
      <c r="A1" s="1" t="s">
        <v>97</v>
      </c>
      <c r="B1" s="1"/>
      <c r="C1" s="1"/>
      <c r="D1" s="1"/>
      <c r="E1" s="1"/>
      <c r="F1" s="1"/>
    </row>
    <row r="2" customFormat="false" ht="30" hidden="false" customHeight="true" outlineLevel="0" collapsed="false">
      <c r="A2" s="2" t="s">
        <v>98</v>
      </c>
      <c r="B2" s="2"/>
      <c r="C2" s="2"/>
      <c r="D2" s="2"/>
      <c r="E2" s="2"/>
      <c r="F2" s="2"/>
    </row>
    <row r="3" customFormat="false" ht="30" hidden="false" customHeight="true" outlineLevel="0" collapsed="false">
      <c r="A3" s="3" t="s">
        <v>2</v>
      </c>
      <c r="B3" s="3"/>
      <c r="C3" s="3"/>
      <c r="D3" s="3"/>
      <c r="E3" s="3"/>
      <c r="F3" s="3"/>
    </row>
    <row r="5" customFormat="false" ht="30" hidden="false" customHeight="true" outlineLevel="0" collapsed="false">
      <c r="A5" s="4" t="s">
        <v>99</v>
      </c>
      <c r="B5" s="4" t="s">
        <v>55</v>
      </c>
      <c r="C5" s="4"/>
      <c r="D5" s="4"/>
      <c r="E5" s="4"/>
      <c r="F5" s="4" t="s">
        <v>100</v>
      </c>
    </row>
    <row r="6" customFormat="false" ht="15" hidden="false" customHeight="false" outlineLevel="0" collapsed="false">
      <c r="A6" s="5" t="s">
        <v>101</v>
      </c>
    </row>
    <row r="7" customFormat="false" ht="15" hidden="false" customHeight="false" outlineLevel="0" collapsed="false">
      <c r="A7" s="16" t="s">
        <v>102</v>
      </c>
      <c r="B7" s="24" t="n">
        <v>100</v>
      </c>
      <c r="F7" s="22" t="s">
        <v>103</v>
      </c>
    </row>
    <row r="8" customFormat="false" ht="15" hidden="false" customHeight="false" outlineLevel="0" collapsed="false">
      <c r="A8" s="16" t="s">
        <v>104</v>
      </c>
      <c r="B8" s="24" t="n">
        <v>22</v>
      </c>
      <c r="F8" s="22"/>
    </row>
    <row r="9" customFormat="false" ht="15" hidden="false" customHeight="false" outlineLevel="0" collapsed="false">
      <c r="A9" s="16" t="s">
        <v>105</v>
      </c>
      <c r="B9" s="25" t="n">
        <v>0.05</v>
      </c>
      <c r="F9" s="22" t="s">
        <v>106</v>
      </c>
    </row>
    <row r="10" customFormat="false" ht="15" hidden="false" customHeight="false" outlineLevel="0" collapsed="false">
      <c r="A10" s="16" t="s">
        <v>107</v>
      </c>
      <c r="B10" s="25" t="n">
        <v>0.4</v>
      </c>
      <c r="F10" s="22"/>
    </row>
    <row r="11" customFormat="false" ht="15" hidden="false" customHeight="false" outlineLevel="0" collapsed="false">
      <c r="A11" s="16" t="s">
        <v>108</v>
      </c>
      <c r="B11" s="25" t="n">
        <v>0.7</v>
      </c>
      <c r="F11" s="22"/>
    </row>
    <row r="12" customFormat="false" ht="15" hidden="false" customHeight="false" outlineLevel="0" collapsed="false">
      <c r="A12" s="16" t="s">
        <v>109</v>
      </c>
      <c r="B12" s="25" t="n">
        <v>0.3</v>
      </c>
      <c r="F12" s="22"/>
    </row>
    <row r="13" customFormat="false" ht="15" hidden="false" customHeight="false" outlineLevel="0" collapsed="false">
      <c r="A13" s="16" t="s">
        <v>110</v>
      </c>
      <c r="B13" s="26" t="n">
        <v>300</v>
      </c>
      <c r="F13" s="22"/>
    </row>
    <row r="14" customFormat="false" ht="15" hidden="false" customHeight="false" outlineLevel="0" collapsed="false">
      <c r="A14" s="16" t="s">
        <v>111</v>
      </c>
      <c r="B14" s="26" t="n">
        <v>200</v>
      </c>
      <c r="F14" s="22" t="s">
        <v>112</v>
      </c>
    </row>
    <row r="15" customFormat="false" ht="15" hidden="false" customHeight="false" outlineLevel="0" collapsed="false">
      <c r="A15" s="16" t="s">
        <v>113</v>
      </c>
      <c r="B15" s="24" t="n">
        <v>8</v>
      </c>
      <c r="F15" s="22"/>
    </row>
    <row r="16" customFormat="false" ht="15" hidden="false" customHeight="false" outlineLevel="0" collapsed="false">
      <c r="A16" s="16" t="s">
        <v>114</v>
      </c>
      <c r="B16" s="25" t="n">
        <v>0.7</v>
      </c>
      <c r="F16" s="22"/>
    </row>
    <row r="17" customFormat="false" ht="15" hidden="false" customHeight="false" outlineLevel="0" collapsed="false">
      <c r="A17" s="16" t="s">
        <v>115</v>
      </c>
      <c r="B17" s="26" t="n">
        <v>3000</v>
      </c>
      <c r="F17" s="22" t="s">
        <v>116</v>
      </c>
    </row>
    <row r="18" customFormat="false" ht="15" hidden="false" customHeight="false" outlineLevel="0" collapsed="false">
      <c r="A18" s="16" t="s">
        <v>117</v>
      </c>
      <c r="B18" s="26" t="n">
        <v>0</v>
      </c>
      <c r="F18" s="22" t="s">
        <v>118</v>
      </c>
    </row>
    <row r="19" customFormat="false" ht="15" hidden="false" customHeight="false" outlineLevel="0" collapsed="false">
      <c r="A19" s="16" t="s">
        <v>13</v>
      </c>
      <c r="B19" s="24" t="n">
        <v>12</v>
      </c>
      <c r="F19" s="22"/>
    </row>
    <row r="20" customFormat="false" ht="15" hidden="false" customHeight="false" outlineLevel="0" collapsed="false">
      <c r="A20" s="16" t="s">
        <v>119</v>
      </c>
      <c r="B20" s="25" t="n">
        <v>0.08</v>
      </c>
      <c r="F20" s="22"/>
    </row>
    <row r="21" customFormat="false" ht="15" hidden="false" customHeight="false" outlineLevel="0" collapsed="false">
      <c r="A21" s="16" t="s">
        <v>120</v>
      </c>
      <c r="B21" s="25" t="n">
        <v>0.1</v>
      </c>
      <c r="F21" s="22"/>
    </row>
    <row r="23" customFormat="false" ht="30" hidden="false" customHeight="true" outlineLevel="0" collapsed="false">
      <c r="A23" s="4" t="s">
        <v>121</v>
      </c>
      <c r="B23" s="4" t="s">
        <v>55</v>
      </c>
      <c r="C23" s="4"/>
      <c r="D23" s="4"/>
      <c r="E23" s="4"/>
      <c r="F23" s="4" t="s">
        <v>122</v>
      </c>
    </row>
    <row r="24" customFormat="false" ht="15" hidden="false" customHeight="false" outlineLevel="0" collapsed="false">
      <c r="A24" s="11" t="s">
        <v>123</v>
      </c>
      <c r="B24" s="27" t="n">
        <f aca="false">IF(COUNT(B7,B8)=2,B7*B8,"")</f>
        <v>2200</v>
      </c>
      <c r="F24" s="22" t="s">
        <v>124</v>
      </c>
    </row>
    <row r="25" customFormat="false" ht="15" hidden="false" customHeight="false" outlineLevel="0" collapsed="false">
      <c r="A25" s="11" t="s">
        <v>125</v>
      </c>
      <c r="B25" s="28" t="n">
        <f aca="false">IF(OR(B24="",B9=""),"",B24*B9)</f>
        <v>110</v>
      </c>
      <c r="F25" s="22" t="s">
        <v>126</v>
      </c>
    </row>
    <row r="26" customFormat="false" ht="15" hidden="false" customHeight="false" outlineLevel="0" collapsed="false">
      <c r="A26" s="11" t="s">
        <v>127</v>
      </c>
      <c r="B26" s="28" t="n">
        <f aca="false">IF(OR(B25="",B10=""),"",B25*B10)</f>
        <v>44</v>
      </c>
      <c r="F26" s="22" t="s">
        <v>128</v>
      </c>
    </row>
    <row r="27" customFormat="false" ht="15" hidden="false" customHeight="false" outlineLevel="0" collapsed="false">
      <c r="A27" s="11" t="s">
        <v>129</v>
      </c>
      <c r="B27" s="28" t="n">
        <f aca="false">IF(OR(B26="",B11=""),"",B26*B11)</f>
        <v>30.8</v>
      </c>
      <c r="F27" s="22" t="s">
        <v>130</v>
      </c>
    </row>
    <row r="28" customFormat="false" ht="15" hidden="false" customHeight="false" outlineLevel="0" collapsed="false">
      <c r="A28" s="11" t="s">
        <v>58</v>
      </c>
      <c r="B28" s="28" t="n">
        <f aca="false">IF(OR(B27="",B12=""),"",B27*B12)</f>
        <v>9.24</v>
      </c>
      <c r="F28" s="22" t="s">
        <v>131</v>
      </c>
    </row>
    <row r="29" customFormat="false" ht="15" hidden="false" customHeight="false" outlineLevel="0" collapsed="false">
      <c r="A29" s="11" t="s">
        <v>132</v>
      </c>
      <c r="B29" s="28" t="n">
        <f aca="false">IF(B25="","",B25*12/52)</f>
        <v>25.3846153846154</v>
      </c>
      <c r="F29" s="22" t="s">
        <v>133</v>
      </c>
    </row>
    <row r="31" customFormat="false" ht="30" hidden="false" customHeight="true" outlineLevel="0" collapsed="false">
      <c r="A31" s="4" t="s">
        <v>134</v>
      </c>
      <c r="B31" s="4" t="s">
        <v>55</v>
      </c>
      <c r="C31" s="4"/>
      <c r="D31" s="4"/>
      <c r="E31" s="4"/>
      <c r="F31" s="4" t="s">
        <v>122</v>
      </c>
    </row>
    <row r="32" customFormat="false" ht="15" hidden="false" customHeight="false" outlineLevel="0" collapsed="false">
      <c r="A32" s="11" t="s">
        <v>135</v>
      </c>
      <c r="B32" s="29" t="n">
        <f aca="false">IF(COUNT(B17,B18)=2,B17+B18,"")</f>
        <v>3000</v>
      </c>
      <c r="F32" s="22" t="s">
        <v>136</v>
      </c>
    </row>
    <row r="33" customFormat="false" ht="15" hidden="false" customHeight="false" outlineLevel="0" collapsed="false">
      <c r="A33" s="11" t="s">
        <v>137</v>
      </c>
      <c r="B33" s="30" t="n">
        <f aca="false">IF(OR(B32="",B25=""),"",IF(B25=0,"none made",B32/B25))</f>
        <v>27.2727272727273</v>
      </c>
      <c r="F33" s="22" t="s">
        <v>138</v>
      </c>
    </row>
    <row r="34" customFormat="false" ht="15" hidden="false" customHeight="false" outlineLevel="0" collapsed="false">
      <c r="A34" s="11" t="s">
        <v>139</v>
      </c>
      <c r="B34" s="29" t="n">
        <f aca="false">IF(OR(B32="",B28=""),"",IF(B28=0,"none made",B32/B28))</f>
        <v>324.675324675325</v>
      </c>
      <c r="F34" s="22" t="s">
        <v>140</v>
      </c>
    </row>
    <row r="36" customFormat="false" ht="30" hidden="false" customHeight="true" outlineLevel="0" collapsed="false">
      <c r="A36" s="4" t="s">
        <v>141</v>
      </c>
      <c r="B36" s="4" t="s">
        <v>55</v>
      </c>
      <c r="C36" s="4"/>
      <c r="D36" s="4"/>
      <c r="E36" s="4"/>
      <c r="F36" s="4" t="s">
        <v>122</v>
      </c>
    </row>
    <row r="37" customFormat="false" ht="15" hidden="false" customHeight="false" outlineLevel="0" collapsed="false">
      <c r="A37" s="11" t="s">
        <v>142</v>
      </c>
      <c r="B37" s="29" t="n">
        <f aca="false">IF(COUNT(B13,B14,B15,B16)=4,(B13+B14*B15)*B16,"")</f>
        <v>1330</v>
      </c>
      <c r="F37" s="22" t="s">
        <v>143</v>
      </c>
    </row>
    <row r="38" customFormat="false" ht="15" hidden="false" customHeight="false" outlineLevel="0" collapsed="false">
      <c r="A38" s="11" t="s">
        <v>144</v>
      </c>
      <c r="B38" s="29" t="n">
        <f aca="false">IF(COUNT(B13,B14,B15,B16)=4,(B13+B14)*B16,"")</f>
        <v>350</v>
      </c>
      <c r="F38" s="22" t="s">
        <v>145</v>
      </c>
    </row>
    <row r="40" customFormat="false" ht="30" hidden="false" customHeight="true" outlineLevel="0" collapsed="false">
      <c r="A40" s="4" t="s">
        <v>146</v>
      </c>
      <c r="B40" s="4" t="s">
        <v>55</v>
      </c>
      <c r="C40" s="4" t="s">
        <v>147</v>
      </c>
      <c r="D40" s="4"/>
      <c r="E40" s="4"/>
      <c r="F40" s="4" t="s">
        <v>148</v>
      </c>
    </row>
    <row r="41" customFormat="false" ht="15" hidden="false" customHeight="false" outlineLevel="0" collapsed="false">
      <c r="A41" s="11" t="s">
        <v>59</v>
      </c>
      <c r="B41" s="31" t="n">
        <f aca="false">IF(OR(B37="",B32=""),"",IF(B32=0,"free",IF(ISNUMBER(B34),B37/B34,"")))</f>
        <v>4.0964</v>
      </c>
      <c r="C41" s="32" t="n">
        <v>3</v>
      </c>
      <c r="F41" s="6" t="str">
        <f aca="false">IF(B41="","needs the numbers above",IF(B41="free","Your leads cost nothing you counted, so every customer is profit.",IF(B41&gt;=C41,"Passes: a customer is worth more than three times what they cost.","Under three to one: fix the offer, the margin, or the funnel before spending more.")))</f>
        <v>Passes: a customer is worth more than three times what they cost.</v>
      </c>
    </row>
    <row r="42" customFormat="false" ht="23.85" hidden="false" customHeight="false" outlineLevel="0" collapsed="false">
      <c r="A42" s="11" t="s">
        <v>61</v>
      </c>
      <c r="B42" s="31" t="n">
        <f aca="false">IF(OR(B38="",B32=""),"",IF(B32=0,"free",IF(ISNUMBER(B34),B38/B34,"")))</f>
        <v>1.078</v>
      </c>
      <c r="C42" s="32" t="n">
        <v>2</v>
      </c>
      <c r="F42" s="6" t="str">
        <f aca="false">IF(B42="","needs the numbers above",IF(B42="free","Nothing to pay back.",IF(B42&gt;=C42,"Passes: the first month pays for the next one. The book says this is when you can scale.","The first month does not pay back twice. Growth will eat cash; raise the up-front price or lower the cost.")))</f>
        <v>The first month does not pay back twice. Growth will eat cash; raise the up-front price or lower the cost.</v>
      </c>
    </row>
    <row r="44" customFormat="false" ht="30" hidden="false" customHeight="true" outlineLevel="0" collapsed="false">
      <c r="A44" s="4" t="s">
        <v>149</v>
      </c>
      <c r="B44" s="4" t="s">
        <v>58</v>
      </c>
      <c r="C44" s="4" t="s">
        <v>150</v>
      </c>
      <c r="D44" s="4" t="s">
        <v>151</v>
      </c>
      <c r="E44" s="4"/>
      <c r="F44" s="4" t="s">
        <v>152</v>
      </c>
    </row>
    <row r="45" customFormat="false" ht="15" hidden="false" customHeight="true" outlineLevel="0" collapsed="false">
      <c r="A45" s="16" t="s">
        <v>153</v>
      </c>
      <c r="B45" s="33" t="n">
        <f aca="false">IF(COUNT(B7,B8,B9,B10,B11,B12)=6,B7*B8*B9*B10*B11*B12,"")</f>
        <v>9.24</v>
      </c>
      <c r="C45" s="33"/>
      <c r="D45" s="34"/>
      <c r="F45" s="8" t="s">
        <v>154</v>
      </c>
    </row>
    <row r="46" customFormat="false" ht="15" hidden="false" customHeight="false" outlineLevel="0" collapsed="false">
      <c r="A46" s="11" t="s">
        <v>155</v>
      </c>
      <c r="B46" s="33" t="n">
        <f aca="false">IF(COUNT(B7,B8,B9,B10,B11,B12)=6,B7*B8*MIN(1,B9+0.01)*B10*B11*B12,"")</f>
        <v>11.088</v>
      </c>
      <c r="C46" s="33" t="n">
        <f aca="false">IF(B46="","",B46-$B$45)</f>
        <v>1.848</v>
      </c>
      <c r="D46" s="34" t="s">
        <v>156</v>
      </c>
      <c r="F46" s="8"/>
    </row>
    <row r="47" customFormat="false" ht="15" hidden="false" customHeight="false" outlineLevel="0" collapsed="false">
      <c r="A47" s="11" t="s">
        <v>157</v>
      </c>
      <c r="B47" s="33" t="n">
        <f aca="false">IF(COUNT(B7,B8,B9,B10,B11,B12)=6,B7*B8*B9*MIN(1,B10+0.01)*B11*B12,"")</f>
        <v>9.471</v>
      </c>
      <c r="C47" s="33" t="n">
        <f aca="false">IF(B47="","",B47-$B$45)</f>
        <v>0.231000000000002</v>
      </c>
      <c r="D47" s="34" t="s">
        <v>156</v>
      </c>
      <c r="F47" s="8"/>
    </row>
    <row r="48" customFormat="false" ht="15" hidden="false" customHeight="false" outlineLevel="0" collapsed="false">
      <c r="A48" s="11" t="s">
        <v>158</v>
      </c>
      <c r="B48" s="33" t="n">
        <f aca="false">IF(COUNT(B7,B8,B9,B10,B11,B12)=6,B7*B8*B9*B10*MIN(1,B11+0.01)*B12,"")</f>
        <v>9.372</v>
      </c>
      <c r="C48" s="33" t="n">
        <f aca="false">IF(B48="","",B48-$B$45)</f>
        <v>0.132000000000001</v>
      </c>
      <c r="D48" s="34" t="s">
        <v>156</v>
      </c>
      <c r="F48" s="8"/>
    </row>
    <row r="49" customFormat="false" ht="15" hidden="false" customHeight="false" outlineLevel="0" collapsed="false">
      <c r="A49" s="11" t="s">
        <v>159</v>
      </c>
      <c r="B49" s="33" t="n">
        <f aca="false">IF(COUNT(B7,B8,B9,B10,B11,B12)=6,B7*B8*B9*B10*B11*MIN(1,B12+0.01),"")</f>
        <v>9.548</v>
      </c>
      <c r="C49" s="33" t="n">
        <f aca="false">IF(B49="","",B49-$B$45)</f>
        <v>0.308</v>
      </c>
      <c r="D49" s="34" t="s">
        <v>156</v>
      </c>
      <c r="F49" s="8"/>
    </row>
    <row r="50" customFormat="false" ht="15" hidden="false" customHeight="false" outlineLevel="0" collapsed="false">
      <c r="A50" s="11" t="s">
        <v>160</v>
      </c>
      <c r="B50" s="33" t="n">
        <f aca="false">IF(COUNT(B7,B8,B9,B10,B11,B12)=6,(B7+10)*B8*B9*B10*B11*B12,"")</f>
        <v>10.164</v>
      </c>
      <c r="C50" s="33" t="n">
        <f aca="false">IF(B50="","",B50-$B$45)</f>
        <v>0.924000000000001</v>
      </c>
      <c r="D50" s="34" t="s">
        <v>161</v>
      </c>
      <c r="F50" s="8"/>
    </row>
    <row r="52" customFormat="false" ht="30" hidden="false" customHeight="true" outlineLevel="0" collapsed="false">
      <c r="A52" s="4" t="s">
        <v>162</v>
      </c>
      <c r="B52" s="4" t="s">
        <v>163</v>
      </c>
      <c r="C52" s="4" t="s">
        <v>164</v>
      </c>
      <c r="D52" s="4"/>
      <c r="E52" s="4"/>
      <c r="F52" s="4" t="s">
        <v>100</v>
      </c>
    </row>
    <row r="53" customFormat="false" ht="15" hidden="false" customHeight="false" outlineLevel="0" collapsed="false">
      <c r="A53" s="16" t="s">
        <v>165</v>
      </c>
      <c r="B53" s="28" t="n">
        <f aca="false">IF(COUNT(B19,B20,B21)=3,B19,"")</f>
        <v>12</v>
      </c>
      <c r="C53" s="28" t="n">
        <f aca="false">IF(COUNT(B19,B20,B21)=3,B19,"")</f>
        <v>12</v>
      </c>
      <c r="F53" s="35" t="str">
        <f aca="false">IF(NOT(COUNT(B19,B20,B21)=3),"needs customers today, churn and the referral rate",IF(B21&gt;B20,"Referrals outnumber the customers who leave: the business grows on its own, before any lead you buy.",IF(B21=B20,"Referrals exactly replace the customers who leave. Every new customer is growth, none of it free.","More customers leave each month than referrals bring. Growth has to be bought until the referral rate passes the churn.")))</f>
        <v>Referrals outnumber the customers who leave: the business grows on its own, before any lead you buy.</v>
      </c>
    </row>
    <row r="54" customFormat="false" ht="15" hidden="false" customHeight="false" outlineLevel="0" collapsed="false">
      <c r="A54" s="16" t="s">
        <v>166</v>
      </c>
      <c r="B54" s="28" t="n">
        <f aca="false">IF(B53="","",B53*(1-B20+B21)+IF(B28="",0,B28))</f>
        <v>21.48</v>
      </c>
      <c r="C54" s="28" t="n">
        <f aca="false">IF(C53="","",C53*(1-B20)+IF(B28="",0,B28))</f>
        <v>20.28</v>
      </c>
      <c r="F54" s="35"/>
    </row>
    <row r="55" customFormat="false" ht="15" hidden="false" customHeight="false" outlineLevel="0" collapsed="false">
      <c r="A55" s="16" t="s">
        <v>167</v>
      </c>
      <c r="B55" s="28" t="n">
        <f aca="false">IF(B54="","",B54*(1-B20+B21)+IF(B28="",0,B28))</f>
        <v>31.1496</v>
      </c>
      <c r="C55" s="28" t="n">
        <f aca="false">IF(C54="","",C54*(1-B20)+IF(B28="",0,B28))</f>
        <v>27.8976</v>
      </c>
      <c r="F55" s="35"/>
    </row>
    <row r="56" customFormat="false" ht="15" hidden="false" customHeight="false" outlineLevel="0" collapsed="false">
      <c r="A56" s="16" t="s">
        <v>168</v>
      </c>
      <c r="B56" s="28" t="n">
        <f aca="false">IF(B55="","",B55*(1-B20+B21)+IF(B28="",0,B28))</f>
        <v>41.012592</v>
      </c>
      <c r="C56" s="28" t="n">
        <f aca="false">IF(C55="","",C55*(1-B20)+IF(B28="",0,B28))</f>
        <v>34.905792</v>
      </c>
      <c r="F56" s="35"/>
    </row>
    <row r="57" customFormat="false" ht="15" hidden="false" customHeight="false" outlineLevel="0" collapsed="false">
      <c r="A57" s="16" t="s">
        <v>169</v>
      </c>
      <c r="B57" s="28" t="n">
        <f aca="false">IF(B56="","",B56*(1-B20+B21)+IF(B28="",0,B28))</f>
        <v>51.07284384</v>
      </c>
      <c r="C57" s="28" t="n">
        <f aca="false">IF(C56="","",C56*(1-B20)+IF(B28="",0,B28))</f>
        <v>41.35332864</v>
      </c>
      <c r="F57" s="35"/>
    </row>
    <row r="58" customFormat="false" ht="15" hidden="false" customHeight="false" outlineLevel="0" collapsed="false">
      <c r="A58" s="16" t="s">
        <v>170</v>
      </c>
      <c r="B58" s="28" t="n">
        <f aca="false">IF(B57="","",B57*(1-B20+B21)+IF(B28="",0,B28))</f>
        <v>61.3343007168</v>
      </c>
      <c r="C58" s="28" t="n">
        <f aca="false">IF(C57="","",C57*(1-B20)+IF(B28="",0,B28))</f>
        <v>47.2850623488</v>
      </c>
      <c r="F58" s="35"/>
    </row>
    <row r="59" customFormat="false" ht="15" hidden="false" customHeight="false" outlineLevel="0" collapsed="false">
      <c r="A59" s="16" t="s">
        <v>171</v>
      </c>
      <c r="B59" s="28" t="n">
        <f aca="false">IF(B58="","",B58*(1-B20+B21)+IF(B28="",0,B28))</f>
        <v>71.800986731136</v>
      </c>
      <c r="C59" s="28" t="n">
        <f aca="false">IF(C58="","",C58*(1-B20)+IF(B28="",0,B28))</f>
        <v>52.742257360896</v>
      </c>
      <c r="F59" s="35"/>
    </row>
    <row r="60" customFormat="false" ht="15" hidden="false" customHeight="false" outlineLevel="0" collapsed="false">
      <c r="A60" s="16" t="s">
        <v>172</v>
      </c>
      <c r="B60" s="28" t="n">
        <f aca="false">IF(B59="","",B59*(1-B20+B21)+IF(B28="",0,B28))</f>
        <v>82.4770064657587</v>
      </c>
      <c r="C60" s="28" t="n">
        <f aca="false">IF(C59="","",C59*(1-B20)+IF(B28="",0,B28))</f>
        <v>57.7628767720243</v>
      </c>
      <c r="F60" s="35"/>
    </row>
    <row r="61" customFormat="false" ht="15" hidden="false" customHeight="false" outlineLevel="0" collapsed="false">
      <c r="A61" s="16" t="s">
        <v>173</v>
      </c>
      <c r="B61" s="28" t="n">
        <f aca="false">IF(B60="","",B60*(1-B20+B21)+IF(B28="",0,B28))</f>
        <v>93.3665465950739</v>
      </c>
      <c r="C61" s="28" t="n">
        <f aca="false">IF(C60="","",C60*(1-B20)+IF(B28="",0,B28))</f>
        <v>62.3818466302624</v>
      </c>
      <c r="F61" s="35"/>
    </row>
    <row r="62" customFormat="false" ht="15" hidden="false" customHeight="false" outlineLevel="0" collapsed="false">
      <c r="A62" s="16" t="s">
        <v>174</v>
      </c>
      <c r="B62" s="28" t="n">
        <f aca="false">IF(B61="","",B61*(1-B20+B21)+IF(B28="",0,B28))</f>
        <v>104.473877526975</v>
      </c>
      <c r="C62" s="28" t="n">
        <f aca="false">IF(C61="","",C61*(1-B20)+IF(B28="",0,B28))</f>
        <v>66.6312988998414</v>
      </c>
      <c r="F62" s="35"/>
    </row>
    <row r="63" customFormat="false" ht="15" hidden="false" customHeight="false" outlineLevel="0" collapsed="false">
      <c r="A63" s="16" t="s">
        <v>175</v>
      </c>
      <c r="B63" s="28" t="n">
        <f aca="false">IF(B62="","",B62*(1-B20+B21)+IF(B28="",0,B28))</f>
        <v>115.803355077515</v>
      </c>
      <c r="C63" s="28" t="n">
        <f aca="false">IF(C62="","",C62*(1-B20)+IF(B28="",0,B28))</f>
        <v>70.5407949878541</v>
      </c>
      <c r="F63" s="35"/>
    </row>
    <row r="64" customFormat="false" ht="15" hidden="false" customHeight="false" outlineLevel="0" collapsed="false">
      <c r="A64" s="16" t="s">
        <v>176</v>
      </c>
      <c r="B64" s="28" t="n">
        <f aca="false">IF(B63="","",B63*(1-B20+B21)+IF(B28="",0,B28))</f>
        <v>127.359422179065</v>
      </c>
      <c r="C64" s="28" t="n">
        <f aca="false">IF(C63="","",C63*(1-B20)+IF(B28="",0,B28))</f>
        <v>74.1375313888258</v>
      </c>
      <c r="F64" s="35"/>
    </row>
    <row r="65" customFormat="false" ht="15" hidden="false" customHeight="false" outlineLevel="0" collapsed="false">
      <c r="A65" s="16" t="s">
        <v>177</v>
      </c>
      <c r="B65" s="28" t="n">
        <f aca="false">IF(B64="","",B64*(1-B20+B21)+IF(B28="",0,B28))</f>
        <v>139.146610622646</v>
      </c>
      <c r="C65" s="28" t="n">
        <f aca="false">IF(C64="","",C64*(1-B20)+IF(B28="",0,B28))</f>
        <v>77.4465288777197</v>
      </c>
      <c r="F65" s="35"/>
    </row>
    <row r="66" customFormat="false" ht="15" hidden="false" customHeight="false" outlineLevel="0" collapsed="false">
      <c r="A66" s="11" t="s">
        <v>178</v>
      </c>
      <c r="B66" s="36" t="n">
        <f aca="false">IF(B65="","",B65-C65)</f>
        <v>61.7000817449268</v>
      </c>
      <c r="F66" s="22" t="s">
        <v>179</v>
      </c>
    </row>
  </sheetData>
  <mergeCells count="5">
    <mergeCell ref="A1:F1"/>
    <mergeCell ref="A2:F2"/>
    <mergeCell ref="A3:F3"/>
    <mergeCell ref="F45:F50"/>
    <mergeCell ref="F53:F65"/>
  </mergeCells>
  <conditionalFormatting sqref="B41">
    <cfRule type="expression" priority="2" aboveAverage="0" equalAverage="0" bottom="0" percent="0" rank="0" text="" dxfId="1">
      <formula>AND(ISNUMBER(B41),B41&gt;=C41)</formula>
    </cfRule>
    <cfRule type="expression" priority="3" aboveAverage="0" equalAverage="0" bottom="0" percent="0" rank="0" text="" dxfId="2">
      <formula>AND(ISNUMBER(B41),B41&lt;C41,B41&gt;=1)</formula>
    </cfRule>
    <cfRule type="expression" priority="4" aboveAverage="0" equalAverage="0" bottom="0" percent="0" rank="0" text="" dxfId="3">
      <formula>AND(ISNUMBER(B41),B41&lt;1)</formula>
    </cfRule>
  </conditionalFormatting>
  <conditionalFormatting sqref="B42">
    <cfRule type="expression" priority="5" aboveAverage="0" equalAverage="0" bottom="0" percent="0" rank="0" text="" dxfId="1">
      <formula>AND(ISNUMBER(B42),B42&gt;=C42)</formula>
    </cfRule>
    <cfRule type="expression" priority="6" aboveAverage="0" equalAverage="0" bottom="0" percent="0" rank="0" text="" dxfId="2">
      <formula>AND(ISNUMBER(B42),B42&lt;C42)</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40"/>
    <col collapsed="false" customWidth="true" hidden="false" outlineLevel="0" max="3" min="3" style="0" width="46"/>
    <col collapsed="false" customWidth="true" hidden="false" outlineLevel="0" max="4" min="4" style="0" width="3"/>
    <col collapsed="false" customWidth="true" hidden="false" outlineLevel="0" max="7" min="5" style="0" width="7"/>
    <col collapsed="false" customWidth="true" hidden="false" outlineLevel="0" max="8" min="8" style="0" width="13"/>
  </cols>
  <sheetData>
    <row r="1" customFormat="false" ht="25.5" hidden="false" customHeight="true" outlineLevel="0" collapsed="false">
      <c r="A1" s="1" t="s">
        <v>34</v>
      </c>
      <c r="B1" s="1"/>
      <c r="C1" s="1"/>
      <c r="D1" s="1"/>
      <c r="E1" s="1"/>
      <c r="F1" s="1"/>
      <c r="G1" s="1"/>
      <c r="H1" s="1"/>
    </row>
    <row r="2" customFormat="false" ht="30" hidden="false" customHeight="true" outlineLevel="0" collapsed="false">
      <c r="A2" s="2" t="s">
        <v>180</v>
      </c>
      <c r="B2" s="2"/>
      <c r="C2" s="2"/>
      <c r="D2" s="2"/>
      <c r="E2" s="2"/>
      <c r="F2" s="2"/>
      <c r="G2" s="2"/>
      <c r="H2" s="2"/>
    </row>
    <row r="3" customFormat="false" ht="30" hidden="false" customHeight="true" outlineLevel="0" collapsed="false">
      <c r="A3" s="3" t="s">
        <v>2</v>
      </c>
      <c r="B3" s="3"/>
      <c r="C3" s="3"/>
      <c r="D3" s="3"/>
      <c r="E3" s="3"/>
      <c r="F3" s="3"/>
      <c r="G3" s="3"/>
      <c r="H3" s="3"/>
    </row>
    <row r="4" customFormat="false" ht="30" hidden="false" customHeight="true" outlineLevel="0" collapsed="false">
      <c r="A4" s="4" t="s">
        <v>181</v>
      </c>
      <c r="B4" s="4" t="s">
        <v>182</v>
      </c>
      <c r="C4" s="4" t="s">
        <v>51</v>
      </c>
      <c r="D4" s="4"/>
      <c r="E4" s="4" t="s">
        <v>181</v>
      </c>
      <c r="F4" s="4" t="s">
        <v>183</v>
      </c>
      <c r="G4" s="4" t="s">
        <v>51</v>
      </c>
      <c r="H4" s="4" t="s">
        <v>184</v>
      </c>
    </row>
    <row r="5" customFormat="false" ht="15" hidden="false" customHeight="false" outlineLevel="0" collapsed="false">
      <c r="A5" s="16" t="s">
        <v>185</v>
      </c>
      <c r="B5" s="18" t="n">
        <f aca="false">COUNTIFS($E$1:$E$600,1,$H$1:$H$600,"Done")</f>
        <v>0</v>
      </c>
      <c r="C5" s="17" t="n">
        <f aca="false">COUNTIF($E$1:$E$600,1)</f>
        <v>2</v>
      </c>
    </row>
    <row r="6" customFormat="false" ht="15" hidden="false" customHeight="false" outlineLevel="0" collapsed="false">
      <c r="A6" s="16" t="s">
        <v>186</v>
      </c>
      <c r="B6" s="18" t="n">
        <f aca="false">COUNTIFS($E$1:$E$600,2,$H$1:$H$600,"Done")</f>
        <v>0</v>
      </c>
      <c r="C6" s="17" t="n">
        <f aca="false">COUNTIF($E$1:$E$600,2)</f>
        <v>2</v>
      </c>
    </row>
    <row r="7" customFormat="false" ht="15" hidden="false" customHeight="false" outlineLevel="0" collapsed="false">
      <c r="A7" s="16" t="s">
        <v>187</v>
      </c>
      <c r="B7" s="18" t="n">
        <f aca="false">COUNTIFS($E$1:$E$600,3,$H$1:$H$600,"Done")</f>
        <v>0</v>
      </c>
      <c r="C7" s="17" t="n">
        <f aca="false">COUNTIF($E$1:$E$600,3)</f>
        <v>3</v>
      </c>
    </row>
    <row r="8" customFormat="false" ht="15" hidden="false" customHeight="false" outlineLevel="0" collapsed="false">
      <c r="A8" s="16" t="s">
        <v>188</v>
      </c>
      <c r="B8" s="18" t="n">
        <f aca="false">COUNTIFS($E$1:$E$600,4,$H$1:$H$600,"Done")</f>
        <v>0</v>
      </c>
      <c r="C8" s="17" t="n">
        <f aca="false">COUNTIF($E$1:$E$600,4)</f>
        <v>1</v>
      </c>
    </row>
    <row r="9" customFormat="false" ht="15" hidden="false" customHeight="false" outlineLevel="0" collapsed="false">
      <c r="A9" s="16" t="s">
        <v>189</v>
      </c>
      <c r="B9" s="18" t="n">
        <f aca="false">COUNTIFS($E$1:$E$600,5,$H$1:$H$600,"Done")</f>
        <v>0</v>
      </c>
      <c r="C9" s="17" t="n">
        <f aca="false">COUNTIF($E$1:$E$600,5)</f>
        <v>1</v>
      </c>
    </row>
    <row r="10" customFormat="false" ht="39.75" hidden="false" customHeight="true" outlineLevel="0" collapsed="false">
      <c r="A10" s="11" t="s">
        <v>190</v>
      </c>
      <c r="B10" s="18" t="n">
        <f aca="false">SUM(B5:B9)</f>
        <v>0</v>
      </c>
      <c r="C10" s="17" t="n">
        <f aca="false">SUM(C5:C9)</f>
        <v>9</v>
      </c>
      <c r="E10" s="23" t="s">
        <v>191</v>
      </c>
      <c r="F10" s="23"/>
      <c r="G10" s="23"/>
      <c r="H10" s="23"/>
    </row>
    <row r="12" customFormat="false" ht="15" hidden="false" customHeight="false" outlineLevel="0" collapsed="false">
      <c r="A12" s="37" t="s">
        <v>192</v>
      </c>
      <c r="B12" s="37"/>
      <c r="C12" s="37"/>
      <c r="D12" s="38"/>
      <c r="E12" s="38"/>
      <c r="F12" s="38"/>
      <c r="G12" s="38"/>
      <c r="H12" s="38"/>
    </row>
    <row r="13" customFormat="false" ht="15" hidden="false" customHeight="false" outlineLevel="0" collapsed="false">
      <c r="A13" s="39" t="s">
        <v>193</v>
      </c>
      <c r="B13" s="40" t="s">
        <v>194</v>
      </c>
      <c r="C13" s="40" t="s">
        <v>70</v>
      </c>
      <c r="E13" s="41" t="n">
        <v>1</v>
      </c>
      <c r="F13" s="41" t="n">
        <f aca="false">0+(B15&lt;&gt;"")+(B16&lt;&gt;"")</f>
        <v>0</v>
      </c>
      <c r="G13" s="41" t="n">
        <v>2</v>
      </c>
      <c r="H13" s="15" t="str">
        <f aca="false">IF(F13=G13,"Done",IF(F13&gt;0,"In progress","Not yet"))</f>
        <v>Not yet</v>
      </c>
    </row>
    <row r="14" customFormat="false" ht="45" hidden="false" customHeight="true" outlineLevel="0" collapsed="false">
      <c r="A14" s="35" t="s">
        <v>195</v>
      </c>
      <c r="B14" s="35"/>
      <c r="C14" s="35"/>
    </row>
    <row r="15" customFormat="false" ht="15" hidden="false" customHeight="false" outlineLevel="0" collapsed="false">
      <c r="A15" s="6" t="s">
        <v>196</v>
      </c>
      <c r="B15" s="7"/>
      <c r="C15" s="42" t="s">
        <v>197</v>
      </c>
    </row>
    <row r="16" customFormat="false" ht="15" hidden="false" customHeight="false" outlineLevel="0" collapsed="false">
      <c r="A16" s="6" t="s">
        <v>198</v>
      </c>
      <c r="B16" s="7"/>
      <c r="C16" s="42" t="s">
        <v>199</v>
      </c>
    </row>
    <row r="17" customFormat="false" ht="27.75" hidden="false" customHeight="true" outlineLevel="0" collapsed="false">
      <c r="A17" s="43" t="s">
        <v>200</v>
      </c>
      <c r="B17" s="43"/>
      <c r="C17" s="43"/>
    </row>
    <row r="19" customFormat="false" ht="15" hidden="false" customHeight="false" outlineLevel="0" collapsed="false">
      <c r="A19" s="39" t="s">
        <v>201</v>
      </c>
      <c r="B19" s="40" t="s">
        <v>194</v>
      </c>
      <c r="C19" s="40" t="s">
        <v>202</v>
      </c>
      <c r="E19" s="41" t="n">
        <v>1</v>
      </c>
      <c r="F19" s="41" t="n">
        <f aca="false">0+(B21&lt;&gt;"")+(B22&lt;&gt;"")</f>
        <v>0</v>
      </c>
      <c r="G19" s="41" t="n">
        <v>2</v>
      </c>
      <c r="H19" s="15" t="str">
        <f aca="false">IF(F19=G19,"Done",IF(F19&gt;0,"In progress","Not yet"))</f>
        <v>Not yet</v>
      </c>
    </row>
    <row r="20" customFormat="false" ht="30" hidden="false" customHeight="true" outlineLevel="0" collapsed="false">
      <c r="A20" s="35" t="s">
        <v>203</v>
      </c>
      <c r="B20" s="35"/>
      <c r="C20" s="35"/>
    </row>
    <row r="21" customFormat="false" ht="22.35" hidden="false" customHeight="false" outlineLevel="0" collapsed="false">
      <c r="A21" s="6" t="s">
        <v>204</v>
      </c>
      <c r="B21" s="7"/>
      <c r="C21" s="42" t="s">
        <v>205</v>
      </c>
    </row>
    <row r="22" customFormat="false" ht="45" hidden="false" customHeight="true" outlineLevel="0" collapsed="false">
      <c r="A22" s="6" t="s">
        <v>206</v>
      </c>
      <c r="B22" s="7"/>
      <c r="C22" s="42" t="s">
        <v>207</v>
      </c>
    </row>
    <row r="23" customFormat="false" ht="27.75" hidden="false" customHeight="true" outlineLevel="0" collapsed="false">
      <c r="A23" s="43" t="s">
        <v>208</v>
      </c>
      <c r="B23" s="43"/>
      <c r="C23" s="43"/>
    </row>
    <row r="25" customFormat="false" ht="15" hidden="false" customHeight="false" outlineLevel="0" collapsed="false">
      <c r="A25" s="37" t="s">
        <v>209</v>
      </c>
      <c r="B25" s="37"/>
      <c r="C25" s="37"/>
      <c r="D25" s="38"/>
      <c r="E25" s="38"/>
      <c r="F25" s="38"/>
      <c r="G25" s="38"/>
      <c r="H25" s="38"/>
    </row>
    <row r="26" customFormat="false" ht="15" hidden="false" customHeight="false" outlineLevel="0" collapsed="false">
      <c r="A26" s="39" t="s">
        <v>210</v>
      </c>
      <c r="B26" s="40" t="s">
        <v>194</v>
      </c>
      <c r="C26" s="40" t="s">
        <v>211</v>
      </c>
      <c r="E26" s="41" t="n">
        <v>2</v>
      </c>
      <c r="F26" s="41" t="n">
        <f aca="false">0+(B28&lt;&gt;"")+(B29&lt;&gt;"")</f>
        <v>0</v>
      </c>
      <c r="G26" s="41" t="n">
        <v>2</v>
      </c>
      <c r="H26" s="15" t="str">
        <f aca="false">IF(F26=G26,"Done",IF(F26&gt;0,"In progress","Not yet"))</f>
        <v>Not yet</v>
      </c>
    </row>
    <row r="27" customFormat="false" ht="30" hidden="false" customHeight="true" outlineLevel="0" collapsed="false">
      <c r="A27" s="35" t="s">
        <v>212</v>
      </c>
      <c r="B27" s="35"/>
      <c r="C27" s="35"/>
    </row>
    <row r="28" customFormat="false" ht="22.35" hidden="false" customHeight="false" outlineLevel="0" collapsed="false">
      <c r="A28" s="6" t="s">
        <v>213</v>
      </c>
      <c r="B28" s="7"/>
      <c r="C28" s="42" t="s">
        <v>214</v>
      </c>
    </row>
    <row r="29" customFormat="false" ht="22.35" hidden="false" customHeight="false" outlineLevel="0" collapsed="false">
      <c r="A29" s="6" t="s">
        <v>215</v>
      </c>
      <c r="B29" s="7"/>
      <c r="C29" s="42" t="s">
        <v>216</v>
      </c>
    </row>
    <row r="30" customFormat="false" ht="27.75" hidden="false" customHeight="true" outlineLevel="0" collapsed="false">
      <c r="A30" s="43" t="s">
        <v>217</v>
      </c>
      <c r="B30" s="43"/>
      <c r="C30" s="43"/>
    </row>
    <row r="32" customFormat="false" ht="15" hidden="false" customHeight="false" outlineLevel="0" collapsed="false">
      <c r="A32" s="39" t="s">
        <v>218</v>
      </c>
      <c r="B32" s="40" t="s">
        <v>219</v>
      </c>
      <c r="C32" s="40" t="s">
        <v>220</v>
      </c>
      <c r="E32" s="41" t="n">
        <v>2</v>
      </c>
      <c r="F32" s="41" t="n">
        <f aca="false">0+(B34&lt;&gt;"")+(B35&lt;&gt;"")+(B36&lt;&gt;"")+(B37&lt;&gt;"")</f>
        <v>0</v>
      </c>
      <c r="G32" s="41" t="n">
        <v>4</v>
      </c>
      <c r="H32" s="15" t="str">
        <f aca="false">IF(F32=G32,"Done",IF(F32&gt;0,"In progress","Not yet"))</f>
        <v>Not yet</v>
      </c>
    </row>
    <row r="33" customFormat="false" ht="30" hidden="false" customHeight="true" outlineLevel="0" collapsed="false">
      <c r="A33" s="35" t="s">
        <v>221</v>
      </c>
      <c r="B33" s="35"/>
      <c r="C33" s="35"/>
    </row>
    <row r="34" customFormat="false" ht="15" hidden="false" customHeight="false" outlineLevel="0" collapsed="false">
      <c r="A34" s="6" t="s">
        <v>222</v>
      </c>
      <c r="B34" s="7"/>
      <c r="C34" s="42" t="s">
        <v>223</v>
      </c>
    </row>
    <row r="35" customFormat="false" ht="15" hidden="false" customHeight="false" outlineLevel="0" collapsed="false">
      <c r="A35" s="6" t="s">
        <v>224</v>
      </c>
      <c r="B35" s="7"/>
      <c r="C35" s="42" t="s">
        <v>225</v>
      </c>
    </row>
    <row r="36" customFormat="false" ht="15" hidden="false" customHeight="false" outlineLevel="0" collapsed="false">
      <c r="A36" s="6" t="s">
        <v>226</v>
      </c>
      <c r="B36" s="7"/>
      <c r="C36" s="42" t="s">
        <v>227</v>
      </c>
    </row>
    <row r="37" customFormat="false" ht="15" hidden="false" customHeight="false" outlineLevel="0" collapsed="false">
      <c r="A37" s="6" t="s">
        <v>228</v>
      </c>
      <c r="B37" s="7"/>
      <c r="C37" s="42" t="s">
        <v>229</v>
      </c>
    </row>
    <row r="38" customFormat="false" ht="27.75" hidden="false" customHeight="true" outlineLevel="0" collapsed="false">
      <c r="A38" s="43" t="s">
        <v>230</v>
      </c>
      <c r="B38" s="43"/>
      <c r="C38" s="43"/>
    </row>
    <row r="40" customFormat="false" ht="15" hidden="false" customHeight="false" outlineLevel="0" collapsed="false">
      <c r="A40" s="37" t="s">
        <v>231</v>
      </c>
      <c r="B40" s="37"/>
      <c r="C40" s="37"/>
      <c r="D40" s="38"/>
      <c r="E40" s="38"/>
      <c r="F40" s="38"/>
      <c r="G40" s="38"/>
      <c r="H40" s="38"/>
    </row>
    <row r="41" customFormat="false" ht="15" hidden="false" customHeight="false" outlineLevel="0" collapsed="false">
      <c r="A41" s="39" t="s">
        <v>232</v>
      </c>
      <c r="B41" s="40" t="s">
        <v>233</v>
      </c>
      <c r="C41" s="40" t="s">
        <v>234</v>
      </c>
      <c r="E41" s="41" t="n">
        <v>3</v>
      </c>
      <c r="F41" s="41" t="n">
        <f aca="false">0+(B43="Y")+(B44="Y")+(B45="Y")+(B46="Y")+(B47="Y")</f>
        <v>0</v>
      </c>
      <c r="G41" s="41" t="n">
        <v>5</v>
      </c>
      <c r="H41" s="15" t="str">
        <f aca="false">IF(F41=G41,"Done",IF(F41&gt;0,"In progress","Not yet"))</f>
        <v>Not yet</v>
      </c>
    </row>
    <row r="42" customFormat="false" ht="30" hidden="false" customHeight="true" outlineLevel="0" collapsed="false">
      <c r="A42" s="35" t="s">
        <v>235</v>
      </c>
      <c r="B42" s="35"/>
      <c r="C42" s="35"/>
    </row>
    <row r="43" customFormat="false" ht="15" hidden="false" customHeight="false" outlineLevel="0" collapsed="false">
      <c r="A43" s="6" t="s">
        <v>236</v>
      </c>
      <c r="B43" s="44"/>
      <c r="C43" s="22" t="s">
        <v>237</v>
      </c>
    </row>
    <row r="44" customFormat="false" ht="15" hidden="false" customHeight="false" outlineLevel="0" collapsed="false">
      <c r="A44" s="6" t="s">
        <v>238</v>
      </c>
      <c r="B44" s="44"/>
      <c r="C44" s="22" t="s">
        <v>237</v>
      </c>
    </row>
    <row r="45" customFormat="false" ht="15" hidden="false" customHeight="false" outlineLevel="0" collapsed="false">
      <c r="A45" s="6" t="s">
        <v>239</v>
      </c>
      <c r="B45" s="44"/>
      <c r="C45" s="22" t="s">
        <v>237</v>
      </c>
    </row>
    <row r="46" customFormat="false" ht="15" hidden="false" customHeight="false" outlineLevel="0" collapsed="false">
      <c r="A46" s="6" t="s">
        <v>240</v>
      </c>
      <c r="B46" s="44"/>
      <c r="C46" s="22" t="s">
        <v>237</v>
      </c>
    </row>
    <row r="47" customFormat="false" ht="15" hidden="false" customHeight="false" outlineLevel="0" collapsed="false">
      <c r="A47" s="6" t="s">
        <v>241</v>
      </c>
      <c r="B47" s="44"/>
      <c r="C47" s="22" t="s">
        <v>237</v>
      </c>
    </row>
    <row r="48" customFormat="false" ht="27.75" hidden="false" customHeight="true" outlineLevel="0" collapsed="false">
      <c r="A48" s="43" t="s">
        <v>242</v>
      </c>
      <c r="B48" s="43"/>
      <c r="C48" s="43"/>
    </row>
    <row r="50" customFormat="false" ht="15" hidden="false" customHeight="false" outlineLevel="0" collapsed="false">
      <c r="A50" s="39" t="s">
        <v>243</v>
      </c>
      <c r="B50" s="40" t="s">
        <v>244</v>
      </c>
      <c r="C50" s="40" t="s">
        <v>245</v>
      </c>
      <c r="E50" s="41" t="n">
        <v>3</v>
      </c>
      <c r="F50" s="41" t="n">
        <f aca="false">0+(B52="Y")+(B53="Y")+(B54="Y")+(B55="Y")+(B56="Y")</f>
        <v>0</v>
      </c>
      <c r="G50" s="41" t="n">
        <v>5</v>
      </c>
      <c r="H50" s="15" t="str">
        <f aca="false">IF(F50=G50,"Done",IF(F50&gt;0,"In progress","Not yet"))</f>
        <v>Not yet</v>
      </c>
    </row>
    <row r="51" customFormat="false" ht="30" hidden="false" customHeight="true" outlineLevel="0" collapsed="false">
      <c r="A51" s="35" t="s">
        <v>246</v>
      </c>
      <c r="B51" s="35"/>
      <c r="C51" s="35"/>
    </row>
    <row r="52" customFormat="false" ht="15" hidden="false" customHeight="false" outlineLevel="0" collapsed="false">
      <c r="A52" s="6" t="s">
        <v>247</v>
      </c>
      <c r="B52" s="44"/>
      <c r="C52" s="22" t="s">
        <v>237</v>
      </c>
    </row>
    <row r="53" customFormat="false" ht="15" hidden="false" customHeight="false" outlineLevel="0" collapsed="false">
      <c r="A53" s="6" t="s">
        <v>248</v>
      </c>
      <c r="B53" s="44"/>
      <c r="C53" s="22" t="s">
        <v>237</v>
      </c>
    </row>
    <row r="54" customFormat="false" ht="15" hidden="false" customHeight="false" outlineLevel="0" collapsed="false">
      <c r="A54" s="6" t="s">
        <v>249</v>
      </c>
      <c r="B54" s="44"/>
      <c r="C54" s="22" t="s">
        <v>237</v>
      </c>
    </row>
    <row r="55" customFormat="false" ht="15" hidden="false" customHeight="false" outlineLevel="0" collapsed="false">
      <c r="A55" s="6" t="s">
        <v>250</v>
      </c>
      <c r="B55" s="44"/>
      <c r="C55" s="22" t="s">
        <v>237</v>
      </c>
    </row>
    <row r="56" customFormat="false" ht="15" hidden="false" customHeight="false" outlineLevel="0" collapsed="false">
      <c r="A56" s="6" t="s">
        <v>251</v>
      </c>
      <c r="B56" s="44"/>
      <c r="C56" s="22" t="s">
        <v>237</v>
      </c>
    </row>
    <row r="57" customFormat="false" ht="27.75" hidden="false" customHeight="true" outlineLevel="0" collapsed="false">
      <c r="A57" s="43" t="s">
        <v>252</v>
      </c>
      <c r="B57" s="43"/>
      <c r="C57" s="43"/>
    </row>
    <row r="59" customFormat="false" ht="15" hidden="false" customHeight="false" outlineLevel="0" collapsed="false">
      <c r="A59" s="39" t="s">
        <v>253</v>
      </c>
      <c r="B59" s="40" t="s">
        <v>219</v>
      </c>
      <c r="C59" s="40" t="s">
        <v>254</v>
      </c>
      <c r="E59" s="41" t="n">
        <v>3</v>
      </c>
      <c r="F59" s="41" t="n">
        <f aca="false">0+(B61&lt;&gt;"")+(B62&lt;&gt;"")</f>
        <v>0</v>
      </c>
      <c r="G59" s="41" t="n">
        <v>2</v>
      </c>
      <c r="H59" s="15" t="str">
        <f aca="false">IF(F59=G59,"Done",IF(F59&gt;0,"In progress","Not yet"))</f>
        <v>Not yet</v>
      </c>
    </row>
    <row r="60" customFormat="false" ht="30" hidden="false" customHeight="true" outlineLevel="0" collapsed="false">
      <c r="A60" s="35" t="s">
        <v>255</v>
      </c>
      <c r="B60" s="35"/>
      <c r="C60" s="35"/>
    </row>
    <row r="61" customFormat="false" ht="45" hidden="false" customHeight="true" outlineLevel="0" collapsed="false">
      <c r="A61" s="6" t="s">
        <v>256</v>
      </c>
      <c r="B61" s="7"/>
      <c r="C61" s="42" t="s">
        <v>257</v>
      </c>
    </row>
    <row r="62" customFormat="false" ht="22.35" hidden="false" customHeight="false" outlineLevel="0" collapsed="false">
      <c r="A62" s="6" t="s">
        <v>258</v>
      </c>
      <c r="B62" s="7"/>
      <c r="C62" s="42" t="s">
        <v>259</v>
      </c>
    </row>
    <row r="63" customFormat="false" ht="27.75" hidden="false" customHeight="true" outlineLevel="0" collapsed="false">
      <c r="A63" s="43" t="s">
        <v>260</v>
      </c>
      <c r="B63" s="43"/>
      <c r="C63" s="43"/>
    </row>
    <row r="65" customFormat="false" ht="15" hidden="false" customHeight="false" outlineLevel="0" collapsed="false">
      <c r="A65" s="37" t="s">
        <v>261</v>
      </c>
      <c r="B65" s="37"/>
      <c r="C65" s="37"/>
      <c r="D65" s="38"/>
      <c r="E65" s="38"/>
      <c r="F65" s="38"/>
      <c r="G65" s="38"/>
      <c r="H65" s="38"/>
    </row>
    <row r="66" customFormat="false" ht="15" hidden="false" customHeight="false" outlineLevel="0" collapsed="false">
      <c r="A66" s="39" t="s">
        <v>262</v>
      </c>
      <c r="B66" s="40" t="s">
        <v>194</v>
      </c>
      <c r="C66" s="40" t="s">
        <v>70</v>
      </c>
      <c r="E66" s="41" t="n">
        <v>4</v>
      </c>
      <c r="F66" s="41" t="n">
        <f aca="false">0+(B68&lt;&gt;"")+(B69&lt;&gt;"")</f>
        <v>0</v>
      </c>
      <c r="G66" s="41" t="n">
        <v>2</v>
      </c>
      <c r="H66" s="15" t="str">
        <f aca="false">IF(F66=G66,"Done",IF(F66&gt;0,"In progress","Not yet"))</f>
        <v>Not yet</v>
      </c>
    </row>
    <row r="67" customFormat="false" ht="30" hidden="false" customHeight="true" outlineLevel="0" collapsed="false">
      <c r="A67" s="35" t="s">
        <v>263</v>
      </c>
      <c r="B67" s="35"/>
      <c r="C67" s="35"/>
    </row>
    <row r="68" customFormat="false" ht="15" hidden="false" customHeight="false" outlineLevel="0" collapsed="false">
      <c r="A68" s="6" t="s">
        <v>264</v>
      </c>
      <c r="B68" s="9"/>
      <c r="C68" s="42" t="s">
        <v>265</v>
      </c>
    </row>
    <row r="69" customFormat="false" ht="15" hidden="false" customHeight="false" outlineLevel="0" collapsed="false">
      <c r="A69" s="6" t="s">
        <v>266</v>
      </c>
      <c r="B69" s="9"/>
      <c r="C69" s="42" t="s">
        <v>267</v>
      </c>
    </row>
    <row r="70" customFormat="false" ht="15" hidden="false" customHeight="false" outlineLevel="0" collapsed="false">
      <c r="A70" s="45" t="s">
        <v>268</v>
      </c>
      <c r="B70" s="46" t="str">
        <f aca="false">IF(OR(B69="",B68=""),"not yet",IF(B68=0,"none",B69/B68))</f>
        <v>not yet</v>
      </c>
    </row>
    <row r="71" customFormat="false" ht="27.75" hidden="false" customHeight="true" outlineLevel="0" collapsed="false">
      <c r="A71" s="43" t="s">
        <v>269</v>
      </c>
      <c r="B71" s="43"/>
      <c r="C71" s="43"/>
    </row>
    <row r="73" customFormat="false" ht="15" hidden="false" customHeight="false" outlineLevel="0" collapsed="false">
      <c r="A73" s="37" t="s">
        <v>270</v>
      </c>
      <c r="B73" s="37"/>
      <c r="C73" s="37"/>
      <c r="D73" s="38"/>
      <c r="E73" s="38"/>
      <c r="F73" s="38"/>
      <c r="G73" s="38"/>
      <c r="H73" s="38"/>
    </row>
    <row r="74" customFormat="false" ht="15" hidden="false" customHeight="false" outlineLevel="0" collapsed="false">
      <c r="A74" s="39" t="s">
        <v>271</v>
      </c>
      <c r="B74" s="40" t="s">
        <v>244</v>
      </c>
      <c r="C74" s="40" t="s">
        <v>70</v>
      </c>
      <c r="E74" s="41" t="n">
        <v>5</v>
      </c>
      <c r="F74" s="41" t="n">
        <f aca="false">0+(B76="Y")+(B77="Y")+(B78="Y")+(B79="Y")</f>
        <v>0</v>
      </c>
      <c r="G74" s="41" t="n">
        <v>4</v>
      </c>
      <c r="H74" s="15" t="str">
        <f aca="false">IF(F74=G74,"Done",IF(F74&gt;0,"In progress","Not yet"))</f>
        <v>Not yet</v>
      </c>
    </row>
    <row r="75" customFormat="false" ht="30" hidden="false" customHeight="true" outlineLevel="0" collapsed="false">
      <c r="A75" s="35" t="s">
        <v>272</v>
      </c>
      <c r="B75" s="35"/>
      <c r="C75" s="35"/>
    </row>
    <row r="76" customFormat="false" ht="15" hidden="false" customHeight="false" outlineLevel="0" collapsed="false">
      <c r="A76" s="6" t="s">
        <v>273</v>
      </c>
      <c r="B76" s="44"/>
      <c r="C76" s="22" t="s">
        <v>237</v>
      </c>
    </row>
    <row r="77" customFormat="false" ht="15" hidden="false" customHeight="false" outlineLevel="0" collapsed="false">
      <c r="A77" s="6" t="s">
        <v>274</v>
      </c>
      <c r="B77" s="44"/>
      <c r="C77" s="22" t="s">
        <v>237</v>
      </c>
    </row>
    <row r="78" customFormat="false" ht="15" hidden="false" customHeight="false" outlineLevel="0" collapsed="false">
      <c r="A78" s="6" t="s">
        <v>275</v>
      </c>
      <c r="B78" s="44"/>
      <c r="C78" s="22" t="s">
        <v>237</v>
      </c>
    </row>
    <row r="79" customFormat="false" ht="15" hidden="false" customHeight="false" outlineLevel="0" collapsed="false">
      <c r="A79" s="6" t="s">
        <v>276</v>
      </c>
      <c r="B79" s="44"/>
      <c r="C79" s="22" t="s">
        <v>237</v>
      </c>
    </row>
    <row r="80" customFormat="false" ht="27.75" hidden="false" customHeight="true" outlineLevel="0" collapsed="false">
      <c r="A80" s="43" t="s">
        <v>277</v>
      </c>
      <c r="B80" s="43"/>
      <c r="C80" s="43"/>
    </row>
  </sheetData>
  <mergeCells count="27">
    <mergeCell ref="A1:H1"/>
    <mergeCell ref="A2:H2"/>
    <mergeCell ref="A3:H3"/>
    <mergeCell ref="E10:H10"/>
    <mergeCell ref="A12:C12"/>
    <mergeCell ref="A14:C14"/>
    <mergeCell ref="A17:C17"/>
    <mergeCell ref="A20:C20"/>
    <mergeCell ref="A23:C23"/>
    <mergeCell ref="A25:C25"/>
    <mergeCell ref="A27:C27"/>
    <mergeCell ref="A30:C30"/>
    <mergeCell ref="A33:C33"/>
    <mergeCell ref="A38:C38"/>
    <mergeCell ref="A40:C40"/>
    <mergeCell ref="A42:C42"/>
    <mergeCell ref="A48:C48"/>
    <mergeCell ref="A51:C51"/>
    <mergeCell ref="A57:C57"/>
    <mergeCell ref="A60:C60"/>
    <mergeCell ref="A63:C63"/>
    <mergeCell ref="A65:C65"/>
    <mergeCell ref="A67:C67"/>
    <mergeCell ref="A71:C71"/>
    <mergeCell ref="A73:C73"/>
    <mergeCell ref="A75:C75"/>
    <mergeCell ref="A80:C80"/>
  </mergeCells>
  <conditionalFormatting sqref="H1:H82">
    <cfRule type="cellIs" priority="2" operator="equal" aboveAverage="0" equalAverage="0" bottom="0" percent="0" rank="0" text="" dxfId="1">
      <formula>"Done"</formula>
    </cfRule>
    <cfRule type="cellIs" priority="3" operator="equal" aboveAverage="0" equalAverage="0" bottom="0" percent="0" rank="0" text="" dxfId="2">
      <formula>"In progress"</formula>
    </cfRule>
  </conditionalFormatting>
  <dataValidations count="5">
    <dataValidation allowBlank="true" errorStyle="stop" operator="between" showDropDown="false" showErrorMessage="false" showInputMessage="false" sqref="B15 B20 B22:B26 B29:B36 B38:B61 B63:B65 B70:B72 B74:B83 B91:B94" type="list">
      <formula1>"Y"</formula1>
      <formula2>0</formula2>
    </dataValidation>
    <dataValidation allowBlank="true" errorStyle="stop" operator="between" showDropDown="false" showErrorMessage="false" showInputMessage="false" sqref="B21" type="list">
      <formula1>"Reveal a problem,A sample or a trial,One step of a bigger process"</formula1>
      <formula2>0</formula2>
    </dataValidation>
    <dataValidation allowBlank="true" errorStyle="stop" operator="between" showDropDown="false" showErrorMessage="false" showInputMessage="false" sqref="B28" type="list">
      <formula1>"Software or a tool,Information: a guide; a video; a list,A service done for them,A physical thing"</formula1>
      <formula2>0</formula2>
    </dataValidation>
    <dataValidation allowBlank="true" errorStyle="stop" operator="between" showDropDown="false" showErrorMessage="false" showInputMessage="false" sqref="B37" type="list">
      <formula1>"Name one,Name two,Name three"</formula1>
      <formula2>0</formula2>
    </dataValidation>
    <dataValidation allowBlank="true" errorStyle="stop" operator="between" showDropDown="false" showErrorMessage="false" showInputMessage="false" sqref="B62" type="list">
      <formula1>"Only so many spots,A deadline,A bonus that goes away,None yet; I will add 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40"/>
    <col collapsed="false" customWidth="true" hidden="false" outlineLevel="0" max="3" min="3" style="0" width="46"/>
    <col collapsed="false" customWidth="true" hidden="false" outlineLevel="0" max="4" min="4" style="0" width="3"/>
    <col collapsed="false" customWidth="true" hidden="false" outlineLevel="0" max="7" min="5" style="0" width="7"/>
    <col collapsed="false" customWidth="true" hidden="false" outlineLevel="0" max="8" min="8" style="0" width="13"/>
  </cols>
  <sheetData>
    <row r="1" customFormat="false" ht="25.5" hidden="false" customHeight="true" outlineLevel="0" collapsed="false">
      <c r="A1" s="1" t="s">
        <v>278</v>
      </c>
      <c r="B1" s="1"/>
      <c r="C1" s="1"/>
      <c r="D1" s="1"/>
      <c r="E1" s="1"/>
      <c r="F1" s="1"/>
      <c r="G1" s="1"/>
      <c r="H1" s="1"/>
    </row>
    <row r="2" customFormat="false" ht="30" hidden="false" customHeight="true" outlineLevel="0" collapsed="false">
      <c r="A2" s="2" t="s">
        <v>279</v>
      </c>
      <c r="B2" s="2"/>
      <c r="C2" s="2"/>
      <c r="D2" s="2"/>
      <c r="E2" s="2"/>
      <c r="F2" s="2"/>
      <c r="G2" s="2"/>
      <c r="H2" s="2"/>
    </row>
    <row r="3" customFormat="false" ht="30" hidden="false" customHeight="true" outlineLevel="0" collapsed="false">
      <c r="A3" s="3" t="s">
        <v>2</v>
      </c>
      <c r="B3" s="3"/>
      <c r="C3" s="3"/>
      <c r="D3" s="3"/>
      <c r="E3" s="3"/>
      <c r="F3" s="3"/>
      <c r="G3" s="3"/>
      <c r="H3" s="3"/>
    </row>
    <row r="4" customFormat="false" ht="30" hidden="false" customHeight="true" outlineLevel="0" collapsed="false">
      <c r="A4" s="4" t="s">
        <v>181</v>
      </c>
      <c r="B4" s="4" t="s">
        <v>182</v>
      </c>
      <c r="C4" s="4" t="s">
        <v>51</v>
      </c>
      <c r="D4" s="4"/>
      <c r="E4" s="4" t="s">
        <v>181</v>
      </c>
      <c r="F4" s="4" t="s">
        <v>183</v>
      </c>
      <c r="G4" s="4" t="s">
        <v>51</v>
      </c>
      <c r="H4" s="4" t="s">
        <v>184</v>
      </c>
    </row>
    <row r="5" customFormat="false" ht="15" hidden="false" customHeight="false" outlineLevel="0" collapsed="false">
      <c r="A5" s="16" t="s">
        <v>185</v>
      </c>
      <c r="B5" s="18" t="n">
        <f aca="false">COUNTIFS($E$1:$E$600,1,$H$1:$H$600,"Done")</f>
        <v>0</v>
      </c>
      <c r="C5" s="17" t="n">
        <f aca="false">COUNTIF($E$1:$E$600,1)</f>
        <v>2</v>
      </c>
    </row>
    <row r="6" customFormat="false" ht="15" hidden="false" customHeight="false" outlineLevel="0" collapsed="false">
      <c r="A6" s="16" t="s">
        <v>186</v>
      </c>
      <c r="B6" s="18" t="n">
        <f aca="false">COUNTIFS($E$1:$E$600,2,$H$1:$H$600,"Done")</f>
        <v>0</v>
      </c>
      <c r="C6" s="17" t="n">
        <f aca="false">COUNTIF($E$1:$E$600,2)</f>
        <v>3</v>
      </c>
    </row>
    <row r="7" customFormat="false" ht="15" hidden="false" customHeight="false" outlineLevel="0" collapsed="false">
      <c r="A7" s="16" t="s">
        <v>187</v>
      </c>
      <c r="B7" s="18" t="n">
        <f aca="false">COUNTIFS($E$1:$E$600,3,$H$1:$H$600,"Done")</f>
        <v>0</v>
      </c>
      <c r="C7" s="17" t="n">
        <f aca="false">COUNTIF($E$1:$E$600,3)</f>
        <v>3</v>
      </c>
    </row>
    <row r="8" customFormat="false" ht="15" hidden="false" customHeight="false" outlineLevel="0" collapsed="false">
      <c r="A8" s="16" t="s">
        <v>188</v>
      </c>
      <c r="B8" s="18" t="n">
        <f aca="false">COUNTIFS($E$1:$E$600,4,$H$1:$H$600,"Done")</f>
        <v>0</v>
      </c>
      <c r="C8" s="17" t="n">
        <f aca="false">COUNTIF($E$1:$E$600,4)</f>
        <v>1</v>
      </c>
    </row>
    <row r="9" customFormat="false" ht="15" hidden="false" customHeight="false" outlineLevel="0" collapsed="false">
      <c r="A9" s="16" t="s">
        <v>189</v>
      </c>
      <c r="B9" s="18" t="n">
        <f aca="false">COUNTIFS($E$1:$E$600,5,$H$1:$H$600,"Done")</f>
        <v>0</v>
      </c>
      <c r="C9" s="17" t="n">
        <f aca="false">COUNTIF($E$1:$E$600,5)</f>
        <v>1</v>
      </c>
    </row>
    <row r="10" customFormat="false" ht="39.75" hidden="false" customHeight="true" outlineLevel="0" collapsed="false">
      <c r="A10" s="11" t="s">
        <v>190</v>
      </c>
      <c r="B10" s="18" t="n">
        <f aca="false">SUM(B5:B9)</f>
        <v>0</v>
      </c>
      <c r="C10" s="17" t="n">
        <f aca="false">SUM(C5:C9)</f>
        <v>10</v>
      </c>
      <c r="E10" s="23" t="s">
        <v>191</v>
      </c>
      <c r="F10" s="23"/>
      <c r="G10" s="23"/>
      <c r="H10" s="23"/>
    </row>
    <row r="12" customFormat="false" ht="15" hidden="false" customHeight="false" outlineLevel="0" collapsed="false">
      <c r="A12" s="37" t="s">
        <v>192</v>
      </c>
      <c r="B12" s="37"/>
      <c r="C12" s="37"/>
      <c r="D12" s="38"/>
      <c r="E12" s="38"/>
      <c r="F12" s="38"/>
      <c r="G12" s="38"/>
      <c r="H12" s="38"/>
    </row>
    <row r="13" customFormat="false" ht="15" hidden="false" customHeight="false" outlineLevel="0" collapsed="false">
      <c r="A13" s="39" t="s">
        <v>280</v>
      </c>
      <c r="B13" s="40" t="s">
        <v>194</v>
      </c>
      <c r="C13" s="40" t="s">
        <v>71</v>
      </c>
      <c r="E13" s="41" t="n">
        <v>1</v>
      </c>
      <c r="F13" s="41" t="n">
        <f aca="false">0+(B15="Y")</f>
        <v>0</v>
      </c>
      <c r="G13" s="41" t="n">
        <v>1</v>
      </c>
      <c r="H13" s="15" t="str">
        <f aca="false">IF(F13=G13,"Done",IF(F13&gt;0,"In progress","Not yet"))</f>
        <v>Not yet</v>
      </c>
    </row>
    <row r="14" customFormat="false" ht="45" hidden="false" customHeight="true" outlineLevel="0" collapsed="false">
      <c r="A14" s="35" t="s">
        <v>281</v>
      </c>
      <c r="B14" s="35"/>
      <c r="C14" s="35"/>
    </row>
    <row r="15" customFormat="false" ht="15" hidden="false" customHeight="false" outlineLevel="0" collapsed="false">
      <c r="A15" s="16" t="s">
        <v>282</v>
      </c>
      <c r="B15" s="44"/>
    </row>
    <row r="16" customFormat="false" ht="27.75" hidden="false" customHeight="true" outlineLevel="0" collapsed="false">
      <c r="A16" s="43" t="s">
        <v>283</v>
      </c>
      <c r="B16" s="43"/>
      <c r="C16" s="43"/>
    </row>
    <row r="18" customFormat="false" ht="15" hidden="false" customHeight="false" outlineLevel="0" collapsed="false">
      <c r="A18" s="39" t="s">
        <v>284</v>
      </c>
      <c r="B18" s="40" t="s">
        <v>219</v>
      </c>
      <c r="C18" s="40" t="s">
        <v>285</v>
      </c>
      <c r="E18" s="41" t="n">
        <v>1</v>
      </c>
      <c r="F18" s="41" t="n">
        <f aca="false">0+(B20&lt;&gt;"")+(B21&lt;&gt;"")</f>
        <v>0</v>
      </c>
      <c r="G18" s="41" t="n">
        <v>2</v>
      </c>
      <c r="H18" s="15" t="str">
        <f aca="false">IF(F18=G18,"Done",IF(F18&gt;0,"In progress","Not yet"))</f>
        <v>Not yet</v>
      </c>
    </row>
    <row r="19" customFormat="false" ht="30" hidden="false" customHeight="true" outlineLevel="0" collapsed="false">
      <c r="A19" s="35" t="s">
        <v>286</v>
      </c>
      <c r="B19" s="35"/>
      <c r="C19" s="35"/>
    </row>
    <row r="20" customFormat="false" ht="15" hidden="false" customHeight="false" outlineLevel="0" collapsed="false">
      <c r="A20" s="6" t="s">
        <v>287</v>
      </c>
      <c r="B20" s="7"/>
      <c r="C20" s="42" t="s">
        <v>288</v>
      </c>
    </row>
    <row r="21" customFormat="false" ht="45" hidden="false" customHeight="true" outlineLevel="0" collapsed="false">
      <c r="A21" s="6" t="s">
        <v>289</v>
      </c>
      <c r="B21" s="7"/>
      <c r="C21" s="42" t="s">
        <v>290</v>
      </c>
    </row>
    <row r="22" customFormat="false" ht="27.75" hidden="false" customHeight="true" outlineLevel="0" collapsed="false">
      <c r="A22" s="43" t="s">
        <v>291</v>
      </c>
      <c r="B22" s="43"/>
      <c r="C22" s="43"/>
    </row>
    <row r="24" customFormat="false" ht="15" hidden="false" customHeight="false" outlineLevel="0" collapsed="false">
      <c r="A24" s="37" t="s">
        <v>209</v>
      </c>
      <c r="B24" s="37"/>
      <c r="C24" s="37"/>
      <c r="D24" s="38"/>
      <c r="E24" s="38"/>
      <c r="F24" s="38"/>
      <c r="G24" s="38"/>
      <c r="H24" s="38"/>
    </row>
    <row r="25" customFormat="false" ht="15" hidden="false" customHeight="false" outlineLevel="0" collapsed="false">
      <c r="A25" s="39" t="s">
        <v>292</v>
      </c>
      <c r="B25" s="40" t="s">
        <v>244</v>
      </c>
      <c r="C25" s="40" t="s">
        <v>293</v>
      </c>
      <c r="E25" s="41" t="n">
        <v>2</v>
      </c>
      <c r="F25" s="41" t="n">
        <f aca="false">0+(B27&lt;&gt;"")+(B28&lt;&gt;"")+(B29&lt;&gt;"")</f>
        <v>0</v>
      </c>
      <c r="G25" s="41" t="n">
        <v>3</v>
      </c>
      <c r="H25" s="15" t="str">
        <f aca="false">IF(F25=G25,"Done",IF(F25&gt;0,"In progress","Not yet"))</f>
        <v>Not yet</v>
      </c>
    </row>
    <row r="26" customFormat="false" ht="30" hidden="false" customHeight="true" outlineLevel="0" collapsed="false">
      <c r="A26" s="35" t="s">
        <v>294</v>
      </c>
      <c r="B26" s="35"/>
      <c r="C26" s="35"/>
    </row>
    <row r="27" customFormat="false" ht="15" hidden="false" customHeight="false" outlineLevel="0" collapsed="false">
      <c r="A27" s="6" t="s">
        <v>295</v>
      </c>
      <c r="B27" s="9"/>
      <c r="C27" s="42" t="s">
        <v>296</v>
      </c>
    </row>
    <row r="28" customFormat="false" ht="15" hidden="false" customHeight="false" outlineLevel="0" collapsed="false">
      <c r="A28" s="6" t="s">
        <v>297</v>
      </c>
      <c r="B28" s="9"/>
      <c r="C28" s="42" t="s">
        <v>298</v>
      </c>
    </row>
    <row r="29" customFormat="false" ht="15" hidden="false" customHeight="false" outlineLevel="0" collapsed="false">
      <c r="A29" s="6" t="s">
        <v>299</v>
      </c>
      <c r="B29" s="9"/>
      <c r="C29" s="42" t="s">
        <v>300</v>
      </c>
    </row>
    <row r="30" customFormat="false" ht="15" hidden="false" customHeight="false" outlineLevel="0" collapsed="false">
      <c r="A30" s="45" t="s">
        <v>301</v>
      </c>
      <c r="B30" s="47" t="str">
        <f aca="false">IF(COUNT(B27,B28,B29)&lt;3,"not yet",SUM(B27,B28,B29))</f>
        <v>not yet</v>
      </c>
    </row>
    <row r="31" customFormat="false" ht="27.75" hidden="false" customHeight="true" outlineLevel="0" collapsed="false">
      <c r="A31" s="43" t="s">
        <v>302</v>
      </c>
      <c r="B31" s="43"/>
      <c r="C31" s="43"/>
    </row>
    <row r="33" customFormat="false" ht="15" hidden="false" customHeight="false" outlineLevel="0" collapsed="false">
      <c r="A33" s="39" t="s">
        <v>303</v>
      </c>
      <c r="B33" s="40" t="s">
        <v>194</v>
      </c>
      <c r="C33" s="40" t="s">
        <v>304</v>
      </c>
      <c r="E33" s="41" t="n">
        <v>2</v>
      </c>
      <c r="F33" s="41" t="n">
        <f aca="false">0+(B35&lt;&gt;"")+(B36&lt;&gt;"")</f>
        <v>0</v>
      </c>
      <c r="G33" s="41" t="n">
        <v>2</v>
      </c>
      <c r="H33" s="15" t="str">
        <f aca="false">IF(F33=G33,"Done",IF(F33&gt;0,"In progress","Not yet"))</f>
        <v>Not yet</v>
      </c>
    </row>
    <row r="34" customFormat="false" ht="30" hidden="false" customHeight="true" outlineLevel="0" collapsed="false">
      <c r="A34" s="35" t="s">
        <v>305</v>
      </c>
      <c r="B34" s="35"/>
      <c r="C34" s="35"/>
    </row>
    <row r="35" customFormat="false" ht="22.35" hidden="false" customHeight="false" outlineLevel="0" collapsed="false">
      <c r="A35" s="6" t="s">
        <v>306</v>
      </c>
      <c r="B35" s="7"/>
      <c r="C35" s="42" t="s">
        <v>307</v>
      </c>
    </row>
    <row r="36" customFormat="false" ht="22.35" hidden="false" customHeight="false" outlineLevel="0" collapsed="false">
      <c r="A36" s="6" t="s">
        <v>308</v>
      </c>
      <c r="B36" s="7"/>
      <c r="C36" s="42" t="s">
        <v>309</v>
      </c>
    </row>
    <row r="37" customFormat="false" ht="27.75" hidden="false" customHeight="true" outlineLevel="0" collapsed="false">
      <c r="A37" s="43" t="s">
        <v>310</v>
      </c>
      <c r="B37" s="43"/>
      <c r="C37" s="43"/>
    </row>
    <row r="39" customFormat="false" ht="15" hidden="false" customHeight="false" outlineLevel="0" collapsed="false">
      <c r="A39" s="39" t="s">
        <v>311</v>
      </c>
      <c r="B39" s="40" t="s">
        <v>233</v>
      </c>
      <c r="C39" s="40" t="s">
        <v>312</v>
      </c>
      <c r="E39" s="41" t="n">
        <v>2</v>
      </c>
      <c r="F39" s="41" t="n">
        <f aca="false">0+(B41&lt;&gt;"")+(B42&lt;&gt;"")+(B43&lt;&gt;"")+(B44&lt;&gt;"")</f>
        <v>0</v>
      </c>
      <c r="G39" s="41" t="n">
        <v>4</v>
      </c>
      <c r="H39" s="15" t="str">
        <f aca="false">IF(F39=G39,"Done",IF(F39&gt;0,"In progress","Not yet"))</f>
        <v>Not yet</v>
      </c>
    </row>
    <row r="40" customFormat="false" ht="45" hidden="false" customHeight="true" outlineLevel="0" collapsed="false">
      <c r="A40" s="35" t="s">
        <v>313</v>
      </c>
      <c r="B40" s="35"/>
      <c r="C40" s="35"/>
    </row>
    <row r="41" customFormat="false" ht="15" hidden="false" customHeight="false" outlineLevel="0" collapsed="false">
      <c r="A41" s="6" t="s">
        <v>314</v>
      </c>
      <c r="B41" s="7"/>
      <c r="C41" s="42" t="s">
        <v>315</v>
      </c>
    </row>
    <row r="42" customFormat="false" ht="15" hidden="false" customHeight="false" outlineLevel="0" collapsed="false">
      <c r="A42" s="6" t="s">
        <v>316</v>
      </c>
      <c r="B42" s="7"/>
      <c r="C42" s="42" t="s">
        <v>317</v>
      </c>
    </row>
    <row r="43" customFormat="false" ht="15" hidden="false" customHeight="false" outlineLevel="0" collapsed="false">
      <c r="A43" s="6" t="s">
        <v>318</v>
      </c>
      <c r="B43" s="7"/>
      <c r="C43" s="42" t="s">
        <v>319</v>
      </c>
    </row>
    <row r="44" customFormat="false" ht="15" hidden="false" customHeight="false" outlineLevel="0" collapsed="false">
      <c r="A44" s="6" t="s">
        <v>320</v>
      </c>
      <c r="B44" s="7"/>
      <c r="C44" s="42" t="s">
        <v>321</v>
      </c>
    </row>
    <row r="45" customFormat="false" ht="45" hidden="false" customHeight="true" outlineLevel="0" collapsed="false">
      <c r="A45" s="45" t="s">
        <v>322</v>
      </c>
      <c r="B45" s="48" t="str">
        <f aca="false">IF(COUNTA(B41,B42,B43,B44)&lt;4,"fill every blank and it reads back here","I help "&amp;B41&amp;" get "&amp;B42&amp;" in "&amp;B43&amp;" without "&amp;B44&amp;". Do you know anyone who would want that?")</f>
        <v>fill every blank and it reads back here</v>
      </c>
    </row>
    <row r="46" customFormat="false" ht="27.75" hidden="false" customHeight="true" outlineLevel="0" collapsed="false">
      <c r="A46" s="43" t="s">
        <v>323</v>
      </c>
      <c r="B46" s="43"/>
      <c r="C46" s="43"/>
    </row>
    <row r="48" customFormat="false" ht="15" hidden="false" customHeight="false" outlineLevel="0" collapsed="false">
      <c r="A48" s="37" t="s">
        <v>231</v>
      </c>
      <c r="B48" s="37"/>
      <c r="C48" s="37"/>
      <c r="D48" s="38"/>
      <c r="E48" s="38"/>
      <c r="F48" s="38"/>
      <c r="G48" s="38"/>
      <c r="H48" s="38"/>
    </row>
    <row r="49" customFormat="false" ht="15" hidden="false" customHeight="false" outlineLevel="0" collapsed="false">
      <c r="A49" s="39" t="s">
        <v>90</v>
      </c>
      <c r="B49" s="40" t="s">
        <v>324</v>
      </c>
      <c r="C49" s="40" t="s">
        <v>325</v>
      </c>
      <c r="E49" s="41" t="n">
        <v>3</v>
      </c>
      <c r="F49" s="41" t="n">
        <f aca="false">0+(B51="Y")+(B52="Y")+(B53="Y")+(B54="Y")+(B55="Y")+(B56="Y")</f>
        <v>0</v>
      </c>
      <c r="G49" s="41" t="n">
        <v>6</v>
      </c>
      <c r="H49" s="15" t="str">
        <f aca="false">IF(F49=G49,"Done",IF(F49&gt;0,"In progress","Not yet"))</f>
        <v>Not yet</v>
      </c>
    </row>
    <row r="50" customFormat="false" ht="30" hidden="false" customHeight="true" outlineLevel="0" collapsed="false">
      <c r="A50" s="35" t="s">
        <v>326</v>
      </c>
      <c r="B50" s="35"/>
      <c r="C50" s="35"/>
    </row>
    <row r="51" customFormat="false" ht="15" hidden="false" customHeight="false" outlineLevel="0" collapsed="false">
      <c r="A51" s="6" t="s">
        <v>327</v>
      </c>
      <c r="B51" s="44"/>
      <c r="C51" s="22" t="s">
        <v>237</v>
      </c>
    </row>
    <row r="52" customFormat="false" ht="15" hidden="false" customHeight="false" outlineLevel="0" collapsed="false">
      <c r="A52" s="6" t="s">
        <v>328</v>
      </c>
      <c r="B52" s="44"/>
      <c r="C52" s="22" t="s">
        <v>237</v>
      </c>
    </row>
    <row r="53" customFormat="false" ht="15" hidden="false" customHeight="false" outlineLevel="0" collapsed="false">
      <c r="A53" s="6" t="s">
        <v>329</v>
      </c>
      <c r="B53" s="44"/>
      <c r="C53" s="22" t="s">
        <v>237</v>
      </c>
    </row>
    <row r="54" customFormat="false" ht="15" hidden="false" customHeight="false" outlineLevel="0" collapsed="false">
      <c r="A54" s="6" t="s">
        <v>330</v>
      </c>
      <c r="B54" s="44"/>
      <c r="C54" s="22" t="s">
        <v>237</v>
      </c>
    </row>
    <row r="55" customFormat="false" ht="15" hidden="false" customHeight="false" outlineLevel="0" collapsed="false">
      <c r="A55" s="6" t="s">
        <v>331</v>
      </c>
      <c r="B55" s="44"/>
      <c r="C55" s="22" t="s">
        <v>237</v>
      </c>
    </row>
    <row r="56" customFormat="false" ht="15" hidden="false" customHeight="false" outlineLevel="0" collapsed="false">
      <c r="A56" s="6" t="s">
        <v>332</v>
      </c>
      <c r="B56" s="44"/>
      <c r="C56" s="22" t="s">
        <v>237</v>
      </c>
    </row>
    <row r="57" customFormat="false" ht="27.75" hidden="false" customHeight="true" outlineLevel="0" collapsed="false">
      <c r="A57" s="43" t="s">
        <v>333</v>
      </c>
      <c r="B57" s="43"/>
      <c r="C57" s="43"/>
    </row>
    <row r="59" customFormat="false" ht="15" hidden="false" customHeight="false" outlineLevel="0" collapsed="false">
      <c r="A59" s="39" t="s">
        <v>334</v>
      </c>
      <c r="B59" s="40" t="s">
        <v>335</v>
      </c>
      <c r="C59" s="40" t="s">
        <v>336</v>
      </c>
      <c r="E59" s="41" t="n">
        <v>3</v>
      </c>
      <c r="F59" s="41" t="n">
        <f aca="false">0+(B61="Y")+(B62="Y")+(B63="Y")+(B64="Y")+(B65="Y")</f>
        <v>0</v>
      </c>
      <c r="G59" s="41" t="n">
        <v>5</v>
      </c>
      <c r="H59" s="15" t="str">
        <f aca="false">IF(F59=G59,"Done",IF(F59&gt;0,"In progress","Not yet"))</f>
        <v>Not yet</v>
      </c>
    </row>
    <row r="60" customFormat="false" ht="45" hidden="false" customHeight="true" outlineLevel="0" collapsed="false">
      <c r="A60" s="35" t="s">
        <v>337</v>
      </c>
      <c r="B60" s="35"/>
      <c r="C60" s="35"/>
    </row>
    <row r="61" customFormat="false" ht="15" hidden="false" customHeight="false" outlineLevel="0" collapsed="false">
      <c r="A61" s="6" t="s">
        <v>338</v>
      </c>
      <c r="B61" s="44"/>
      <c r="C61" s="22" t="s">
        <v>237</v>
      </c>
    </row>
    <row r="62" customFormat="false" ht="15" hidden="false" customHeight="false" outlineLevel="0" collapsed="false">
      <c r="A62" s="6" t="s">
        <v>339</v>
      </c>
      <c r="B62" s="44"/>
      <c r="C62" s="22" t="s">
        <v>237</v>
      </c>
    </row>
    <row r="63" customFormat="false" ht="15" hidden="false" customHeight="false" outlineLevel="0" collapsed="false">
      <c r="A63" s="6" t="s">
        <v>340</v>
      </c>
      <c r="B63" s="44"/>
      <c r="C63" s="22" t="s">
        <v>237</v>
      </c>
    </row>
    <row r="64" customFormat="false" ht="15" hidden="false" customHeight="false" outlineLevel="0" collapsed="false">
      <c r="A64" s="6" t="s">
        <v>341</v>
      </c>
      <c r="B64" s="44"/>
      <c r="C64" s="22" t="s">
        <v>237</v>
      </c>
    </row>
    <row r="65" customFormat="false" ht="15" hidden="false" customHeight="false" outlineLevel="0" collapsed="false">
      <c r="A65" s="6" t="s">
        <v>342</v>
      </c>
      <c r="B65" s="44"/>
      <c r="C65" s="22" t="s">
        <v>237</v>
      </c>
    </row>
    <row r="66" customFormat="false" ht="27.75" hidden="false" customHeight="true" outlineLevel="0" collapsed="false">
      <c r="A66" s="43" t="s">
        <v>277</v>
      </c>
      <c r="B66" s="43"/>
      <c r="C66" s="43"/>
    </row>
    <row r="68" customFormat="false" ht="15" hidden="false" customHeight="false" outlineLevel="0" collapsed="false">
      <c r="A68" s="39" t="s">
        <v>343</v>
      </c>
      <c r="B68" s="40" t="s">
        <v>335</v>
      </c>
      <c r="C68" s="40" t="s">
        <v>344</v>
      </c>
      <c r="E68" s="41" t="n">
        <v>3</v>
      </c>
      <c r="F68" s="41" t="n">
        <f aca="false">0+(B70="Y")+(B71="Y")+(B72="Y")</f>
        <v>0</v>
      </c>
      <c r="G68" s="41" t="n">
        <v>3</v>
      </c>
      <c r="H68" s="15" t="str">
        <f aca="false">IF(F68=G68,"Done",IF(F68&gt;0,"In progress","Not yet"))</f>
        <v>Not yet</v>
      </c>
    </row>
    <row r="69" customFormat="false" ht="30" hidden="false" customHeight="true" outlineLevel="0" collapsed="false">
      <c r="A69" s="35" t="s">
        <v>345</v>
      </c>
      <c r="B69" s="35"/>
      <c r="C69" s="35"/>
    </row>
    <row r="70" customFormat="false" ht="15" hidden="false" customHeight="false" outlineLevel="0" collapsed="false">
      <c r="A70" s="6" t="s">
        <v>346</v>
      </c>
      <c r="B70" s="44"/>
      <c r="C70" s="22" t="s">
        <v>237</v>
      </c>
    </row>
    <row r="71" customFormat="false" ht="15" hidden="false" customHeight="false" outlineLevel="0" collapsed="false">
      <c r="A71" s="6" t="s">
        <v>347</v>
      </c>
      <c r="B71" s="44"/>
      <c r="C71" s="22" t="s">
        <v>237</v>
      </c>
    </row>
    <row r="72" customFormat="false" ht="15" hidden="false" customHeight="false" outlineLevel="0" collapsed="false">
      <c r="A72" s="6" t="s">
        <v>348</v>
      </c>
      <c r="B72" s="44"/>
      <c r="C72" s="22" t="s">
        <v>237</v>
      </c>
    </row>
    <row r="73" customFormat="false" ht="27.75" hidden="false" customHeight="true" outlineLevel="0" collapsed="false">
      <c r="A73" s="43" t="s">
        <v>277</v>
      </c>
      <c r="B73" s="43"/>
      <c r="C73" s="43"/>
    </row>
    <row r="75" customFormat="false" ht="15" hidden="false" customHeight="false" outlineLevel="0" collapsed="false">
      <c r="A75" s="37" t="s">
        <v>261</v>
      </c>
      <c r="B75" s="37"/>
      <c r="C75" s="37"/>
      <c r="D75" s="38"/>
      <c r="E75" s="38"/>
      <c r="F75" s="38"/>
      <c r="G75" s="38"/>
      <c r="H75" s="38"/>
    </row>
    <row r="76" customFormat="false" ht="15" hidden="false" customHeight="false" outlineLevel="0" collapsed="false">
      <c r="A76" s="39" t="s">
        <v>349</v>
      </c>
      <c r="B76" s="40" t="s">
        <v>194</v>
      </c>
      <c r="C76" s="40" t="s">
        <v>71</v>
      </c>
      <c r="E76" s="41" t="n">
        <v>4</v>
      </c>
      <c r="F76" s="41" t="n">
        <f aca="false">0+(B78&lt;&gt;"")+(B79&lt;&gt;"")+(B80&lt;&gt;"")+(B81&lt;&gt;"")</f>
        <v>0</v>
      </c>
      <c r="G76" s="41" t="n">
        <v>4</v>
      </c>
      <c r="H76" s="15" t="str">
        <f aca="false">IF(F76=G76,"Done",IF(F76&gt;0,"In progress","Not yet"))</f>
        <v>Not yet</v>
      </c>
    </row>
    <row r="77" customFormat="false" ht="30" hidden="false" customHeight="true" outlineLevel="0" collapsed="false">
      <c r="A77" s="35" t="s">
        <v>350</v>
      </c>
      <c r="B77" s="35"/>
      <c r="C77" s="35"/>
    </row>
    <row r="78" customFormat="false" ht="15" hidden="false" customHeight="false" outlineLevel="0" collapsed="false">
      <c r="A78" s="6" t="s">
        <v>351</v>
      </c>
      <c r="B78" s="9"/>
      <c r="C78" s="42" t="s">
        <v>352</v>
      </c>
    </row>
    <row r="79" customFormat="false" ht="15" hidden="false" customHeight="false" outlineLevel="0" collapsed="false">
      <c r="A79" s="6" t="s">
        <v>353</v>
      </c>
      <c r="B79" s="9"/>
      <c r="C79" s="42" t="s">
        <v>354</v>
      </c>
    </row>
    <row r="80" customFormat="false" ht="15" hidden="false" customHeight="false" outlineLevel="0" collapsed="false">
      <c r="A80" s="6" t="s">
        <v>355</v>
      </c>
      <c r="B80" s="9"/>
      <c r="C80" s="42" t="s">
        <v>265</v>
      </c>
    </row>
    <row r="81" customFormat="false" ht="15" hidden="false" customHeight="false" outlineLevel="0" collapsed="false">
      <c r="A81" s="6" t="s">
        <v>356</v>
      </c>
      <c r="B81" s="9"/>
      <c r="C81" s="42" t="s">
        <v>357</v>
      </c>
    </row>
    <row r="82" customFormat="false" ht="15" hidden="false" customHeight="false" outlineLevel="0" collapsed="false">
      <c r="A82" s="45" t="s">
        <v>358</v>
      </c>
      <c r="B82" s="8" t="s">
        <v>359</v>
      </c>
    </row>
    <row r="83" customFormat="false" ht="15" hidden="false" customHeight="false" outlineLevel="0" collapsed="false">
      <c r="A83" s="16" t="s">
        <v>360</v>
      </c>
      <c r="B83" s="49" t="str">
        <f aca="false">IF(OR(B78="",B79=""),"not yet",IF(B78=0,"none",B79/B78))</f>
        <v>not yet</v>
      </c>
    </row>
    <row r="84" customFormat="false" ht="15" hidden="false" customHeight="false" outlineLevel="0" collapsed="false">
      <c r="A84" s="16" t="s">
        <v>361</v>
      </c>
      <c r="B84" s="49" t="str">
        <f aca="false">IF(OR(B79="",B80=""),"not yet",IF(B79=0,"none",B80/B79))</f>
        <v>not yet</v>
      </c>
    </row>
    <row r="85" customFormat="false" ht="15" hidden="false" customHeight="false" outlineLevel="0" collapsed="false">
      <c r="A85" s="16" t="s">
        <v>362</v>
      </c>
      <c r="B85" s="49" t="str">
        <f aca="false">IF(OR(B80="",B81=""),"not yet",IF(B80=0,"none",B81/B80))</f>
        <v>not yet</v>
      </c>
    </row>
    <row r="86" customFormat="false" ht="27.75" hidden="false" customHeight="true" outlineLevel="0" collapsed="false">
      <c r="A86" s="43" t="s">
        <v>363</v>
      </c>
      <c r="B86" s="43"/>
      <c r="C86" s="43"/>
    </row>
    <row r="88" customFormat="false" ht="15" hidden="false" customHeight="false" outlineLevel="0" collapsed="false">
      <c r="A88" s="37" t="s">
        <v>270</v>
      </c>
      <c r="B88" s="37"/>
      <c r="C88" s="37"/>
      <c r="D88" s="38"/>
      <c r="E88" s="38"/>
      <c r="F88" s="38"/>
      <c r="G88" s="38"/>
      <c r="H88" s="38"/>
    </row>
    <row r="89" customFormat="false" ht="15" hidden="false" customHeight="false" outlineLevel="0" collapsed="false">
      <c r="A89" s="39" t="s">
        <v>364</v>
      </c>
      <c r="B89" s="40" t="s">
        <v>244</v>
      </c>
      <c r="C89" s="40" t="s">
        <v>365</v>
      </c>
      <c r="E89" s="41" t="n">
        <v>5</v>
      </c>
      <c r="F89" s="41" t="n">
        <f aca="false">0+(B91="Y")+(B92="Y")+(B93="Y")+(B94="Y")</f>
        <v>0</v>
      </c>
      <c r="G89" s="41" t="n">
        <v>4</v>
      </c>
      <c r="H89" s="15" t="str">
        <f aca="false">IF(F89=G89,"Done",IF(F89&gt;0,"In progress","Not yet"))</f>
        <v>Not yet</v>
      </c>
    </row>
    <row r="90" customFormat="false" ht="30" hidden="false" customHeight="true" outlineLevel="0" collapsed="false">
      <c r="A90" s="35" t="s">
        <v>366</v>
      </c>
      <c r="B90" s="35"/>
      <c r="C90" s="35"/>
    </row>
    <row r="91" customFormat="false" ht="15" hidden="false" customHeight="false" outlineLevel="0" collapsed="false">
      <c r="A91" s="6" t="s">
        <v>367</v>
      </c>
      <c r="B91" s="44"/>
      <c r="C91" s="22" t="s">
        <v>237</v>
      </c>
    </row>
    <row r="92" customFormat="false" ht="15" hidden="false" customHeight="false" outlineLevel="0" collapsed="false">
      <c r="A92" s="6" t="s">
        <v>368</v>
      </c>
      <c r="B92" s="44"/>
      <c r="C92" s="22" t="s">
        <v>237</v>
      </c>
    </row>
    <row r="93" customFormat="false" ht="15" hidden="false" customHeight="false" outlineLevel="0" collapsed="false">
      <c r="A93" s="6" t="s">
        <v>369</v>
      </c>
      <c r="B93" s="44"/>
      <c r="C93" s="22" t="s">
        <v>237</v>
      </c>
    </row>
    <row r="94" customFormat="false" ht="15" hidden="false" customHeight="false" outlineLevel="0" collapsed="false">
      <c r="A94" s="6" t="s">
        <v>370</v>
      </c>
      <c r="B94" s="44"/>
      <c r="C94" s="22" t="s">
        <v>237</v>
      </c>
    </row>
    <row r="95" customFormat="false" ht="27.75" hidden="false" customHeight="true" outlineLevel="0" collapsed="false">
      <c r="A95" s="43" t="s">
        <v>277</v>
      </c>
      <c r="B95" s="43"/>
      <c r="C95" s="43"/>
    </row>
  </sheetData>
  <mergeCells count="29">
    <mergeCell ref="A1:H1"/>
    <mergeCell ref="A2:H2"/>
    <mergeCell ref="A3:H3"/>
    <mergeCell ref="E10:H10"/>
    <mergeCell ref="A12:C12"/>
    <mergeCell ref="A14:C14"/>
    <mergeCell ref="A16:C16"/>
    <mergeCell ref="A19:C19"/>
    <mergeCell ref="A22:C22"/>
    <mergeCell ref="A24:C24"/>
    <mergeCell ref="A26:C26"/>
    <mergeCell ref="A31:C31"/>
    <mergeCell ref="A34:C34"/>
    <mergeCell ref="A37:C37"/>
    <mergeCell ref="A40:C40"/>
    <mergeCell ref="A46:C46"/>
    <mergeCell ref="A48:C48"/>
    <mergeCell ref="A50:C50"/>
    <mergeCell ref="A57:C57"/>
    <mergeCell ref="A60:C60"/>
    <mergeCell ref="A66:C66"/>
    <mergeCell ref="A69:C69"/>
    <mergeCell ref="A73:C73"/>
    <mergeCell ref="A75:C75"/>
    <mergeCell ref="A77:C77"/>
    <mergeCell ref="A86:C86"/>
    <mergeCell ref="A88:C88"/>
    <mergeCell ref="A90:C90"/>
    <mergeCell ref="A95:C95"/>
  </mergeCells>
  <conditionalFormatting sqref="H1:H97">
    <cfRule type="cellIs" priority="2" operator="equal" aboveAverage="0" equalAverage="0" bottom="0" percent="0" rank="0" text="" dxfId="1">
      <formula>"Done"</formula>
    </cfRule>
    <cfRule type="cellIs" priority="3" operator="equal" aboveAverage="0" equalAverage="0" bottom="0" percent="0" rank="0" text="" dxfId="2">
      <formula>"In progress"</formula>
    </cfRule>
  </conditionalFormatting>
  <dataValidations count="2">
    <dataValidation allowBlank="true" errorStyle="stop" operator="between" showDropDown="false" showErrorMessage="false" showInputMessage="false" sqref="B15 B20 B22:B26 B28:B34 B36:B65 B70:B72 B74:B83 B91:B94" type="list">
      <formula1>"Y"</formula1>
      <formula2>0</formula2>
    </dataValidation>
    <dataValidation allowBlank="true" errorStyle="stop" operator="between" showDropDown="false" showErrorMessage="false" showInputMessage="false" sqref="B35" type="list">
      <formula1>"Text messages,Direct messages on a social platform,Email,Phone calls,In person"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40"/>
    <col collapsed="false" customWidth="true" hidden="false" outlineLevel="0" max="3" min="3" style="0" width="46"/>
    <col collapsed="false" customWidth="true" hidden="false" outlineLevel="0" max="4" min="4" style="0" width="3"/>
    <col collapsed="false" customWidth="true" hidden="false" outlineLevel="0" max="7" min="5" style="0" width="7"/>
    <col collapsed="false" customWidth="true" hidden="false" outlineLevel="0" max="8" min="8" style="0" width="13"/>
  </cols>
  <sheetData>
    <row r="1" customFormat="false" ht="25.5" hidden="false" customHeight="true" outlineLevel="0" collapsed="false">
      <c r="A1" s="1" t="s">
        <v>371</v>
      </c>
      <c r="B1" s="1"/>
      <c r="C1" s="1"/>
      <c r="D1" s="1"/>
      <c r="E1" s="1"/>
      <c r="F1" s="1"/>
      <c r="G1" s="1"/>
      <c r="H1" s="1"/>
    </row>
    <row r="2" customFormat="false" ht="30" hidden="false" customHeight="true" outlineLevel="0" collapsed="false">
      <c r="A2" s="2" t="s">
        <v>372</v>
      </c>
      <c r="B2" s="2"/>
      <c r="C2" s="2"/>
      <c r="D2" s="2"/>
      <c r="E2" s="2"/>
      <c r="F2" s="2"/>
      <c r="G2" s="2"/>
      <c r="H2" s="2"/>
    </row>
    <row r="3" customFormat="false" ht="30" hidden="false" customHeight="true" outlineLevel="0" collapsed="false">
      <c r="A3" s="3" t="s">
        <v>2</v>
      </c>
      <c r="B3" s="3"/>
      <c r="C3" s="3"/>
      <c r="D3" s="3"/>
      <c r="E3" s="3"/>
      <c r="F3" s="3"/>
      <c r="G3" s="3"/>
      <c r="H3" s="3"/>
    </row>
    <row r="4" customFormat="false" ht="30" hidden="false" customHeight="true" outlineLevel="0" collapsed="false">
      <c r="A4" s="4" t="s">
        <v>181</v>
      </c>
      <c r="B4" s="4" t="s">
        <v>182</v>
      </c>
      <c r="C4" s="4" t="s">
        <v>51</v>
      </c>
      <c r="D4" s="4"/>
      <c r="E4" s="4" t="s">
        <v>181</v>
      </c>
      <c r="F4" s="4" t="s">
        <v>183</v>
      </c>
      <c r="G4" s="4" t="s">
        <v>51</v>
      </c>
      <c r="H4" s="4" t="s">
        <v>184</v>
      </c>
    </row>
    <row r="5" customFormat="false" ht="15" hidden="false" customHeight="false" outlineLevel="0" collapsed="false">
      <c r="A5" s="16" t="s">
        <v>185</v>
      </c>
      <c r="B5" s="18" t="n">
        <f aca="false">COUNTIFS($E$1:$E$600,1,$H$1:$H$600,"Done")</f>
        <v>0</v>
      </c>
      <c r="C5" s="17" t="n">
        <f aca="false">COUNTIF($E$1:$E$600,1)</f>
        <v>2</v>
      </c>
    </row>
    <row r="6" customFormat="false" ht="15" hidden="false" customHeight="false" outlineLevel="0" collapsed="false">
      <c r="A6" s="16" t="s">
        <v>186</v>
      </c>
      <c r="B6" s="18" t="n">
        <f aca="false">COUNTIFS($E$1:$E$600,2,$H$1:$H$600,"Done")</f>
        <v>0</v>
      </c>
      <c r="C6" s="17" t="n">
        <f aca="false">COUNTIF($E$1:$E$600,2)</f>
        <v>3</v>
      </c>
    </row>
    <row r="7" customFormat="false" ht="15" hidden="false" customHeight="false" outlineLevel="0" collapsed="false">
      <c r="A7" s="16" t="s">
        <v>187</v>
      </c>
      <c r="B7" s="18" t="n">
        <f aca="false">COUNTIFS($E$1:$E$600,3,$H$1:$H$600,"Done")</f>
        <v>0</v>
      </c>
      <c r="C7" s="17" t="n">
        <f aca="false">COUNTIF($E$1:$E$600,3)</f>
        <v>2</v>
      </c>
    </row>
    <row r="8" customFormat="false" ht="15" hidden="false" customHeight="false" outlineLevel="0" collapsed="false">
      <c r="A8" s="16" t="s">
        <v>188</v>
      </c>
      <c r="B8" s="18" t="n">
        <f aca="false">COUNTIFS($E$1:$E$600,4,$H$1:$H$600,"Done")</f>
        <v>0</v>
      </c>
      <c r="C8" s="17" t="n">
        <f aca="false">COUNTIF($E$1:$E$600,4)</f>
        <v>1</v>
      </c>
    </row>
    <row r="9" customFormat="false" ht="15" hidden="false" customHeight="false" outlineLevel="0" collapsed="false">
      <c r="A9" s="16" t="s">
        <v>189</v>
      </c>
      <c r="B9" s="18" t="n">
        <f aca="false">COUNTIFS($E$1:$E$600,5,$H$1:$H$600,"Done")</f>
        <v>0</v>
      </c>
      <c r="C9" s="17" t="n">
        <f aca="false">COUNTIF($E$1:$E$600,5)</f>
        <v>1</v>
      </c>
    </row>
    <row r="10" customFormat="false" ht="39.75" hidden="false" customHeight="true" outlineLevel="0" collapsed="false">
      <c r="A10" s="11" t="s">
        <v>190</v>
      </c>
      <c r="B10" s="18" t="n">
        <f aca="false">SUM(B5:B9)</f>
        <v>0</v>
      </c>
      <c r="C10" s="17" t="n">
        <f aca="false">SUM(C5:C9)</f>
        <v>9</v>
      </c>
      <c r="E10" s="23" t="s">
        <v>191</v>
      </c>
      <c r="F10" s="23"/>
      <c r="G10" s="23"/>
      <c r="H10" s="23"/>
    </row>
    <row r="12" customFormat="false" ht="15" hidden="false" customHeight="false" outlineLevel="0" collapsed="false">
      <c r="A12" s="37" t="s">
        <v>192</v>
      </c>
      <c r="B12" s="37"/>
      <c r="C12" s="37"/>
      <c r="D12" s="38"/>
      <c r="E12" s="38"/>
      <c r="F12" s="38"/>
      <c r="G12" s="38"/>
      <c r="H12" s="38"/>
    </row>
    <row r="13" customFormat="false" ht="15" hidden="false" customHeight="false" outlineLevel="0" collapsed="false">
      <c r="A13" s="39" t="s">
        <v>373</v>
      </c>
      <c r="B13" s="40" t="s">
        <v>194</v>
      </c>
      <c r="C13" s="40" t="s">
        <v>73</v>
      </c>
      <c r="E13" s="41" t="n">
        <v>1</v>
      </c>
      <c r="F13" s="41" t="n">
        <f aca="false">0+(B15="Y")</f>
        <v>0</v>
      </c>
      <c r="G13" s="41" t="n">
        <v>1</v>
      </c>
      <c r="H13" s="15" t="str">
        <f aca="false">IF(F13=G13,"Done",IF(F13&gt;0,"In progress","Not yet"))</f>
        <v>Not yet</v>
      </c>
    </row>
    <row r="14" customFormat="false" ht="45" hidden="false" customHeight="true" outlineLevel="0" collapsed="false">
      <c r="A14" s="35" t="s">
        <v>374</v>
      </c>
      <c r="B14" s="35"/>
      <c r="C14" s="35"/>
    </row>
    <row r="15" customFormat="false" ht="15" hidden="false" customHeight="false" outlineLevel="0" collapsed="false">
      <c r="A15" s="16" t="s">
        <v>282</v>
      </c>
      <c r="B15" s="44"/>
    </row>
    <row r="16" customFormat="false" ht="27.75" hidden="false" customHeight="true" outlineLevel="0" collapsed="false">
      <c r="A16" s="43" t="s">
        <v>283</v>
      </c>
      <c r="B16" s="43"/>
      <c r="C16" s="43"/>
    </row>
    <row r="18" customFormat="false" ht="15" hidden="false" customHeight="false" outlineLevel="0" collapsed="false">
      <c r="A18" s="39" t="s">
        <v>375</v>
      </c>
      <c r="B18" s="40" t="s">
        <v>194</v>
      </c>
      <c r="C18" s="40" t="s">
        <v>73</v>
      </c>
      <c r="E18" s="41" t="n">
        <v>1</v>
      </c>
      <c r="F18" s="41" t="n">
        <f aca="false">0+(B20&lt;&gt;"")+(B21&lt;&gt;"")</f>
        <v>0</v>
      </c>
      <c r="G18" s="41" t="n">
        <v>2</v>
      </c>
      <c r="H18" s="15" t="str">
        <f aca="false">IF(F18=G18,"Done",IF(F18&gt;0,"In progress","Not yet"))</f>
        <v>Not yet</v>
      </c>
    </row>
    <row r="19" customFormat="false" ht="30" hidden="false" customHeight="true" outlineLevel="0" collapsed="false">
      <c r="A19" s="35" t="s">
        <v>376</v>
      </c>
      <c r="B19" s="35"/>
      <c r="C19" s="35"/>
    </row>
    <row r="20" customFormat="false" ht="15" hidden="false" customHeight="false" outlineLevel="0" collapsed="false">
      <c r="A20" s="6" t="s">
        <v>377</v>
      </c>
      <c r="B20" s="7"/>
      <c r="C20" s="42" t="s">
        <v>378</v>
      </c>
    </row>
    <row r="21" customFormat="false" ht="15" hidden="false" customHeight="false" outlineLevel="0" collapsed="false">
      <c r="A21" s="6" t="s">
        <v>379</v>
      </c>
      <c r="B21" s="7"/>
      <c r="C21" s="42" t="s">
        <v>380</v>
      </c>
    </row>
    <row r="22" customFormat="false" ht="27.75" hidden="false" customHeight="true" outlineLevel="0" collapsed="false">
      <c r="A22" s="43" t="s">
        <v>381</v>
      </c>
      <c r="B22" s="43"/>
      <c r="C22" s="43"/>
    </row>
    <row r="24" customFormat="false" ht="15" hidden="false" customHeight="false" outlineLevel="0" collapsed="false">
      <c r="A24" s="37" t="s">
        <v>209</v>
      </c>
      <c r="B24" s="37"/>
      <c r="C24" s="37"/>
      <c r="D24" s="38"/>
      <c r="E24" s="38"/>
      <c r="F24" s="38"/>
      <c r="G24" s="38"/>
      <c r="H24" s="38"/>
    </row>
    <row r="25" customFormat="false" ht="15" hidden="false" customHeight="false" outlineLevel="0" collapsed="false">
      <c r="A25" s="39" t="s">
        <v>382</v>
      </c>
      <c r="B25" s="40" t="s">
        <v>244</v>
      </c>
      <c r="C25" s="40" t="s">
        <v>383</v>
      </c>
      <c r="E25" s="41" t="n">
        <v>2</v>
      </c>
      <c r="F25" s="41" t="n">
        <f aca="false">0+(B27&lt;&gt;"")+(B28&lt;&gt;"")+(B29&lt;&gt;"")+(B30&lt;&gt;"")+(B31&lt;&gt;"")</f>
        <v>0</v>
      </c>
      <c r="G25" s="41" t="n">
        <v>5</v>
      </c>
      <c r="H25" s="15" t="str">
        <f aca="false">IF(F25=G25,"Done",IF(F25&gt;0,"In progress","Not yet"))</f>
        <v>Not yet</v>
      </c>
    </row>
    <row r="26" customFormat="false" ht="45" hidden="false" customHeight="true" outlineLevel="0" collapsed="false">
      <c r="A26" s="35" t="s">
        <v>384</v>
      </c>
      <c r="B26" s="35"/>
      <c r="C26" s="35"/>
    </row>
    <row r="27" customFormat="false" ht="15" hidden="false" customHeight="false" outlineLevel="0" collapsed="false">
      <c r="A27" s="6" t="s">
        <v>385</v>
      </c>
      <c r="B27" s="7"/>
      <c r="C27" s="42" t="s">
        <v>386</v>
      </c>
    </row>
    <row r="28" customFormat="false" ht="15" hidden="false" customHeight="false" outlineLevel="0" collapsed="false">
      <c r="A28" s="6" t="s">
        <v>387</v>
      </c>
      <c r="B28" s="7"/>
      <c r="C28" s="42" t="s">
        <v>388</v>
      </c>
    </row>
    <row r="29" customFormat="false" ht="22.35" hidden="false" customHeight="false" outlineLevel="0" collapsed="false">
      <c r="A29" s="6" t="s">
        <v>389</v>
      </c>
      <c r="B29" s="7"/>
      <c r="C29" s="42" t="s">
        <v>390</v>
      </c>
    </row>
    <row r="30" customFormat="false" ht="15" hidden="false" customHeight="false" outlineLevel="0" collapsed="false">
      <c r="A30" s="6" t="s">
        <v>391</v>
      </c>
      <c r="B30" s="7"/>
      <c r="C30" s="42" t="s">
        <v>392</v>
      </c>
    </row>
    <row r="31" customFormat="false" ht="22.35" hidden="false" customHeight="false" outlineLevel="0" collapsed="false">
      <c r="A31" s="6" t="s">
        <v>393</v>
      </c>
      <c r="B31" s="7"/>
      <c r="C31" s="42" t="s">
        <v>394</v>
      </c>
    </row>
    <row r="32" customFormat="false" ht="27.75" hidden="false" customHeight="true" outlineLevel="0" collapsed="false">
      <c r="A32" s="43" t="s">
        <v>395</v>
      </c>
      <c r="B32" s="43"/>
      <c r="C32" s="43"/>
    </row>
    <row r="34" customFormat="false" ht="15" hidden="false" customHeight="false" outlineLevel="0" collapsed="false">
      <c r="A34" s="39" t="s">
        <v>396</v>
      </c>
      <c r="B34" s="40" t="s">
        <v>244</v>
      </c>
      <c r="C34" s="40" t="s">
        <v>397</v>
      </c>
      <c r="E34" s="41" t="n">
        <v>2</v>
      </c>
      <c r="F34" s="41" t="n">
        <f aca="false">0+(B36&lt;&gt;"")+(B37&lt;&gt;"")+(B38&lt;&gt;"")</f>
        <v>0</v>
      </c>
      <c r="G34" s="41" t="n">
        <v>3</v>
      </c>
      <c r="H34" s="15" t="str">
        <f aca="false">IF(F34=G34,"Done",IF(F34&gt;0,"In progress","Not yet"))</f>
        <v>Not yet</v>
      </c>
    </row>
    <row r="35" customFormat="false" ht="30" hidden="false" customHeight="true" outlineLevel="0" collapsed="false">
      <c r="A35" s="35" t="s">
        <v>398</v>
      </c>
      <c r="B35" s="35"/>
      <c r="C35" s="35"/>
    </row>
    <row r="36" customFormat="false" ht="45" hidden="false" customHeight="true" outlineLevel="0" collapsed="false">
      <c r="A36" s="6" t="s">
        <v>399</v>
      </c>
      <c r="B36" s="7"/>
      <c r="C36" s="42" t="s">
        <v>400</v>
      </c>
    </row>
    <row r="37" customFormat="false" ht="45" hidden="false" customHeight="true" outlineLevel="0" collapsed="false">
      <c r="A37" s="6" t="s">
        <v>401</v>
      </c>
      <c r="B37" s="7"/>
      <c r="C37" s="42" t="s">
        <v>402</v>
      </c>
    </row>
    <row r="38" customFormat="false" ht="45" hidden="false" customHeight="true" outlineLevel="0" collapsed="false">
      <c r="A38" s="6" t="s">
        <v>403</v>
      </c>
      <c r="B38" s="7"/>
      <c r="C38" s="42" t="s">
        <v>404</v>
      </c>
    </row>
    <row r="39" customFormat="false" ht="27.75" hidden="false" customHeight="true" outlineLevel="0" collapsed="false">
      <c r="A39" s="43" t="s">
        <v>405</v>
      </c>
      <c r="B39" s="43"/>
      <c r="C39" s="43"/>
    </row>
    <row r="41" customFormat="false" ht="15" hidden="false" customHeight="false" outlineLevel="0" collapsed="false">
      <c r="A41" s="39" t="s">
        <v>406</v>
      </c>
      <c r="B41" s="40" t="s">
        <v>219</v>
      </c>
      <c r="C41" s="40" t="s">
        <v>407</v>
      </c>
      <c r="E41" s="41" t="n">
        <v>2</v>
      </c>
      <c r="F41" s="41" t="n">
        <f aca="false">0+(B43&lt;&gt;"")+(B44&lt;&gt;"")</f>
        <v>0</v>
      </c>
      <c r="G41" s="41" t="n">
        <v>2</v>
      </c>
      <c r="H41" s="15" t="str">
        <f aca="false">IF(F41=G41,"Done",IF(F41&gt;0,"In progress","Not yet"))</f>
        <v>Not yet</v>
      </c>
    </row>
    <row r="42" customFormat="false" ht="30" hidden="false" customHeight="true" outlineLevel="0" collapsed="false">
      <c r="A42" s="35" t="s">
        <v>408</v>
      </c>
      <c r="B42" s="35"/>
      <c r="C42" s="35"/>
    </row>
    <row r="43" customFormat="false" ht="15" hidden="false" customHeight="false" outlineLevel="0" collapsed="false">
      <c r="A43" s="6" t="s">
        <v>409</v>
      </c>
      <c r="B43" s="7"/>
      <c r="C43" s="42" t="s">
        <v>410</v>
      </c>
    </row>
    <row r="44" customFormat="false" ht="15" hidden="false" customHeight="false" outlineLevel="0" collapsed="false">
      <c r="A44" s="6" t="s">
        <v>411</v>
      </c>
      <c r="B44" s="7"/>
      <c r="C44" s="42" t="s">
        <v>412</v>
      </c>
    </row>
    <row r="45" customFormat="false" ht="27.75" hidden="false" customHeight="true" outlineLevel="0" collapsed="false">
      <c r="A45" s="43" t="s">
        <v>413</v>
      </c>
      <c r="B45" s="43"/>
      <c r="C45" s="43"/>
    </row>
    <row r="47" customFormat="false" ht="15" hidden="false" customHeight="false" outlineLevel="0" collapsed="false">
      <c r="A47" s="37" t="s">
        <v>231</v>
      </c>
      <c r="B47" s="37"/>
      <c r="C47" s="37"/>
      <c r="D47" s="38"/>
      <c r="E47" s="38"/>
      <c r="F47" s="38"/>
      <c r="G47" s="38"/>
      <c r="H47" s="38"/>
    </row>
    <row r="48" customFormat="false" ht="15" hidden="false" customHeight="false" outlineLevel="0" collapsed="false">
      <c r="A48" s="39" t="s">
        <v>414</v>
      </c>
      <c r="B48" s="40" t="s">
        <v>415</v>
      </c>
      <c r="C48" s="40" t="s">
        <v>73</v>
      </c>
      <c r="E48" s="41" t="n">
        <v>3</v>
      </c>
      <c r="F48" s="41" t="n">
        <f aca="false">0+(B50="Y")+(B51="Y")+(B52="Y")+(B53="Y")+(B54="Y")+(B55="Y")</f>
        <v>0</v>
      </c>
      <c r="G48" s="41" t="n">
        <v>6</v>
      </c>
      <c r="H48" s="15" t="str">
        <f aca="false">IF(F48=G48,"Done",IF(F48&gt;0,"In progress","Not yet"))</f>
        <v>Not yet</v>
      </c>
    </row>
    <row r="49" customFormat="false" ht="30" hidden="false" customHeight="true" outlineLevel="0" collapsed="false">
      <c r="A49" s="35" t="s">
        <v>416</v>
      </c>
      <c r="B49" s="35"/>
      <c r="C49" s="35"/>
    </row>
    <row r="50" customFormat="false" ht="15" hidden="false" customHeight="false" outlineLevel="0" collapsed="false">
      <c r="A50" s="6" t="s">
        <v>417</v>
      </c>
      <c r="B50" s="44"/>
      <c r="C50" s="22" t="s">
        <v>237</v>
      </c>
    </row>
    <row r="51" customFormat="false" ht="15" hidden="false" customHeight="false" outlineLevel="0" collapsed="false">
      <c r="A51" s="6" t="s">
        <v>418</v>
      </c>
      <c r="B51" s="44"/>
      <c r="C51" s="22" t="s">
        <v>237</v>
      </c>
    </row>
    <row r="52" customFormat="false" ht="15" hidden="false" customHeight="false" outlineLevel="0" collapsed="false">
      <c r="A52" s="6" t="s">
        <v>419</v>
      </c>
      <c r="B52" s="44"/>
      <c r="C52" s="22" t="s">
        <v>237</v>
      </c>
    </row>
    <row r="53" customFormat="false" ht="15" hidden="false" customHeight="false" outlineLevel="0" collapsed="false">
      <c r="A53" s="6" t="s">
        <v>420</v>
      </c>
      <c r="B53" s="44"/>
      <c r="C53" s="22" t="s">
        <v>237</v>
      </c>
    </row>
    <row r="54" customFormat="false" ht="15" hidden="false" customHeight="false" outlineLevel="0" collapsed="false">
      <c r="A54" s="6" t="s">
        <v>421</v>
      </c>
      <c r="B54" s="44"/>
      <c r="C54" s="22" t="s">
        <v>237</v>
      </c>
    </row>
    <row r="55" customFormat="false" ht="15" hidden="false" customHeight="false" outlineLevel="0" collapsed="false">
      <c r="A55" s="6" t="s">
        <v>422</v>
      </c>
      <c r="B55" s="44"/>
      <c r="C55" s="22" t="s">
        <v>237</v>
      </c>
    </row>
    <row r="56" customFormat="false" ht="27.75" hidden="false" customHeight="true" outlineLevel="0" collapsed="false">
      <c r="A56" s="43" t="s">
        <v>423</v>
      </c>
      <c r="B56" s="43"/>
      <c r="C56" s="43"/>
    </row>
    <row r="58" customFormat="false" ht="15" hidden="false" customHeight="false" outlineLevel="0" collapsed="false">
      <c r="A58" s="39" t="s">
        <v>424</v>
      </c>
      <c r="B58" s="40" t="s">
        <v>425</v>
      </c>
      <c r="C58" s="40" t="s">
        <v>426</v>
      </c>
      <c r="E58" s="41" t="n">
        <v>3</v>
      </c>
      <c r="F58" s="41" t="n">
        <f aca="false">0+(B60="Y")+(B61="Y")+(B62="Y")</f>
        <v>0</v>
      </c>
      <c r="G58" s="41" t="n">
        <v>3</v>
      </c>
      <c r="H58" s="15" t="str">
        <f aca="false">IF(F58=G58,"Done",IF(F58&gt;0,"In progress","Not yet"))</f>
        <v>Not yet</v>
      </c>
    </row>
    <row r="59" customFormat="false" ht="30" hidden="false" customHeight="true" outlineLevel="0" collapsed="false">
      <c r="A59" s="35" t="s">
        <v>427</v>
      </c>
      <c r="B59" s="35"/>
      <c r="C59" s="35"/>
    </row>
    <row r="60" customFormat="false" ht="15" hidden="false" customHeight="false" outlineLevel="0" collapsed="false">
      <c r="A60" s="6" t="s">
        <v>428</v>
      </c>
      <c r="B60" s="44"/>
      <c r="C60" s="22" t="s">
        <v>237</v>
      </c>
    </row>
    <row r="61" customFormat="false" ht="15" hidden="false" customHeight="false" outlineLevel="0" collapsed="false">
      <c r="A61" s="6" t="s">
        <v>429</v>
      </c>
      <c r="B61" s="44"/>
      <c r="C61" s="22" t="s">
        <v>237</v>
      </c>
    </row>
    <row r="62" customFormat="false" ht="15" hidden="false" customHeight="false" outlineLevel="0" collapsed="false">
      <c r="A62" s="6" t="s">
        <v>430</v>
      </c>
      <c r="B62" s="44"/>
      <c r="C62" s="22" t="s">
        <v>237</v>
      </c>
    </row>
    <row r="63" customFormat="false" ht="27.75" hidden="false" customHeight="true" outlineLevel="0" collapsed="false">
      <c r="A63" s="43" t="s">
        <v>431</v>
      </c>
      <c r="B63" s="43"/>
      <c r="C63" s="43"/>
    </row>
    <row r="65" customFormat="false" ht="15" hidden="false" customHeight="false" outlineLevel="0" collapsed="false">
      <c r="A65" s="37" t="s">
        <v>261</v>
      </c>
      <c r="B65" s="37"/>
      <c r="C65" s="37"/>
      <c r="D65" s="38"/>
      <c r="E65" s="38"/>
      <c r="F65" s="38"/>
      <c r="G65" s="38"/>
      <c r="H65" s="38"/>
    </row>
    <row r="66" customFormat="false" ht="15" hidden="false" customHeight="false" outlineLevel="0" collapsed="false">
      <c r="A66" s="39" t="s">
        <v>432</v>
      </c>
      <c r="B66" s="40" t="s">
        <v>194</v>
      </c>
      <c r="C66" s="40" t="s">
        <v>73</v>
      </c>
      <c r="E66" s="41" t="n">
        <v>4</v>
      </c>
      <c r="F66" s="41" t="n">
        <f aca="false">0+(B68&lt;&gt;"")+(B69&lt;&gt;"")+(B70&lt;&gt;"")</f>
        <v>0</v>
      </c>
      <c r="G66" s="41" t="n">
        <v>3</v>
      </c>
      <c r="H66" s="15" t="str">
        <f aca="false">IF(F66=G66,"Done",IF(F66&gt;0,"In progress","Not yet"))</f>
        <v>Not yet</v>
      </c>
    </row>
    <row r="67" customFormat="false" ht="30" hidden="false" customHeight="true" outlineLevel="0" collapsed="false">
      <c r="A67" s="35" t="s">
        <v>433</v>
      </c>
      <c r="B67" s="35"/>
      <c r="C67" s="35"/>
    </row>
    <row r="68" customFormat="false" ht="15" hidden="false" customHeight="false" outlineLevel="0" collapsed="false">
      <c r="A68" s="6" t="s">
        <v>434</v>
      </c>
      <c r="B68" s="9"/>
      <c r="C68" s="42" t="s">
        <v>435</v>
      </c>
    </row>
    <row r="69" customFormat="false" ht="15" hidden="false" customHeight="false" outlineLevel="0" collapsed="false">
      <c r="A69" s="6" t="s">
        <v>436</v>
      </c>
      <c r="B69" s="9"/>
      <c r="C69" s="42" t="s">
        <v>437</v>
      </c>
    </row>
    <row r="70" customFormat="false" ht="15" hidden="false" customHeight="false" outlineLevel="0" collapsed="false">
      <c r="A70" s="6" t="s">
        <v>438</v>
      </c>
      <c r="B70" s="9"/>
      <c r="C70" s="42" t="s">
        <v>439</v>
      </c>
    </row>
    <row r="71" customFormat="false" ht="27.75" hidden="false" customHeight="true" outlineLevel="0" collapsed="false">
      <c r="A71" s="43" t="s">
        <v>440</v>
      </c>
      <c r="B71" s="43"/>
      <c r="C71" s="43"/>
    </row>
    <row r="73" customFormat="false" ht="15" hidden="false" customHeight="false" outlineLevel="0" collapsed="false">
      <c r="A73" s="37" t="s">
        <v>270</v>
      </c>
      <c r="B73" s="37"/>
      <c r="C73" s="37"/>
      <c r="D73" s="38"/>
      <c r="E73" s="38"/>
      <c r="F73" s="38"/>
      <c r="G73" s="38"/>
      <c r="H73" s="38"/>
    </row>
    <row r="74" customFormat="false" ht="15" hidden="false" customHeight="false" outlineLevel="0" collapsed="false">
      <c r="A74" s="39" t="s">
        <v>364</v>
      </c>
      <c r="B74" s="40" t="s">
        <v>335</v>
      </c>
      <c r="C74" s="40" t="s">
        <v>441</v>
      </c>
      <c r="E74" s="41" t="n">
        <v>5</v>
      </c>
      <c r="F74" s="41" t="n">
        <f aca="false">0+(B76="Y")+(B77="Y")+(B78="Y")+(B79="Y")</f>
        <v>0</v>
      </c>
      <c r="G74" s="41" t="n">
        <v>4</v>
      </c>
      <c r="H74" s="15" t="str">
        <f aca="false">IF(F74=G74,"Done",IF(F74&gt;0,"In progress","Not yet"))</f>
        <v>Not yet</v>
      </c>
    </row>
    <row r="75" customFormat="false" ht="30" hidden="false" customHeight="true" outlineLevel="0" collapsed="false">
      <c r="A75" s="35" t="s">
        <v>442</v>
      </c>
      <c r="B75" s="35"/>
      <c r="C75" s="35"/>
    </row>
    <row r="76" customFormat="false" ht="15" hidden="false" customHeight="false" outlineLevel="0" collapsed="false">
      <c r="A76" s="6" t="s">
        <v>443</v>
      </c>
      <c r="B76" s="44"/>
      <c r="C76" s="22" t="s">
        <v>237</v>
      </c>
    </row>
    <row r="77" customFormat="false" ht="15" hidden="false" customHeight="false" outlineLevel="0" collapsed="false">
      <c r="A77" s="6" t="s">
        <v>444</v>
      </c>
      <c r="B77" s="44"/>
      <c r="C77" s="22" t="s">
        <v>237</v>
      </c>
    </row>
    <row r="78" customFormat="false" ht="15" hidden="false" customHeight="false" outlineLevel="0" collapsed="false">
      <c r="A78" s="6" t="s">
        <v>445</v>
      </c>
      <c r="B78" s="44"/>
      <c r="C78" s="22" t="s">
        <v>237</v>
      </c>
    </row>
    <row r="79" customFormat="false" ht="15" hidden="false" customHeight="false" outlineLevel="0" collapsed="false">
      <c r="A79" s="6" t="s">
        <v>446</v>
      </c>
      <c r="B79" s="44"/>
      <c r="C79" s="22" t="s">
        <v>237</v>
      </c>
    </row>
    <row r="80" customFormat="false" ht="27.75" hidden="false" customHeight="true" outlineLevel="0" collapsed="false">
      <c r="A80" s="43" t="s">
        <v>277</v>
      </c>
      <c r="B80" s="43"/>
      <c r="C80" s="43"/>
    </row>
  </sheetData>
  <mergeCells count="27">
    <mergeCell ref="A1:H1"/>
    <mergeCell ref="A2:H2"/>
    <mergeCell ref="A3:H3"/>
    <mergeCell ref="E10:H10"/>
    <mergeCell ref="A12:C12"/>
    <mergeCell ref="A14:C14"/>
    <mergeCell ref="A16:C16"/>
    <mergeCell ref="A19:C19"/>
    <mergeCell ref="A22:C22"/>
    <mergeCell ref="A24:C24"/>
    <mergeCell ref="A26:C26"/>
    <mergeCell ref="A32:C32"/>
    <mergeCell ref="A35:C35"/>
    <mergeCell ref="A39:C39"/>
    <mergeCell ref="A42:C42"/>
    <mergeCell ref="A45:C45"/>
    <mergeCell ref="A47:C47"/>
    <mergeCell ref="A49:C49"/>
    <mergeCell ref="A56:C56"/>
    <mergeCell ref="A59:C59"/>
    <mergeCell ref="A63:C63"/>
    <mergeCell ref="A65:C65"/>
    <mergeCell ref="A67:C67"/>
    <mergeCell ref="A71:C71"/>
    <mergeCell ref="A73:C73"/>
    <mergeCell ref="A75:C75"/>
    <mergeCell ref="A80:C80"/>
  </mergeCells>
  <conditionalFormatting sqref="H1:H82">
    <cfRule type="cellIs" priority="2" operator="equal" aboveAverage="0" equalAverage="0" bottom="0" percent="0" rank="0" text="" dxfId="1">
      <formula>"Done"</formula>
    </cfRule>
    <cfRule type="cellIs" priority="3" operator="equal" aboveAverage="0" equalAverage="0" bottom="0" percent="0" rank="0" text="" dxfId="2">
      <formula>"In progress"</formula>
    </cfRule>
  </conditionalFormatting>
  <dataValidations count="3">
    <dataValidation allowBlank="true" errorStyle="stop" operator="between" showDropDown="false" showErrorMessage="false" showInputMessage="false" sqref="B15 B22:B26 B28:B65 B70:B72 B74:B83 B91:B94" type="list">
      <formula1>"Y"</formula1>
      <formula2>0</formula2>
    </dataValidation>
    <dataValidation allowBlank="true" errorStyle="stop" operator="between" showDropDown="false" showErrorMessage="false" showInputMessage="false" sqref="B20" type="list">
      <formula1>"Three gives; one ask,Five gives; one ask,Ten gives; one ask"</formula1>
      <formula2>0</formula2>
    </dataValidation>
    <dataValidation allowBlank="true" errorStyle="stop" operator="between" showDropDown="false" showErrorMessage="false" showInputMessage="false" sqref="B21" type="list">
      <formula1>"A line inside giving pieces,A whole piece; now and then,Both"</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40"/>
    <col collapsed="false" customWidth="true" hidden="false" outlineLevel="0" max="3" min="3" style="0" width="46"/>
    <col collapsed="false" customWidth="true" hidden="false" outlineLevel="0" max="4" min="4" style="0" width="3"/>
    <col collapsed="false" customWidth="true" hidden="false" outlineLevel="0" max="7" min="5" style="0" width="7"/>
    <col collapsed="false" customWidth="true" hidden="false" outlineLevel="0" max="8" min="8" style="0" width="13"/>
  </cols>
  <sheetData>
    <row r="1" customFormat="false" ht="25.5" hidden="false" customHeight="true" outlineLevel="0" collapsed="false">
      <c r="A1" s="1" t="s">
        <v>447</v>
      </c>
      <c r="B1" s="1"/>
      <c r="C1" s="1"/>
      <c r="D1" s="1"/>
      <c r="E1" s="1"/>
      <c r="F1" s="1"/>
      <c r="G1" s="1"/>
      <c r="H1" s="1"/>
    </row>
    <row r="2" customFormat="false" ht="30" hidden="false" customHeight="true" outlineLevel="0" collapsed="false">
      <c r="A2" s="2" t="s">
        <v>448</v>
      </c>
      <c r="B2" s="2"/>
      <c r="C2" s="2"/>
      <c r="D2" s="2"/>
      <c r="E2" s="2"/>
      <c r="F2" s="2"/>
      <c r="G2" s="2"/>
      <c r="H2" s="2"/>
    </row>
    <row r="3" customFormat="false" ht="30" hidden="false" customHeight="true" outlineLevel="0" collapsed="false">
      <c r="A3" s="3" t="s">
        <v>2</v>
      </c>
      <c r="B3" s="3"/>
      <c r="C3" s="3"/>
      <c r="D3" s="3"/>
      <c r="E3" s="3"/>
      <c r="F3" s="3"/>
      <c r="G3" s="3"/>
      <c r="H3" s="3"/>
    </row>
    <row r="4" customFormat="false" ht="30" hidden="false" customHeight="true" outlineLevel="0" collapsed="false">
      <c r="A4" s="4" t="s">
        <v>181</v>
      </c>
      <c r="B4" s="4" t="s">
        <v>182</v>
      </c>
      <c r="C4" s="4" t="s">
        <v>51</v>
      </c>
      <c r="D4" s="4"/>
      <c r="E4" s="4" t="s">
        <v>181</v>
      </c>
      <c r="F4" s="4" t="s">
        <v>183</v>
      </c>
      <c r="G4" s="4" t="s">
        <v>51</v>
      </c>
      <c r="H4" s="4" t="s">
        <v>184</v>
      </c>
    </row>
    <row r="5" customFormat="false" ht="15" hidden="false" customHeight="false" outlineLevel="0" collapsed="false">
      <c r="A5" s="16" t="s">
        <v>185</v>
      </c>
      <c r="B5" s="18" t="n">
        <f aca="false">COUNTIFS($E$1:$E$600,1,$H$1:$H$600,"Done")</f>
        <v>0</v>
      </c>
      <c r="C5" s="17" t="n">
        <f aca="false">COUNTIF($E$1:$E$600,1)</f>
        <v>1</v>
      </c>
    </row>
    <row r="6" customFormat="false" ht="15" hidden="false" customHeight="false" outlineLevel="0" collapsed="false">
      <c r="A6" s="16" t="s">
        <v>186</v>
      </c>
      <c r="B6" s="18" t="n">
        <f aca="false">COUNTIFS($E$1:$E$600,2,$H$1:$H$600,"Done")</f>
        <v>0</v>
      </c>
      <c r="C6" s="17" t="n">
        <f aca="false">COUNTIF($E$1:$E$600,2)</f>
        <v>3</v>
      </c>
    </row>
    <row r="7" customFormat="false" ht="15" hidden="false" customHeight="false" outlineLevel="0" collapsed="false">
      <c r="A7" s="16" t="s">
        <v>187</v>
      </c>
      <c r="B7" s="18" t="n">
        <f aca="false">COUNTIFS($E$1:$E$600,3,$H$1:$H$600,"Done")</f>
        <v>0</v>
      </c>
      <c r="C7" s="17" t="n">
        <f aca="false">COUNTIF($E$1:$E$600,3)</f>
        <v>2</v>
      </c>
    </row>
    <row r="8" customFormat="false" ht="15" hidden="false" customHeight="false" outlineLevel="0" collapsed="false">
      <c r="A8" s="16" t="s">
        <v>188</v>
      </c>
      <c r="B8" s="18" t="n">
        <f aca="false">COUNTIFS($E$1:$E$600,4,$H$1:$H$600,"Done")</f>
        <v>0</v>
      </c>
      <c r="C8" s="17" t="n">
        <f aca="false">COUNTIF($E$1:$E$600,4)</f>
        <v>1</v>
      </c>
    </row>
    <row r="9" customFormat="false" ht="15" hidden="false" customHeight="false" outlineLevel="0" collapsed="false">
      <c r="A9" s="16" t="s">
        <v>189</v>
      </c>
      <c r="B9" s="18" t="n">
        <f aca="false">COUNTIFS($E$1:$E$600,5,$H$1:$H$600,"Done")</f>
        <v>0</v>
      </c>
      <c r="C9" s="17" t="n">
        <f aca="false">COUNTIF($E$1:$E$600,5)</f>
        <v>1</v>
      </c>
    </row>
    <row r="10" customFormat="false" ht="39.75" hidden="false" customHeight="true" outlineLevel="0" collapsed="false">
      <c r="A10" s="11" t="s">
        <v>190</v>
      </c>
      <c r="B10" s="18" t="n">
        <f aca="false">SUM(B5:B9)</f>
        <v>0</v>
      </c>
      <c r="C10" s="17" t="n">
        <f aca="false">SUM(C5:C9)</f>
        <v>8</v>
      </c>
      <c r="E10" s="23" t="s">
        <v>191</v>
      </c>
      <c r="F10" s="23"/>
      <c r="G10" s="23"/>
      <c r="H10" s="23"/>
    </row>
    <row r="12" customFormat="false" ht="15" hidden="false" customHeight="false" outlineLevel="0" collapsed="false">
      <c r="A12" s="37" t="s">
        <v>192</v>
      </c>
      <c r="B12" s="37"/>
      <c r="C12" s="37"/>
      <c r="D12" s="38"/>
      <c r="E12" s="38"/>
      <c r="F12" s="38"/>
      <c r="G12" s="38"/>
      <c r="H12" s="38"/>
    </row>
    <row r="13" customFormat="false" ht="15" hidden="false" customHeight="false" outlineLevel="0" collapsed="false">
      <c r="A13" s="39" t="s">
        <v>449</v>
      </c>
      <c r="B13" s="40" t="s">
        <v>194</v>
      </c>
      <c r="C13" s="40" t="s">
        <v>75</v>
      </c>
      <c r="E13" s="41" t="n">
        <v>1</v>
      </c>
      <c r="F13" s="41" t="n">
        <f aca="false">0+(B15="Y")</f>
        <v>0</v>
      </c>
      <c r="G13" s="41" t="n">
        <v>1</v>
      </c>
      <c r="H13" s="15" t="str">
        <f aca="false">IF(F13=G13,"Done",IF(F13&gt;0,"In progress","Not yet"))</f>
        <v>Not yet</v>
      </c>
    </row>
    <row r="14" customFormat="false" ht="45" hidden="false" customHeight="true" outlineLevel="0" collapsed="false">
      <c r="A14" s="35" t="s">
        <v>450</v>
      </c>
      <c r="B14" s="35"/>
      <c r="C14" s="35"/>
    </row>
    <row r="15" customFormat="false" ht="15" hidden="false" customHeight="false" outlineLevel="0" collapsed="false">
      <c r="A15" s="16" t="s">
        <v>282</v>
      </c>
      <c r="B15" s="44"/>
    </row>
    <row r="16" customFormat="false" ht="27.75" hidden="false" customHeight="true" outlineLevel="0" collapsed="false">
      <c r="A16" s="43" t="s">
        <v>283</v>
      </c>
      <c r="B16" s="43"/>
      <c r="C16" s="43"/>
    </row>
    <row r="18" customFormat="false" ht="15" hidden="false" customHeight="false" outlineLevel="0" collapsed="false">
      <c r="A18" s="37" t="s">
        <v>209</v>
      </c>
      <c r="B18" s="37"/>
      <c r="C18" s="37"/>
      <c r="D18" s="38"/>
      <c r="E18" s="38"/>
      <c r="F18" s="38"/>
      <c r="G18" s="38"/>
      <c r="H18" s="38"/>
    </row>
    <row r="19" customFormat="false" ht="15" hidden="false" customHeight="false" outlineLevel="0" collapsed="false">
      <c r="A19" s="39" t="s">
        <v>451</v>
      </c>
      <c r="B19" s="40" t="s">
        <v>335</v>
      </c>
      <c r="C19" s="40" t="s">
        <v>452</v>
      </c>
      <c r="E19" s="41" t="n">
        <v>2</v>
      </c>
      <c r="F19" s="41" t="n">
        <f aca="false">0+(B21&lt;&gt;"")+(B22&lt;&gt;"")</f>
        <v>0</v>
      </c>
      <c r="G19" s="41" t="n">
        <v>2</v>
      </c>
      <c r="H19" s="15" t="str">
        <f aca="false">IF(F19=G19,"Done",IF(F19&gt;0,"In progress","Not yet"))</f>
        <v>Not yet</v>
      </c>
    </row>
    <row r="20" customFormat="false" ht="30" hidden="false" customHeight="true" outlineLevel="0" collapsed="false">
      <c r="A20" s="35" t="s">
        <v>453</v>
      </c>
      <c r="B20" s="35"/>
      <c r="C20" s="35"/>
    </row>
    <row r="21" customFormat="false" ht="15" hidden="false" customHeight="false" outlineLevel="0" collapsed="false">
      <c r="A21" s="6" t="s">
        <v>454</v>
      </c>
      <c r="B21" s="7"/>
      <c r="C21" s="42" t="s">
        <v>455</v>
      </c>
    </row>
    <row r="22" customFormat="false" ht="15" hidden="false" customHeight="false" outlineLevel="0" collapsed="false">
      <c r="A22" s="6" t="s">
        <v>456</v>
      </c>
      <c r="B22" s="9"/>
      <c r="C22" s="42" t="s">
        <v>457</v>
      </c>
    </row>
    <row r="23" customFormat="false" ht="27.75" hidden="false" customHeight="true" outlineLevel="0" collapsed="false">
      <c r="A23" s="43" t="s">
        <v>458</v>
      </c>
      <c r="B23" s="43"/>
      <c r="C23" s="43"/>
    </row>
    <row r="25" customFormat="false" ht="15" hidden="false" customHeight="false" outlineLevel="0" collapsed="false">
      <c r="A25" s="39" t="s">
        <v>459</v>
      </c>
      <c r="B25" s="40" t="s">
        <v>244</v>
      </c>
      <c r="C25" s="40" t="s">
        <v>460</v>
      </c>
      <c r="E25" s="41" t="n">
        <v>2</v>
      </c>
      <c r="F25" s="41" t="n">
        <f aca="false">0+(B27&lt;&gt;"")+(B28&lt;&gt;"")</f>
        <v>0</v>
      </c>
      <c r="G25" s="41" t="n">
        <v>2</v>
      </c>
      <c r="H25" s="15" t="str">
        <f aca="false">IF(F25=G25,"Done",IF(F25&gt;0,"In progress","Not yet"))</f>
        <v>Not yet</v>
      </c>
    </row>
    <row r="26" customFormat="false" ht="30" hidden="false" customHeight="true" outlineLevel="0" collapsed="false">
      <c r="A26" s="35" t="s">
        <v>461</v>
      </c>
      <c r="B26" s="35"/>
      <c r="C26" s="35"/>
    </row>
    <row r="27" customFormat="false" ht="22.35" hidden="false" customHeight="false" outlineLevel="0" collapsed="false">
      <c r="A27" s="6" t="s">
        <v>462</v>
      </c>
      <c r="B27" s="7"/>
      <c r="C27" s="42" t="s">
        <v>463</v>
      </c>
    </row>
    <row r="28" customFormat="false" ht="45" hidden="false" customHeight="true" outlineLevel="0" collapsed="false">
      <c r="A28" s="6" t="s">
        <v>464</v>
      </c>
      <c r="B28" s="7"/>
      <c r="C28" s="42" t="s">
        <v>465</v>
      </c>
    </row>
    <row r="29" customFormat="false" ht="27.75" hidden="false" customHeight="true" outlineLevel="0" collapsed="false">
      <c r="A29" s="43" t="s">
        <v>466</v>
      </c>
      <c r="B29" s="43"/>
      <c r="C29" s="43"/>
    </row>
    <row r="31" customFormat="false" ht="15" hidden="false" customHeight="false" outlineLevel="0" collapsed="false">
      <c r="A31" s="39" t="s">
        <v>467</v>
      </c>
      <c r="B31" s="40" t="s">
        <v>219</v>
      </c>
      <c r="C31" s="40" t="s">
        <v>468</v>
      </c>
      <c r="E31" s="41" t="n">
        <v>2</v>
      </c>
      <c r="F31" s="41" t="n">
        <f aca="false">0+(B33&lt;&gt;"")+(COUNTIF(B35:B39,"Y")&gt;0)</f>
        <v>0</v>
      </c>
      <c r="G31" s="41" t="n">
        <v>2</v>
      </c>
      <c r="H31" s="15" t="str">
        <f aca="false">IF(F31=G31,"Done",IF(F31&gt;0,"In progress","Not yet"))</f>
        <v>Not yet</v>
      </c>
    </row>
    <row r="32" customFormat="false" ht="45" hidden="false" customHeight="true" outlineLevel="0" collapsed="false">
      <c r="A32" s="35" t="s">
        <v>469</v>
      </c>
      <c r="B32" s="35"/>
      <c r="C32" s="35"/>
    </row>
    <row r="33" customFormat="false" ht="15" hidden="false" customHeight="false" outlineLevel="0" collapsed="false">
      <c r="A33" s="6" t="s">
        <v>470</v>
      </c>
      <c r="B33" s="9"/>
      <c r="C33" s="42" t="s">
        <v>471</v>
      </c>
    </row>
    <row r="34" customFormat="false" ht="15" hidden="false" customHeight="false" outlineLevel="0" collapsed="false">
      <c r="A34" s="11" t="s">
        <v>472</v>
      </c>
    </row>
    <row r="35" customFormat="false" ht="15" hidden="false" customHeight="false" outlineLevel="0" collapsed="false">
      <c r="A35" s="16" t="s">
        <v>473</v>
      </c>
      <c r="B35" s="44"/>
    </row>
    <row r="36" customFormat="false" ht="15" hidden="false" customHeight="false" outlineLevel="0" collapsed="false">
      <c r="A36" s="16" t="s">
        <v>474</v>
      </c>
      <c r="B36" s="44"/>
    </row>
    <row r="37" customFormat="false" ht="15" hidden="false" customHeight="false" outlineLevel="0" collapsed="false">
      <c r="A37" s="16" t="s">
        <v>475</v>
      </c>
      <c r="B37" s="44"/>
    </row>
    <row r="38" customFormat="false" ht="15" hidden="false" customHeight="false" outlineLevel="0" collapsed="false">
      <c r="A38" s="16" t="s">
        <v>476</v>
      </c>
      <c r="B38" s="44"/>
    </row>
    <row r="39" customFormat="false" ht="15" hidden="false" customHeight="false" outlineLevel="0" collapsed="false">
      <c r="A39" s="16" t="s">
        <v>477</v>
      </c>
      <c r="B39" s="44"/>
    </row>
    <row r="40" customFormat="false" ht="27.75" hidden="false" customHeight="true" outlineLevel="0" collapsed="false">
      <c r="A40" s="43" t="s">
        <v>478</v>
      </c>
      <c r="B40" s="43"/>
      <c r="C40" s="43"/>
    </row>
    <row r="42" customFormat="false" ht="15" hidden="false" customHeight="false" outlineLevel="0" collapsed="false">
      <c r="A42" s="37" t="s">
        <v>231</v>
      </c>
      <c r="B42" s="37"/>
      <c r="C42" s="37"/>
      <c r="D42" s="38"/>
      <c r="E42" s="38"/>
      <c r="F42" s="38"/>
      <c r="G42" s="38"/>
      <c r="H42" s="38"/>
    </row>
    <row r="43" customFormat="false" ht="15" hidden="false" customHeight="false" outlineLevel="0" collapsed="false">
      <c r="A43" s="39" t="s">
        <v>90</v>
      </c>
      <c r="B43" s="40" t="s">
        <v>415</v>
      </c>
      <c r="C43" s="40" t="s">
        <v>75</v>
      </c>
      <c r="E43" s="41" t="n">
        <v>3</v>
      </c>
      <c r="F43" s="41" t="n">
        <f aca="false">0+(B45="Y")+(B46="Y")+(B47="Y")+(B48="Y")+(B49="Y")</f>
        <v>0</v>
      </c>
      <c r="G43" s="41" t="n">
        <v>5</v>
      </c>
      <c r="H43" s="15" t="str">
        <f aca="false">IF(F43=G43,"Done",IF(F43&gt;0,"In progress","Not yet"))</f>
        <v>Not yet</v>
      </c>
    </row>
    <row r="44" customFormat="false" ht="30" hidden="false" customHeight="true" outlineLevel="0" collapsed="false">
      <c r="A44" s="35" t="s">
        <v>479</v>
      </c>
      <c r="B44" s="35"/>
      <c r="C44" s="35"/>
    </row>
    <row r="45" customFormat="false" ht="15" hidden="false" customHeight="false" outlineLevel="0" collapsed="false">
      <c r="A45" s="6" t="s">
        <v>480</v>
      </c>
      <c r="B45" s="44"/>
      <c r="C45" s="22" t="s">
        <v>237</v>
      </c>
    </row>
    <row r="46" customFormat="false" ht="15" hidden="false" customHeight="false" outlineLevel="0" collapsed="false">
      <c r="A46" s="6" t="s">
        <v>481</v>
      </c>
      <c r="B46" s="44"/>
      <c r="C46" s="22" t="s">
        <v>237</v>
      </c>
    </row>
    <row r="47" customFormat="false" ht="15" hidden="false" customHeight="false" outlineLevel="0" collapsed="false">
      <c r="A47" s="6" t="s">
        <v>482</v>
      </c>
      <c r="B47" s="44"/>
      <c r="C47" s="22" t="s">
        <v>237</v>
      </c>
    </row>
    <row r="48" customFormat="false" ht="15" hidden="false" customHeight="false" outlineLevel="0" collapsed="false">
      <c r="A48" s="6" t="s">
        <v>483</v>
      </c>
      <c r="B48" s="44"/>
      <c r="C48" s="22" t="s">
        <v>237</v>
      </c>
    </row>
    <row r="49" customFormat="false" ht="15" hidden="false" customHeight="false" outlineLevel="0" collapsed="false">
      <c r="A49" s="6" t="s">
        <v>332</v>
      </c>
      <c r="B49" s="44"/>
      <c r="C49" s="22" t="s">
        <v>237</v>
      </c>
    </row>
    <row r="50" customFormat="false" ht="27.75" hidden="false" customHeight="true" outlineLevel="0" collapsed="false">
      <c r="A50" s="43" t="s">
        <v>484</v>
      </c>
      <c r="B50" s="43"/>
      <c r="C50" s="43"/>
    </row>
    <row r="52" customFormat="false" ht="15" hidden="false" customHeight="false" outlineLevel="0" collapsed="false">
      <c r="A52" s="39" t="s">
        <v>485</v>
      </c>
      <c r="B52" s="40" t="s">
        <v>486</v>
      </c>
      <c r="C52" s="40" t="s">
        <v>487</v>
      </c>
      <c r="E52" s="41" t="n">
        <v>3</v>
      </c>
      <c r="F52" s="41" t="n">
        <f aca="false">0+(B54="Y")+(B55="Y")+(B56="Y")+(B57="Y")</f>
        <v>0</v>
      </c>
      <c r="G52" s="41" t="n">
        <v>4</v>
      </c>
      <c r="H52" s="15" t="str">
        <f aca="false">IF(F52=G52,"Done",IF(F52&gt;0,"In progress","Not yet"))</f>
        <v>Not yet</v>
      </c>
    </row>
    <row r="53" customFormat="false" ht="30" hidden="false" customHeight="true" outlineLevel="0" collapsed="false">
      <c r="A53" s="35" t="s">
        <v>488</v>
      </c>
      <c r="B53" s="35"/>
      <c r="C53" s="35"/>
    </row>
    <row r="54" customFormat="false" ht="15" hidden="false" customHeight="false" outlineLevel="0" collapsed="false">
      <c r="A54" s="6" t="s">
        <v>489</v>
      </c>
      <c r="B54" s="44"/>
      <c r="C54" s="22" t="s">
        <v>237</v>
      </c>
    </row>
    <row r="55" customFormat="false" ht="15" hidden="false" customHeight="false" outlineLevel="0" collapsed="false">
      <c r="A55" s="6" t="s">
        <v>490</v>
      </c>
      <c r="B55" s="44"/>
      <c r="C55" s="22" t="s">
        <v>237</v>
      </c>
    </row>
    <row r="56" customFormat="false" ht="15" hidden="false" customHeight="false" outlineLevel="0" collapsed="false">
      <c r="A56" s="6" t="s">
        <v>491</v>
      </c>
      <c r="B56" s="44"/>
      <c r="C56" s="22" t="s">
        <v>237</v>
      </c>
    </row>
    <row r="57" customFormat="false" ht="15" hidden="false" customHeight="false" outlineLevel="0" collapsed="false">
      <c r="A57" s="6" t="s">
        <v>492</v>
      </c>
      <c r="B57" s="44"/>
      <c r="C57" s="22" t="s">
        <v>237</v>
      </c>
    </row>
    <row r="58" customFormat="false" ht="27.75" hidden="false" customHeight="true" outlineLevel="0" collapsed="false">
      <c r="A58" s="43" t="s">
        <v>277</v>
      </c>
      <c r="B58" s="43"/>
      <c r="C58" s="43"/>
    </row>
    <row r="60" customFormat="false" ht="15" hidden="false" customHeight="false" outlineLevel="0" collapsed="false">
      <c r="A60" s="37" t="s">
        <v>261</v>
      </c>
      <c r="B60" s="37"/>
      <c r="C60" s="37"/>
      <c r="D60" s="38"/>
      <c r="E60" s="38"/>
      <c r="F60" s="38"/>
      <c r="G60" s="38"/>
      <c r="H60" s="38"/>
    </row>
    <row r="61" customFormat="false" ht="15" hidden="false" customHeight="false" outlineLevel="0" collapsed="false">
      <c r="A61" s="39" t="s">
        <v>493</v>
      </c>
      <c r="B61" s="40" t="s">
        <v>194</v>
      </c>
      <c r="C61" s="40" t="s">
        <v>75</v>
      </c>
      <c r="E61" s="41" t="n">
        <v>4</v>
      </c>
      <c r="F61" s="41" t="n">
        <f aca="false">0+(B63&lt;&gt;"")+(B64&lt;&gt;"")+(B65&lt;&gt;"")</f>
        <v>0</v>
      </c>
      <c r="G61" s="41" t="n">
        <v>3</v>
      </c>
      <c r="H61" s="15" t="str">
        <f aca="false">IF(F61=G61,"Done",IF(F61&gt;0,"In progress","Not yet"))</f>
        <v>Not yet</v>
      </c>
    </row>
    <row r="62" customFormat="false" ht="30" hidden="false" customHeight="true" outlineLevel="0" collapsed="false">
      <c r="A62" s="35" t="s">
        <v>494</v>
      </c>
      <c r="B62" s="35"/>
      <c r="C62" s="35"/>
    </row>
    <row r="63" customFormat="false" ht="15" hidden="false" customHeight="false" outlineLevel="0" collapsed="false">
      <c r="A63" s="6" t="s">
        <v>495</v>
      </c>
      <c r="B63" s="9"/>
      <c r="C63" s="42" t="s">
        <v>352</v>
      </c>
    </row>
    <row r="64" customFormat="false" ht="15" hidden="false" customHeight="false" outlineLevel="0" collapsed="false">
      <c r="A64" s="6" t="s">
        <v>353</v>
      </c>
      <c r="B64" s="9"/>
      <c r="C64" s="42" t="s">
        <v>496</v>
      </c>
    </row>
    <row r="65" customFormat="false" ht="15" hidden="false" customHeight="false" outlineLevel="0" collapsed="false">
      <c r="A65" s="6" t="s">
        <v>497</v>
      </c>
      <c r="B65" s="9"/>
      <c r="C65" s="42" t="s">
        <v>498</v>
      </c>
    </row>
    <row r="66" customFormat="false" ht="15" hidden="false" customHeight="false" outlineLevel="0" collapsed="false">
      <c r="A66" s="45" t="s">
        <v>358</v>
      </c>
      <c r="B66" s="8" t="s">
        <v>359</v>
      </c>
    </row>
    <row r="67" customFormat="false" ht="15" hidden="false" customHeight="false" outlineLevel="0" collapsed="false">
      <c r="A67" s="16" t="s">
        <v>360</v>
      </c>
      <c r="B67" s="49" t="str">
        <f aca="false">IF(OR(B63="",B64=""),"not yet",IF(B63=0,"none",B64/B63))</f>
        <v>not yet</v>
      </c>
    </row>
    <row r="68" customFormat="false" ht="15" hidden="false" customHeight="false" outlineLevel="0" collapsed="false">
      <c r="A68" s="16" t="s">
        <v>499</v>
      </c>
      <c r="B68" s="49" t="str">
        <f aca="false">IF(OR(B64="",B65=""),"not yet",IF(B64=0,"none",B65/B64))</f>
        <v>not yet</v>
      </c>
    </row>
    <row r="69" customFormat="false" ht="27.75" hidden="false" customHeight="true" outlineLevel="0" collapsed="false">
      <c r="A69" s="43" t="s">
        <v>500</v>
      </c>
      <c r="B69" s="43"/>
      <c r="C69" s="43"/>
    </row>
    <row r="71" customFormat="false" ht="15" hidden="false" customHeight="false" outlineLevel="0" collapsed="false">
      <c r="A71" s="37" t="s">
        <v>270</v>
      </c>
      <c r="B71" s="37"/>
      <c r="C71" s="37"/>
      <c r="D71" s="38"/>
      <c r="E71" s="38"/>
      <c r="F71" s="38"/>
      <c r="G71" s="38"/>
      <c r="H71" s="38"/>
    </row>
    <row r="72" customFormat="false" ht="15" hidden="false" customHeight="false" outlineLevel="0" collapsed="false">
      <c r="A72" s="39" t="s">
        <v>364</v>
      </c>
      <c r="B72" s="40" t="s">
        <v>335</v>
      </c>
      <c r="C72" s="40" t="s">
        <v>75</v>
      </c>
      <c r="E72" s="41" t="n">
        <v>5</v>
      </c>
      <c r="F72" s="41" t="n">
        <f aca="false">0+(B74="Y")+(B75="Y")+(B76="Y")+(B77="Y")</f>
        <v>0</v>
      </c>
      <c r="G72" s="41" t="n">
        <v>4</v>
      </c>
      <c r="H72" s="15" t="str">
        <f aca="false">IF(F72=G72,"Done",IF(F72&gt;0,"In progress","Not yet"))</f>
        <v>Not yet</v>
      </c>
    </row>
    <row r="73" customFormat="false" ht="30" hidden="false" customHeight="true" outlineLevel="0" collapsed="false">
      <c r="A73" s="35" t="s">
        <v>501</v>
      </c>
      <c r="B73" s="35"/>
      <c r="C73" s="35"/>
    </row>
    <row r="74" customFormat="false" ht="15" hidden="false" customHeight="false" outlineLevel="0" collapsed="false">
      <c r="A74" s="6" t="s">
        <v>502</v>
      </c>
      <c r="B74" s="44"/>
      <c r="C74" s="22" t="s">
        <v>237</v>
      </c>
    </row>
    <row r="75" customFormat="false" ht="15" hidden="false" customHeight="false" outlineLevel="0" collapsed="false">
      <c r="A75" s="6" t="s">
        <v>503</v>
      </c>
      <c r="B75" s="44"/>
      <c r="C75" s="22" t="s">
        <v>237</v>
      </c>
    </row>
    <row r="76" customFormat="false" ht="15" hidden="false" customHeight="false" outlineLevel="0" collapsed="false">
      <c r="A76" s="6" t="s">
        <v>504</v>
      </c>
      <c r="B76" s="44"/>
      <c r="C76" s="22" t="s">
        <v>237</v>
      </c>
    </row>
    <row r="77" customFormat="false" ht="15" hidden="false" customHeight="false" outlineLevel="0" collapsed="false">
      <c r="A77" s="6" t="s">
        <v>505</v>
      </c>
      <c r="B77" s="44"/>
      <c r="C77" s="22" t="s">
        <v>237</v>
      </c>
    </row>
    <row r="78" customFormat="false" ht="27.75" hidden="false" customHeight="true" outlineLevel="0" collapsed="false">
      <c r="A78" s="43" t="s">
        <v>277</v>
      </c>
      <c r="B78" s="43"/>
      <c r="C78" s="43"/>
    </row>
  </sheetData>
  <mergeCells count="25">
    <mergeCell ref="A1:H1"/>
    <mergeCell ref="A2:H2"/>
    <mergeCell ref="A3:H3"/>
    <mergeCell ref="E10:H10"/>
    <mergeCell ref="A12:C12"/>
    <mergeCell ref="A14:C14"/>
    <mergeCell ref="A16:C16"/>
    <mergeCell ref="A18:C18"/>
    <mergeCell ref="A20:C20"/>
    <mergeCell ref="A23:C23"/>
    <mergeCell ref="A26:C26"/>
    <mergeCell ref="A29:C29"/>
    <mergeCell ref="A32:C32"/>
    <mergeCell ref="A40:C40"/>
    <mergeCell ref="A42:C42"/>
    <mergeCell ref="A44:C44"/>
    <mergeCell ref="A50:C50"/>
    <mergeCell ref="A53:C53"/>
    <mergeCell ref="A58:C58"/>
    <mergeCell ref="A60:C60"/>
    <mergeCell ref="A62:C62"/>
    <mergeCell ref="A69:C69"/>
    <mergeCell ref="A71:C71"/>
    <mergeCell ref="A73:C73"/>
    <mergeCell ref="A78:C78"/>
  </mergeCells>
  <conditionalFormatting sqref="H1:H80">
    <cfRule type="cellIs" priority="2" operator="equal" aboveAverage="0" equalAverage="0" bottom="0" percent="0" rank="0" text="" dxfId="1">
      <formula>"Done"</formula>
    </cfRule>
    <cfRule type="cellIs" priority="3" operator="equal" aboveAverage="0" equalAverage="0" bottom="0" percent="0" rank="0" text="" dxfId="2">
      <formula>"In progress"</formula>
    </cfRule>
  </conditionalFormatting>
  <dataValidations count="2">
    <dataValidation allowBlank="true" errorStyle="stop" operator="between" showDropDown="false" showErrorMessage="false" showInputMessage="false" sqref="B15 B20 B22:B26 B28:B65 B70:B72 B74:B83 B91:B94" type="list">
      <formula1>"Y"</formula1>
      <formula2>0</formula2>
    </dataValidation>
    <dataValidation allowBlank="true" errorStyle="stop" operator="between" showDropDown="false" showErrorMessage="false" showInputMessage="false" sqref="B21" type="list">
      <formula1>"A tool that finds them,A list I buy,A list I build by hand"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40"/>
    <col collapsed="false" customWidth="true" hidden="false" outlineLevel="0" max="3" min="3" style="0" width="46"/>
    <col collapsed="false" customWidth="true" hidden="false" outlineLevel="0" max="4" min="4" style="0" width="3"/>
    <col collapsed="false" customWidth="true" hidden="false" outlineLevel="0" max="7" min="5" style="0" width="7"/>
    <col collapsed="false" customWidth="true" hidden="false" outlineLevel="0" max="8" min="8" style="0" width="13"/>
  </cols>
  <sheetData>
    <row r="1" customFormat="false" ht="25.5" hidden="false" customHeight="true" outlineLevel="0" collapsed="false">
      <c r="A1" s="1" t="s">
        <v>506</v>
      </c>
      <c r="B1" s="1"/>
      <c r="C1" s="1"/>
      <c r="D1" s="1"/>
      <c r="E1" s="1"/>
      <c r="F1" s="1"/>
      <c r="G1" s="1"/>
      <c r="H1" s="1"/>
    </row>
    <row r="2" customFormat="false" ht="30" hidden="false" customHeight="true" outlineLevel="0" collapsed="false">
      <c r="A2" s="2" t="s">
        <v>507</v>
      </c>
      <c r="B2" s="2"/>
      <c r="C2" s="2"/>
      <c r="D2" s="2"/>
      <c r="E2" s="2"/>
      <c r="F2" s="2"/>
      <c r="G2" s="2"/>
      <c r="H2" s="2"/>
    </row>
    <row r="3" customFormat="false" ht="30" hidden="false" customHeight="true" outlineLevel="0" collapsed="false">
      <c r="A3" s="3" t="s">
        <v>2</v>
      </c>
      <c r="B3" s="3"/>
      <c r="C3" s="3"/>
      <c r="D3" s="3"/>
      <c r="E3" s="3"/>
      <c r="F3" s="3"/>
      <c r="G3" s="3"/>
      <c r="H3" s="3"/>
    </row>
    <row r="4" customFormat="false" ht="30" hidden="false" customHeight="true" outlineLevel="0" collapsed="false">
      <c r="A4" s="4" t="s">
        <v>181</v>
      </c>
      <c r="B4" s="4" t="s">
        <v>182</v>
      </c>
      <c r="C4" s="4" t="s">
        <v>51</v>
      </c>
      <c r="D4" s="4"/>
      <c r="E4" s="4" t="s">
        <v>181</v>
      </c>
      <c r="F4" s="4" t="s">
        <v>183</v>
      </c>
      <c r="G4" s="4" t="s">
        <v>51</v>
      </c>
      <c r="H4" s="4" t="s">
        <v>184</v>
      </c>
    </row>
    <row r="5" customFormat="false" ht="15" hidden="false" customHeight="false" outlineLevel="0" collapsed="false">
      <c r="A5" s="16" t="s">
        <v>185</v>
      </c>
      <c r="B5" s="18" t="n">
        <f aca="false">COUNTIFS($E$1:$E$600,1,$H$1:$H$600,"Done")</f>
        <v>0</v>
      </c>
      <c r="C5" s="17" t="n">
        <f aca="false">COUNTIF($E$1:$E$600,1)</f>
        <v>2</v>
      </c>
    </row>
    <row r="6" customFormat="false" ht="15" hidden="false" customHeight="false" outlineLevel="0" collapsed="false">
      <c r="A6" s="16" t="s">
        <v>186</v>
      </c>
      <c r="B6" s="18" t="n">
        <f aca="false">COUNTIFS($E$1:$E$600,2,$H$1:$H$600,"Done")</f>
        <v>0</v>
      </c>
      <c r="C6" s="17" t="n">
        <f aca="false">COUNTIF($E$1:$E$600,2)</f>
        <v>2</v>
      </c>
    </row>
    <row r="7" customFormat="false" ht="15" hidden="false" customHeight="false" outlineLevel="0" collapsed="false">
      <c r="A7" s="16" t="s">
        <v>187</v>
      </c>
      <c r="B7" s="18" t="n">
        <f aca="false">COUNTIFS($E$1:$E$600,3,$H$1:$H$600,"Done")</f>
        <v>0</v>
      </c>
      <c r="C7" s="17" t="n">
        <f aca="false">COUNTIF($E$1:$E$600,3)</f>
        <v>2</v>
      </c>
    </row>
    <row r="8" customFormat="false" ht="15" hidden="false" customHeight="false" outlineLevel="0" collapsed="false">
      <c r="A8" s="16" t="s">
        <v>188</v>
      </c>
      <c r="B8" s="18" t="n">
        <f aca="false">COUNTIFS($E$1:$E$600,4,$H$1:$H$600,"Done")</f>
        <v>2</v>
      </c>
      <c r="C8" s="17" t="n">
        <f aca="false">COUNTIF($E$1:$E$600,4)</f>
        <v>2</v>
      </c>
    </row>
    <row r="9" customFormat="false" ht="15" hidden="false" customHeight="false" outlineLevel="0" collapsed="false">
      <c r="A9" s="16" t="s">
        <v>189</v>
      </c>
      <c r="B9" s="18" t="n">
        <f aca="false">COUNTIFS($E$1:$E$600,5,$H$1:$H$600,"Done")</f>
        <v>0</v>
      </c>
      <c r="C9" s="17" t="n">
        <f aca="false">COUNTIF($E$1:$E$600,5)</f>
        <v>1</v>
      </c>
    </row>
    <row r="10" customFormat="false" ht="39.75" hidden="false" customHeight="true" outlineLevel="0" collapsed="false">
      <c r="A10" s="11" t="s">
        <v>190</v>
      </c>
      <c r="B10" s="18" t="n">
        <f aca="false">SUM(B5:B9)</f>
        <v>2</v>
      </c>
      <c r="C10" s="17" t="n">
        <f aca="false">SUM(C5:C9)</f>
        <v>9</v>
      </c>
      <c r="E10" s="23" t="s">
        <v>191</v>
      </c>
      <c r="F10" s="23"/>
      <c r="G10" s="23"/>
      <c r="H10" s="23"/>
    </row>
    <row r="12" customFormat="false" ht="15" hidden="false" customHeight="false" outlineLevel="0" collapsed="false">
      <c r="A12" s="37" t="s">
        <v>192</v>
      </c>
      <c r="B12" s="37"/>
      <c r="C12" s="37"/>
      <c r="D12" s="38"/>
      <c r="E12" s="38"/>
      <c r="F12" s="38"/>
      <c r="G12" s="38"/>
      <c r="H12" s="38"/>
    </row>
    <row r="13" customFormat="false" ht="15" hidden="false" customHeight="false" outlineLevel="0" collapsed="false">
      <c r="A13" s="39" t="s">
        <v>508</v>
      </c>
      <c r="B13" s="40" t="s">
        <v>219</v>
      </c>
      <c r="C13" s="40" t="s">
        <v>77</v>
      </c>
      <c r="E13" s="41" t="n">
        <v>1</v>
      </c>
      <c r="F13" s="41" t="n">
        <f aca="false">0+(B15="Y")</f>
        <v>0</v>
      </c>
      <c r="G13" s="41" t="n">
        <v>1</v>
      </c>
      <c r="H13" s="15" t="str">
        <f aca="false">IF(F13=G13,"Done",IF(F13&gt;0,"In progress","Not yet"))</f>
        <v>Not yet</v>
      </c>
    </row>
    <row r="14" customFormat="false" ht="45" hidden="false" customHeight="true" outlineLevel="0" collapsed="false">
      <c r="A14" s="35" t="s">
        <v>509</v>
      </c>
      <c r="B14" s="35"/>
      <c r="C14" s="35"/>
    </row>
    <row r="15" customFormat="false" ht="15" hidden="false" customHeight="false" outlineLevel="0" collapsed="false">
      <c r="A15" s="16" t="s">
        <v>282</v>
      </c>
      <c r="B15" s="44"/>
    </row>
    <row r="16" customFormat="false" ht="27.75" hidden="false" customHeight="true" outlineLevel="0" collapsed="false">
      <c r="A16" s="43" t="s">
        <v>283</v>
      </c>
      <c r="B16" s="43"/>
      <c r="C16" s="43"/>
    </row>
    <row r="18" customFormat="false" ht="15" hidden="false" customHeight="false" outlineLevel="0" collapsed="false">
      <c r="A18" s="39" t="s">
        <v>510</v>
      </c>
      <c r="B18" s="40" t="s">
        <v>194</v>
      </c>
      <c r="C18" s="40" t="s">
        <v>511</v>
      </c>
      <c r="E18" s="41" t="n">
        <v>1</v>
      </c>
      <c r="F18" s="41" t="n">
        <f aca="false">0+(B20="Y")</f>
        <v>0</v>
      </c>
      <c r="G18" s="41" t="n">
        <v>1</v>
      </c>
      <c r="H18" s="15" t="str">
        <f aca="false">IF(F18=G18,"Done",IF(F18&gt;0,"In progress","Not yet"))</f>
        <v>Not yet</v>
      </c>
    </row>
    <row r="19" customFormat="false" ht="30" hidden="false" customHeight="true" outlineLevel="0" collapsed="false">
      <c r="A19" s="35" t="s">
        <v>512</v>
      </c>
      <c r="B19" s="35"/>
      <c r="C19" s="35"/>
    </row>
    <row r="20" customFormat="false" ht="15" hidden="false" customHeight="false" outlineLevel="0" collapsed="false">
      <c r="A20" s="16" t="s">
        <v>282</v>
      </c>
      <c r="B20" s="44"/>
    </row>
    <row r="21" customFormat="false" ht="27.75" hidden="false" customHeight="true" outlineLevel="0" collapsed="false">
      <c r="A21" s="43" t="s">
        <v>283</v>
      </c>
      <c r="B21" s="43"/>
      <c r="C21" s="43"/>
    </row>
    <row r="23" customFormat="false" ht="15" hidden="false" customHeight="false" outlineLevel="0" collapsed="false">
      <c r="A23" s="37" t="s">
        <v>209</v>
      </c>
      <c r="B23" s="37"/>
      <c r="C23" s="37"/>
      <c r="D23" s="38"/>
      <c r="E23" s="38"/>
      <c r="F23" s="38"/>
      <c r="G23" s="38"/>
      <c r="H23" s="38"/>
    </row>
    <row r="24" customFormat="false" ht="15" hidden="false" customHeight="false" outlineLevel="0" collapsed="false">
      <c r="A24" s="39" t="s">
        <v>513</v>
      </c>
      <c r="B24" s="40" t="s">
        <v>233</v>
      </c>
      <c r="C24" s="40" t="s">
        <v>511</v>
      </c>
      <c r="E24" s="41" t="n">
        <v>2</v>
      </c>
      <c r="F24" s="41" t="n">
        <f aca="false">0+(B26&lt;&gt;"")+(B27&lt;&gt;"")+(B28&lt;&gt;"")</f>
        <v>0</v>
      </c>
      <c r="G24" s="41" t="n">
        <v>3</v>
      </c>
      <c r="H24" s="15" t="str">
        <f aca="false">IF(F24=G24,"Done",IF(F24&gt;0,"In progress","Not yet"))</f>
        <v>Not yet</v>
      </c>
    </row>
    <row r="25" customFormat="false" ht="30" hidden="false" customHeight="true" outlineLevel="0" collapsed="false">
      <c r="A25" s="35" t="s">
        <v>514</v>
      </c>
      <c r="B25" s="35"/>
      <c r="C25" s="35"/>
    </row>
    <row r="26" customFormat="false" ht="15" hidden="false" customHeight="false" outlineLevel="0" collapsed="false">
      <c r="A26" s="6" t="s">
        <v>515</v>
      </c>
      <c r="B26" s="7"/>
      <c r="C26" s="42" t="s">
        <v>516</v>
      </c>
    </row>
    <row r="27" customFormat="false" ht="15" hidden="false" customHeight="false" outlineLevel="0" collapsed="false">
      <c r="A27" s="6" t="s">
        <v>517</v>
      </c>
      <c r="B27" s="7"/>
      <c r="C27" s="42" t="s">
        <v>518</v>
      </c>
    </row>
    <row r="28" customFormat="false" ht="15" hidden="false" customHeight="false" outlineLevel="0" collapsed="false">
      <c r="A28" s="6" t="s">
        <v>519</v>
      </c>
      <c r="B28" s="7"/>
      <c r="C28" s="42" t="s">
        <v>520</v>
      </c>
    </row>
    <row r="29" customFormat="false" ht="27.75" hidden="false" customHeight="true" outlineLevel="0" collapsed="false">
      <c r="A29" s="43" t="s">
        <v>521</v>
      </c>
      <c r="B29" s="43"/>
      <c r="C29" s="43"/>
    </row>
    <row r="31" customFormat="false" ht="15" hidden="false" customHeight="false" outlineLevel="0" collapsed="false">
      <c r="A31" s="39" t="s">
        <v>522</v>
      </c>
      <c r="B31" s="40" t="s">
        <v>335</v>
      </c>
      <c r="C31" s="40" t="s">
        <v>511</v>
      </c>
      <c r="E31" s="41" t="n">
        <v>2</v>
      </c>
      <c r="F31" s="41" t="n">
        <f aca="false">0+(B33&lt;&gt;"")+(B34&lt;&gt;"")+(B35&lt;&gt;"")+(B36&lt;&gt;"")</f>
        <v>0</v>
      </c>
      <c r="G31" s="41" t="n">
        <v>4</v>
      </c>
      <c r="H31" s="15" t="str">
        <f aca="false">IF(F31=G31,"Done",IF(F31&gt;0,"In progress","Not yet"))</f>
        <v>Not yet</v>
      </c>
    </row>
    <row r="32" customFormat="false" ht="30" hidden="false" customHeight="true" outlineLevel="0" collapsed="false">
      <c r="A32" s="35" t="s">
        <v>523</v>
      </c>
      <c r="B32" s="35"/>
      <c r="C32" s="35"/>
    </row>
    <row r="33" customFormat="false" ht="15" hidden="false" customHeight="false" outlineLevel="0" collapsed="false">
      <c r="A33" s="6" t="s">
        <v>524</v>
      </c>
      <c r="B33" s="7"/>
      <c r="C33" s="42" t="s">
        <v>525</v>
      </c>
    </row>
    <row r="34" customFormat="false" ht="45" hidden="false" customHeight="true" outlineLevel="0" collapsed="false">
      <c r="A34" s="6" t="s">
        <v>526</v>
      </c>
      <c r="B34" s="7"/>
      <c r="C34" s="42" t="s">
        <v>527</v>
      </c>
    </row>
    <row r="35" customFormat="false" ht="15" hidden="false" customHeight="false" outlineLevel="0" collapsed="false">
      <c r="A35" s="6" t="s">
        <v>528</v>
      </c>
      <c r="B35" s="7"/>
      <c r="C35" s="42" t="s">
        <v>529</v>
      </c>
    </row>
    <row r="36" customFormat="false" ht="15" hidden="false" customHeight="false" outlineLevel="0" collapsed="false">
      <c r="A36" s="6" t="s">
        <v>530</v>
      </c>
      <c r="B36" s="7"/>
      <c r="C36" s="42" t="s">
        <v>223</v>
      </c>
    </row>
    <row r="37" customFormat="false" ht="27.75" hidden="false" customHeight="true" outlineLevel="0" collapsed="false">
      <c r="A37" s="43" t="s">
        <v>531</v>
      </c>
      <c r="B37" s="43"/>
      <c r="C37" s="43"/>
    </row>
    <row r="39" customFormat="false" ht="15" hidden="false" customHeight="false" outlineLevel="0" collapsed="false">
      <c r="A39" s="37" t="s">
        <v>231</v>
      </c>
      <c r="B39" s="37"/>
      <c r="C39" s="37"/>
      <c r="D39" s="38"/>
      <c r="E39" s="38"/>
      <c r="F39" s="38"/>
      <c r="G39" s="38"/>
      <c r="H39" s="38"/>
    </row>
    <row r="40" customFormat="false" ht="15" hidden="false" customHeight="false" outlineLevel="0" collapsed="false">
      <c r="A40" s="39" t="s">
        <v>532</v>
      </c>
      <c r="B40" s="40" t="s">
        <v>486</v>
      </c>
      <c r="C40" s="40" t="s">
        <v>77</v>
      </c>
      <c r="E40" s="41" t="n">
        <v>3</v>
      </c>
      <c r="F40" s="41" t="n">
        <f aca="false">0+(B42="Y")+(B43="Y")+(B44="Y")+(B45="Y")+(B46="Y")</f>
        <v>0</v>
      </c>
      <c r="G40" s="41" t="n">
        <v>5</v>
      </c>
      <c r="H40" s="15" t="str">
        <f aca="false">IF(F40=G40,"Done",IF(F40&gt;0,"In progress","Not yet"))</f>
        <v>Not yet</v>
      </c>
    </row>
    <row r="41" customFormat="false" ht="30" hidden="false" customHeight="true" outlineLevel="0" collapsed="false">
      <c r="A41" s="35" t="s">
        <v>533</v>
      </c>
      <c r="B41" s="35"/>
      <c r="C41" s="35"/>
    </row>
    <row r="42" customFormat="false" ht="15" hidden="false" customHeight="false" outlineLevel="0" collapsed="false">
      <c r="A42" s="6" t="s">
        <v>534</v>
      </c>
      <c r="B42" s="44"/>
      <c r="C42" s="22" t="s">
        <v>237</v>
      </c>
    </row>
    <row r="43" customFormat="false" ht="15" hidden="false" customHeight="false" outlineLevel="0" collapsed="false">
      <c r="A43" s="6" t="s">
        <v>535</v>
      </c>
      <c r="B43" s="44"/>
      <c r="C43" s="22" t="s">
        <v>237</v>
      </c>
    </row>
    <row r="44" customFormat="false" ht="15" hidden="false" customHeight="false" outlineLevel="0" collapsed="false">
      <c r="A44" s="6" t="s">
        <v>536</v>
      </c>
      <c r="B44" s="44"/>
      <c r="C44" s="22" t="s">
        <v>237</v>
      </c>
    </row>
    <row r="45" customFormat="false" ht="15" hidden="false" customHeight="false" outlineLevel="0" collapsed="false">
      <c r="A45" s="6" t="s">
        <v>537</v>
      </c>
      <c r="B45" s="44"/>
      <c r="C45" s="22" t="s">
        <v>237</v>
      </c>
    </row>
    <row r="46" customFormat="false" ht="15" hidden="false" customHeight="false" outlineLevel="0" collapsed="false">
      <c r="A46" s="6" t="s">
        <v>538</v>
      </c>
      <c r="B46" s="44"/>
      <c r="C46" s="22" t="s">
        <v>237</v>
      </c>
    </row>
    <row r="47" customFormat="false" ht="27.75" hidden="false" customHeight="true" outlineLevel="0" collapsed="false">
      <c r="A47" s="43" t="s">
        <v>539</v>
      </c>
      <c r="B47" s="43"/>
      <c r="C47" s="43"/>
    </row>
    <row r="49" customFormat="false" ht="15" hidden="false" customHeight="false" outlineLevel="0" collapsed="false">
      <c r="A49" s="39" t="s">
        <v>540</v>
      </c>
      <c r="B49" s="40" t="s">
        <v>335</v>
      </c>
      <c r="C49" s="40" t="s">
        <v>541</v>
      </c>
      <c r="E49" s="41" t="n">
        <v>3</v>
      </c>
      <c r="F49" s="41" t="n">
        <f aca="false">0+(B51="Y")+(B52="Y")+(B53="Y")+(B54="Y")</f>
        <v>0</v>
      </c>
      <c r="G49" s="41" t="n">
        <v>4</v>
      </c>
      <c r="H49" s="15" t="str">
        <f aca="false">IF(F49=G49,"Done",IF(F49&gt;0,"In progress","Not yet"))</f>
        <v>Not yet</v>
      </c>
    </row>
    <row r="50" customFormat="false" ht="30" hidden="false" customHeight="true" outlineLevel="0" collapsed="false">
      <c r="A50" s="35" t="s">
        <v>542</v>
      </c>
      <c r="B50" s="35"/>
      <c r="C50" s="35"/>
    </row>
    <row r="51" customFormat="false" ht="15" hidden="false" customHeight="false" outlineLevel="0" collapsed="false">
      <c r="A51" s="6" t="s">
        <v>543</v>
      </c>
      <c r="B51" s="44"/>
      <c r="C51" s="22" t="s">
        <v>237</v>
      </c>
    </row>
    <row r="52" customFormat="false" ht="15" hidden="false" customHeight="false" outlineLevel="0" collapsed="false">
      <c r="A52" s="6" t="s">
        <v>544</v>
      </c>
      <c r="B52" s="44"/>
      <c r="C52" s="22" t="s">
        <v>237</v>
      </c>
    </row>
    <row r="53" customFormat="false" ht="15" hidden="false" customHeight="false" outlineLevel="0" collapsed="false">
      <c r="A53" s="6" t="s">
        <v>545</v>
      </c>
      <c r="B53" s="44"/>
      <c r="C53" s="22" t="s">
        <v>237</v>
      </c>
    </row>
    <row r="54" customFormat="false" ht="15" hidden="false" customHeight="false" outlineLevel="0" collapsed="false">
      <c r="A54" s="6" t="s">
        <v>546</v>
      </c>
      <c r="B54" s="44"/>
      <c r="C54" s="22" t="s">
        <v>237</v>
      </c>
    </row>
    <row r="55" customFormat="false" ht="27.75" hidden="false" customHeight="true" outlineLevel="0" collapsed="false">
      <c r="A55" s="43" t="s">
        <v>547</v>
      </c>
      <c r="B55" s="43"/>
      <c r="C55" s="43"/>
    </row>
    <row r="57" customFormat="false" ht="15" hidden="false" customHeight="false" outlineLevel="0" collapsed="false">
      <c r="A57" s="37" t="s">
        <v>261</v>
      </c>
      <c r="B57" s="37"/>
      <c r="C57" s="37"/>
      <c r="D57" s="38"/>
      <c r="E57" s="38"/>
      <c r="F57" s="38"/>
      <c r="G57" s="38"/>
      <c r="H57" s="38"/>
    </row>
    <row r="58" customFormat="false" ht="15" hidden="false" customHeight="false" outlineLevel="0" collapsed="false">
      <c r="A58" s="39" t="s">
        <v>548</v>
      </c>
      <c r="B58" s="40" t="s">
        <v>194</v>
      </c>
      <c r="C58" s="40" t="s">
        <v>541</v>
      </c>
      <c r="E58" s="41" t="n">
        <v>4</v>
      </c>
      <c r="F58" s="41" t="n">
        <f aca="false">0+(Machine!$B$17&lt;&gt;"")+(Machine!$B$7&lt;&gt;"")+(Machine!$B$8&lt;&gt;"")+(Machine!$B$9&lt;&gt;"")+(Machine!$B$10&lt;&gt;"")+(Machine!$B$11&lt;&gt;"")+(Machine!$B$12&lt;&gt;"")</f>
        <v>7</v>
      </c>
      <c r="G58" s="41" t="n">
        <v>7</v>
      </c>
      <c r="H58" s="15" t="str">
        <f aca="false">IF(F58=G58,"Done",IF(F58&gt;0,"In progress","Not yet"))</f>
        <v>Done</v>
      </c>
    </row>
    <row r="59" customFormat="false" ht="30" hidden="false" customHeight="true" outlineLevel="0" collapsed="false">
      <c r="A59" s="35" t="s">
        <v>549</v>
      </c>
      <c r="B59" s="35"/>
      <c r="C59" s="35"/>
    </row>
    <row r="60" customFormat="false" ht="15" hidden="false" customHeight="false" outlineLevel="0" collapsed="false">
      <c r="A60" s="16" t="s">
        <v>550</v>
      </c>
      <c r="B60" s="50" t="n">
        <f aca="false">IF(Machine!$B$17="","not yet",Machine!$B$17)</f>
        <v>3000</v>
      </c>
      <c r="C60" s="22" t="s">
        <v>551</v>
      </c>
    </row>
    <row r="61" customFormat="false" ht="15" hidden="false" customHeight="false" outlineLevel="0" collapsed="false">
      <c r="A61" s="16" t="s">
        <v>552</v>
      </c>
      <c r="B61" s="51" t="n">
        <f aca="false">IF(Machine!$B$7="","not yet",Machine!$B$7)</f>
        <v>100</v>
      </c>
      <c r="C61" s="22" t="s">
        <v>551</v>
      </c>
    </row>
    <row r="62" customFormat="false" ht="15" hidden="false" customHeight="false" outlineLevel="0" collapsed="false">
      <c r="A62" s="16" t="s">
        <v>553</v>
      </c>
      <c r="B62" s="51" t="n">
        <f aca="false">IF(Machine!$B$8="","not yet",Machine!$B$8)</f>
        <v>22</v>
      </c>
      <c r="C62" s="22" t="s">
        <v>551</v>
      </c>
    </row>
    <row r="63" customFormat="false" ht="15" hidden="false" customHeight="false" outlineLevel="0" collapsed="false">
      <c r="A63" s="16" t="s">
        <v>554</v>
      </c>
      <c r="B63" s="52" t="n">
        <f aca="false">IF(Machine!$B$9="","not yet",Machine!$B$9)</f>
        <v>0.05</v>
      </c>
      <c r="C63" s="22" t="s">
        <v>551</v>
      </c>
    </row>
    <row r="64" customFormat="false" ht="15" hidden="false" customHeight="false" outlineLevel="0" collapsed="false">
      <c r="A64" s="16" t="s">
        <v>555</v>
      </c>
      <c r="B64" s="52" t="n">
        <f aca="false">IF(Machine!$B$10="","not yet",Machine!$B$10)</f>
        <v>0.4</v>
      </c>
      <c r="C64" s="22" t="s">
        <v>551</v>
      </c>
    </row>
    <row r="65" customFormat="false" ht="15" hidden="false" customHeight="false" outlineLevel="0" collapsed="false">
      <c r="A65" s="16" t="s">
        <v>556</v>
      </c>
      <c r="B65" s="52" t="n">
        <f aca="false">IF(Machine!$B$11="","not yet",Machine!$B$11)</f>
        <v>0.7</v>
      </c>
      <c r="C65" s="22" t="s">
        <v>551</v>
      </c>
    </row>
    <row r="66" customFormat="false" ht="15" hidden="false" customHeight="false" outlineLevel="0" collapsed="false">
      <c r="A66" s="16" t="s">
        <v>557</v>
      </c>
      <c r="B66" s="52" t="n">
        <f aca="false">IF(Machine!$B$12="","not yet",Machine!$B$12)</f>
        <v>0.3</v>
      </c>
      <c r="C66" s="22" t="s">
        <v>551</v>
      </c>
    </row>
    <row r="67" customFormat="false" ht="27.75" hidden="false" customHeight="true" outlineLevel="0" collapsed="false">
      <c r="A67" s="43" t="s">
        <v>558</v>
      </c>
      <c r="B67" s="43"/>
      <c r="C67" s="43"/>
    </row>
    <row r="69" customFormat="false" ht="15" hidden="false" customHeight="false" outlineLevel="0" collapsed="false">
      <c r="A69" s="39" t="s">
        <v>559</v>
      </c>
      <c r="B69" s="40" t="s">
        <v>194</v>
      </c>
      <c r="C69" s="40" t="s">
        <v>541</v>
      </c>
      <c r="E69" s="41" t="n">
        <v>4</v>
      </c>
      <c r="F69" s="41" t="n">
        <f aca="false">0+(Machine!$B$13&lt;&gt;"")+(Machine!$B$14&lt;&gt;"")+(Machine!$B$15&lt;&gt;"")+(Machine!$B$16&lt;&gt;"")</f>
        <v>4</v>
      </c>
      <c r="G69" s="41" t="n">
        <v>4</v>
      </c>
      <c r="H69" s="15" t="str">
        <f aca="false">IF(F69=G69,"Done",IF(F69&gt;0,"In progress","Not yet"))</f>
        <v>Done</v>
      </c>
    </row>
    <row r="70" customFormat="false" ht="30" hidden="false" customHeight="true" outlineLevel="0" collapsed="false">
      <c r="A70" s="35" t="s">
        <v>560</v>
      </c>
      <c r="B70" s="35"/>
      <c r="C70" s="35"/>
    </row>
    <row r="71" customFormat="false" ht="15" hidden="false" customHeight="false" outlineLevel="0" collapsed="false">
      <c r="A71" s="16" t="s">
        <v>561</v>
      </c>
      <c r="B71" s="50" t="n">
        <f aca="false">IF(Machine!$B$13="","not yet",Machine!$B$13)</f>
        <v>300</v>
      </c>
      <c r="C71" s="22" t="s">
        <v>551</v>
      </c>
    </row>
    <row r="72" customFormat="false" ht="15" hidden="false" customHeight="false" outlineLevel="0" collapsed="false">
      <c r="A72" s="16" t="s">
        <v>562</v>
      </c>
      <c r="B72" s="50" t="n">
        <f aca="false">IF(Machine!$B$14="","not yet",Machine!$B$14)</f>
        <v>200</v>
      </c>
      <c r="C72" s="22" t="s">
        <v>551</v>
      </c>
    </row>
    <row r="73" customFormat="false" ht="15" hidden="false" customHeight="false" outlineLevel="0" collapsed="false">
      <c r="A73" s="16" t="s">
        <v>563</v>
      </c>
      <c r="B73" s="51" t="n">
        <f aca="false">IF(Machine!$B$15="","not yet",Machine!$B$15)</f>
        <v>8</v>
      </c>
      <c r="C73" s="22" t="s">
        <v>551</v>
      </c>
    </row>
    <row r="74" customFormat="false" ht="15" hidden="false" customHeight="false" outlineLevel="0" collapsed="false">
      <c r="A74" s="16" t="s">
        <v>564</v>
      </c>
      <c r="B74" s="52" t="n">
        <f aca="false">IF(Machine!$B$16="","not yet",Machine!$B$16)</f>
        <v>0.7</v>
      </c>
      <c r="C74" s="22" t="s">
        <v>551</v>
      </c>
    </row>
    <row r="75" customFormat="false" ht="27.75" hidden="false" customHeight="true" outlineLevel="0" collapsed="false">
      <c r="A75" s="43" t="s">
        <v>565</v>
      </c>
      <c r="B75" s="43"/>
      <c r="C75" s="43"/>
    </row>
    <row r="77" customFormat="false" ht="15" hidden="false" customHeight="false" outlineLevel="0" collapsed="false">
      <c r="A77" s="37" t="s">
        <v>270</v>
      </c>
      <c r="B77" s="37"/>
      <c r="C77" s="37"/>
      <c r="D77" s="38"/>
      <c r="E77" s="38"/>
      <c r="F77" s="38"/>
      <c r="G77" s="38"/>
      <c r="H77" s="38"/>
    </row>
    <row r="78" customFormat="false" ht="15" hidden="false" customHeight="false" outlineLevel="0" collapsed="false">
      <c r="A78" s="39" t="s">
        <v>364</v>
      </c>
      <c r="B78" s="40" t="s">
        <v>244</v>
      </c>
      <c r="C78" s="40" t="s">
        <v>541</v>
      </c>
      <c r="E78" s="41" t="n">
        <v>5</v>
      </c>
      <c r="F78" s="41" t="n">
        <f aca="false">0+(B80="Y")+(B81="Y")+(B82="Y")+(B83="Y")</f>
        <v>0</v>
      </c>
      <c r="G78" s="41" t="n">
        <v>4</v>
      </c>
      <c r="H78" s="15" t="str">
        <f aca="false">IF(F78=G78,"Done",IF(F78&gt;0,"In progress","Not yet"))</f>
        <v>Not yet</v>
      </c>
    </row>
    <row r="79" customFormat="false" ht="30" hidden="false" customHeight="true" outlineLevel="0" collapsed="false">
      <c r="A79" s="35" t="s">
        <v>566</v>
      </c>
      <c r="B79" s="35"/>
      <c r="C79" s="35"/>
    </row>
    <row r="80" customFormat="false" ht="15" hidden="false" customHeight="false" outlineLevel="0" collapsed="false">
      <c r="A80" s="6" t="s">
        <v>567</v>
      </c>
      <c r="B80" s="44"/>
      <c r="C80" s="22" t="s">
        <v>237</v>
      </c>
    </row>
    <row r="81" customFormat="false" ht="15" hidden="false" customHeight="false" outlineLevel="0" collapsed="false">
      <c r="A81" s="6" t="s">
        <v>568</v>
      </c>
      <c r="B81" s="44"/>
      <c r="C81" s="22" t="s">
        <v>237</v>
      </c>
    </row>
    <row r="82" customFormat="false" ht="15" hidden="false" customHeight="false" outlineLevel="0" collapsed="false">
      <c r="A82" s="6" t="s">
        <v>569</v>
      </c>
      <c r="B82" s="44"/>
      <c r="C82" s="22" t="s">
        <v>237</v>
      </c>
    </row>
    <row r="83" customFormat="false" ht="15" hidden="false" customHeight="false" outlineLevel="0" collapsed="false">
      <c r="A83" s="6" t="s">
        <v>570</v>
      </c>
      <c r="B83" s="44"/>
      <c r="C83" s="22" t="s">
        <v>237</v>
      </c>
    </row>
    <row r="84" customFormat="false" ht="27.75" hidden="false" customHeight="true" outlineLevel="0" collapsed="false">
      <c r="A84" s="43" t="s">
        <v>277</v>
      </c>
      <c r="B84" s="43"/>
      <c r="C84" s="43"/>
    </row>
  </sheetData>
  <mergeCells count="27">
    <mergeCell ref="A1:H1"/>
    <mergeCell ref="A2:H2"/>
    <mergeCell ref="A3:H3"/>
    <mergeCell ref="E10:H10"/>
    <mergeCell ref="A12:C12"/>
    <mergeCell ref="A14:C14"/>
    <mergeCell ref="A16:C16"/>
    <mergeCell ref="A19:C19"/>
    <mergeCell ref="A21:C21"/>
    <mergeCell ref="A23:C23"/>
    <mergeCell ref="A25:C25"/>
    <mergeCell ref="A29:C29"/>
    <mergeCell ref="A32:C32"/>
    <mergeCell ref="A37:C37"/>
    <mergeCell ref="A39:C39"/>
    <mergeCell ref="A41:C41"/>
    <mergeCell ref="A47:C47"/>
    <mergeCell ref="A50:C50"/>
    <mergeCell ref="A55:C55"/>
    <mergeCell ref="A57:C57"/>
    <mergeCell ref="A59:C59"/>
    <mergeCell ref="A67:C67"/>
    <mergeCell ref="A70:C70"/>
    <mergeCell ref="A75:C75"/>
    <mergeCell ref="A77:C77"/>
    <mergeCell ref="A79:C79"/>
    <mergeCell ref="A84:C84"/>
  </mergeCells>
  <conditionalFormatting sqref="H1:H86">
    <cfRule type="cellIs" priority="2" operator="equal" aboveAverage="0" equalAverage="0" bottom="0" percent="0" rank="0" text="" dxfId="1">
      <formula>"Done"</formula>
    </cfRule>
    <cfRule type="cellIs" priority="3" operator="equal" aboveAverage="0" equalAverage="0" bottom="0" percent="0" rank="0" text="" dxfId="2">
      <formula>"In progress"</formula>
    </cfRule>
  </conditionalFormatting>
  <dataValidations count="1">
    <dataValidation allowBlank="true" errorStyle="stop" operator="between" showDropDown="false" showErrorMessage="false" showInputMessage="false" sqref="B15 B20 B22:B26 B28:B65 B70:B72 B74:B83 B91:B94"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40"/>
    <col collapsed="false" customWidth="true" hidden="false" outlineLevel="0" max="3" min="3" style="0" width="46"/>
    <col collapsed="false" customWidth="true" hidden="false" outlineLevel="0" max="4" min="4" style="0" width="3"/>
    <col collapsed="false" customWidth="true" hidden="false" outlineLevel="0" max="7" min="5" style="0" width="7"/>
    <col collapsed="false" customWidth="true" hidden="false" outlineLevel="0" max="8" min="8" style="0" width="13"/>
  </cols>
  <sheetData>
    <row r="1" customFormat="false" ht="25.5" hidden="false" customHeight="true" outlineLevel="0" collapsed="false">
      <c r="A1" s="1" t="s">
        <v>80</v>
      </c>
      <c r="B1" s="1"/>
      <c r="C1" s="1"/>
      <c r="D1" s="1"/>
      <c r="E1" s="1"/>
      <c r="F1" s="1"/>
      <c r="G1" s="1"/>
      <c r="H1" s="1"/>
    </row>
    <row r="2" customFormat="false" ht="30" hidden="false" customHeight="true" outlineLevel="0" collapsed="false">
      <c r="A2" s="2" t="s">
        <v>571</v>
      </c>
      <c r="B2" s="2"/>
      <c r="C2" s="2"/>
      <c r="D2" s="2"/>
      <c r="E2" s="2"/>
      <c r="F2" s="2"/>
      <c r="G2" s="2"/>
      <c r="H2" s="2"/>
    </row>
    <row r="3" customFormat="false" ht="30" hidden="false" customHeight="true" outlineLevel="0" collapsed="false">
      <c r="A3" s="3" t="s">
        <v>2</v>
      </c>
      <c r="B3" s="3"/>
      <c r="C3" s="3"/>
      <c r="D3" s="3"/>
      <c r="E3" s="3"/>
      <c r="F3" s="3"/>
      <c r="G3" s="3"/>
      <c r="H3" s="3"/>
    </row>
    <row r="4" customFormat="false" ht="30" hidden="false" customHeight="true" outlineLevel="0" collapsed="false">
      <c r="A4" s="4" t="s">
        <v>181</v>
      </c>
      <c r="B4" s="4" t="s">
        <v>182</v>
      </c>
      <c r="C4" s="4" t="s">
        <v>51</v>
      </c>
      <c r="D4" s="4"/>
      <c r="E4" s="4" t="s">
        <v>181</v>
      </c>
      <c r="F4" s="4" t="s">
        <v>183</v>
      </c>
      <c r="G4" s="4" t="s">
        <v>51</v>
      </c>
      <c r="H4" s="4" t="s">
        <v>184</v>
      </c>
    </row>
    <row r="5" customFormat="false" ht="15" hidden="false" customHeight="false" outlineLevel="0" collapsed="false">
      <c r="A5" s="16" t="s">
        <v>185</v>
      </c>
      <c r="B5" s="18" t="n">
        <f aca="false">COUNTIFS($E$1:$E$600,1,$H$1:$H$600,"Done")</f>
        <v>0</v>
      </c>
      <c r="C5" s="17" t="n">
        <f aca="false">COUNTIF($E$1:$E$600,1)</f>
        <v>1</v>
      </c>
    </row>
    <row r="6" customFormat="false" ht="15" hidden="false" customHeight="false" outlineLevel="0" collapsed="false">
      <c r="A6" s="16" t="s">
        <v>186</v>
      </c>
      <c r="B6" s="18" t="n">
        <f aca="false">COUNTIFS($E$1:$E$600,2,$H$1:$H$600,"Done")</f>
        <v>0</v>
      </c>
      <c r="C6" s="17" t="n">
        <f aca="false">COUNTIF($E$1:$E$600,2)</f>
        <v>2</v>
      </c>
    </row>
    <row r="7" customFormat="false" ht="15" hidden="false" customHeight="false" outlineLevel="0" collapsed="false">
      <c r="A7" s="16" t="s">
        <v>187</v>
      </c>
      <c r="B7" s="18" t="n">
        <f aca="false">COUNTIFS($E$1:$E$600,3,$H$1:$H$600,"Done")</f>
        <v>0</v>
      </c>
      <c r="C7" s="17" t="n">
        <f aca="false">COUNTIF($E$1:$E$600,3)</f>
        <v>1</v>
      </c>
    </row>
    <row r="8" customFormat="false" ht="15" hidden="false" customHeight="false" outlineLevel="0" collapsed="false">
      <c r="A8" s="16" t="s">
        <v>188</v>
      </c>
      <c r="B8" s="18" t="n">
        <f aca="false">COUNTIFS($E$1:$E$600,4,$H$1:$H$600,"Done")</f>
        <v>1</v>
      </c>
      <c r="C8" s="17" t="n">
        <f aca="false">COUNTIF($E$1:$E$600,4)</f>
        <v>1</v>
      </c>
    </row>
    <row r="9" customFormat="false" ht="15" hidden="false" customHeight="false" outlineLevel="0" collapsed="false">
      <c r="A9" s="16" t="s">
        <v>189</v>
      </c>
      <c r="B9" s="18" t="n">
        <f aca="false">COUNTIFS($E$1:$E$600,5,$H$1:$H$600,"Done")</f>
        <v>0</v>
      </c>
      <c r="C9" s="17" t="n">
        <f aca="false">COUNTIF($E$1:$E$600,5)</f>
        <v>1</v>
      </c>
    </row>
    <row r="10" customFormat="false" ht="39.75" hidden="false" customHeight="true" outlineLevel="0" collapsed="false">
      <c r="A10" s="11" t="s">
        <v>190</v>
      </c>
      <c r="B10" s="18" t="n">
        <f aca="false">SUM(B5:B9)</f>
        <v>1</v>
      </c>
      <c r="C10" s="17" t="n">
        <f aca="false">SUM(C5:C9)</f>
        <v>6</v>
      </c>
      <c r="E10" s="23" t="s">
        <v>191</v>
      </c>
      <c r="F10" s="23"/>
      <c r="G10" s="23"/>
      <c r="H10" s="23"/>
    </row>
    <row r="12" customFormat="false" ht="15" hidden="false" customHeight="false" outlineLevel="0" collapsed="false">
      <c r="A12" s="37" t="s">
        <v>192</v>
      </c>
      <c r="B12" s="37"/>
      <c r="C12" s="37"/>
      <c r="D12" s="38"/>
      <c r="E12" s="38"/>
      <c r="F12" s="38"/>
      <c r="G12" s="38"/>
      <c r="H12" s="38"/>
    </row>
    <row r="13" customFormat="false" ht="15" hidden="false" customHeight="false" outlineLevel="0" collapsed="false">
      <c r="A13" s="39" t="s">
        <v>572</v>
      </c>
      <c r="B13" s="40" t="s">
        <v>194</v>
      </c>
      <c r="C13" s="40" t="s">
        <v>79</v>
      </c>
      <c r="E13" s="41" t="n">
        <v>1</v>
      </c>
      <c r="F13" s="41" t="n">
        <f aca="false">0+(B15="Y")</f>
        <v>0</v>
      </c>
      <c r="G13" s="41" t="n">
        <v>1</v>
      </c>
      <c r="H13" s="15" t="str">
        <f aca="false">IF(F13=G13,"Done",IF(F13&gt;0,"In progress","Not yet"))</f>
        <v>Not yet</v>
      </c>
    </row>
    <row r="14" customFormat="false" ht="45" hidden="false" customHeight="true" outlineLevel="0" collapsed="false">
      <c r="A14" s="35" t="s">
        <v>573</v>
      </c>
      <c r="B14" s="35"/>
      <c r="C14" s="35"/>
    </row>
    <row r="15" customFormat="false" ht="15" hidden="false" customHeight="false" outlineLevel="0" collapsed="false">
      <c r="A15" s="16" t="s">
        <v>282</v>
      </c>
      <c r="B15" s="44"/>
    </row>
    <row r="16" customFormat="false" ht="27.75" hidden="false" customHeight="true" outlineLevel="0" collapsed="false">
      <c r="A16" s="43" t="s">
        <v>283</v>
      </c>
      <c r="B16" s="43"/>
      <c r="C16" s="43"/>
    </row>
    <row r="18" customFormat="false" ht="15" hidden="false" customHeight="false" outlineLevel="0" collapsed="false">
      <c r="A18" s="37" t="s">
        <v>209</v>
      </c>
      <c r="B18" s="37"/>
      <c r="C18" s="37"/>
      <c r="D18" s="38"/>
      <c r="E18" s="38"/>
      <c r="F18" s="38"/>
      <c r="G18" s="38"/>
      <c r="H18" s="38"/>
    </row>
    <row r="19" customFormat="false" ht="15" hidden="false" customHeight="false" outlineLevel="0" collapsed="false">
      <c r="A19" s="39" t="s">
        <v>574</v>
      </c>
      <c r="B19" s="40" t="s">
        <v>244</v>
      </c>
      <c r="C19" s="40" t="s">
        <v>79</v>
      </c>
      <c r="E19" s="41" t="n">
        <v>2</v>
      </c>
      <c r="F19" s="41" t="n">
        <f aca="false">0+(B21&lt;&gt;"")+(B22&lt;&gt;"")</f>
        <v>0</v>
      </c>
      <c r="G19" s="41" t="n">
        <v>2</v>
      </c>
      <c r="H19" s="15" t="str">
        <f aca="false">IF(F19=G19,"Done",IF(F19&gt;0,"In progress","Not yet"))</f>
        <v>Not yet</v>
      </c>
    </row>
    <row r="20" customFormat="false" ht="45" hidden="false" customHeight="true" outlineLevel="0" collapsed="false">
      <c r="A20" s="35" t="s">
        <v>575</v>
      </c>
      <c r="B20" s="35"/>
      <c r="C20" s="35"/>
    </row>
    <row r="21" customFormat="false" ht="22.35" hidden="false" customHeight="false" outlineLevel="0" collapsed="false">
      <c r="A21" s="6" t="s">
        <v>576</v>
      </c>
      <c r="B21" s="7"/>
      <c r="C21" s="42" t="s">
        <v>577</v>
      </c>
    </row>
    <row r="22" customFormat="false" ht="22.35" hidden="false" customHeight="false" outlineLevel="0" collapsed="false">
      <c r="A22" s="6" t="s">
        <v>578</v>
      </c>
      <c r="B22" s="7"/>
      <c r="C22" s="42" t="s">
        <v>579</v>
      </c>
    </row>
    <row r="23" customFormat="false" ht="27.75" hidden="false" customHeight="true" outlineLevel="0" collapsed="false">
      <c r="A23" s="43" t="s">
        <v>580</v>
      </c>
      <c r="B23" s="43"/>
      <c r="C23" s="43"/>
    </row>
    <row r="25" customFormat="false" ht="15" hidden="false" customHeight="false" outlineLevel="0" collapsed="false">
      <c r="A25" s="39" t="s">
        <v>379</v>
      </c>
      <c r="B25" s="40" t="s">
        <v>244</v>
      </c>
      <c r="C25" s="40" t="s">
        <v>79</v>
      </c>
      <c r="E25" s="41" t="n">
        <v>2</v>
      </c>
      <c r="F25" s="41" t="n">
        <f aca="false">0+(COUNTIF(B28:B33,"Y")&gt;0)+(B34&lt;&gt;"")</f>
        <v>0</v>
      </c>
      <c r="G25" s="41" t="n">
        <v>2</v>
      </c>
      <c r="H25" s="15" t="str">
        <f aca="false">IF(F25=G25,"Done",IF(F25&gt;0,"In progress","Not yet"))</f>
        <v>Not yet</v>
      </c>
    </row>
    <row r="26" customFormat="false" ht="30" hidden="false" customHeight="true" outlineLevel="0" collapsed="false">
      <c r="A26" s="35" t="s">
        <v>581</v>
      </c>
      <c r="B26" s="35"/>
      <c r="C26" s="35"/>
    </row>
    <row r="27" customFormat="false" ht="15" hidden="false" customHeight="false" outlineLevel="0" collapsed="false">
      <c r="A27" s="11" t="s">
        <v>582</v>
      </c>
    </row>
    <row r="28" customFormat="false" ht="15" hidden="false" customHeight="false" outlineLevel="0" collapsed="false">
      <c r="A28" s="16" t="s">
        <v>583</v>
      </c>
      <c r="B28" s="44"/>
    </row>
    <row r="29" customFormat="false" ht="15" hidden="false" customHeight="false" outlineLevel="0" collapsed="false">
      <c r="A29" s="16" t="s">
        <v>584</v>
      </c>
      <c r="B29" s="44"/>
    </row>
    <row r="30" customFormat="false" ht="15" hidden="false" customHeight="false" outlineLevel="0" collapsed="false">
      <c r="A30" s="16" t="s">
        <v>585</v>
      </c>
      <c r="B30" s="44"/>
    </row>
    <row r="31" customFormat="false" ht="15" hidden="false" customHeight="false" outlineLevel="0" collapsed="false">
      <c r="A31" s="16" t="s">
        <v>586</v>
      </c>
      <c r="B31" s="44"/>
    </row>
    <row r="32" customFormat="false" ht="15" hidden="false" customHeight="false" outlineLevel="0" collapsed="false">
      <c r="A32" s="16" t="s">
        <v>587</v>
      </c>
      <c r="B32" s="44"/>
    </row>
    <row r="33" customFormat="false" ht="15" hidden="false" customHeight="false" outlineLevel="0" collapsed="false">
      <c r="A33" s="16" t="s">
        <v>588</v>
      </c>
      <c r="B33" s="44"/>
    </row>
    <row r="34" customFormat="false" ht="45" hidden="false" customHeight="true" outlineLevel="0" collapsed="false">
      <c r="A34" s="6" t="s">
        <v>589</v>
      </c>
      <c r="B34" s="7"/>
      <c r="C34" s="42" t="s">
        <v>590</v>
      </c>
    </row>
    <row r="35" customFormat="false" ht="27.75" hidden="false" customHeight="true" outlineLevel="0" collapsed="false">
      <c r="A35" s="43" t="s">
        <v>591</v>
      </c>
      <c r="B35" s="43"/>
      <c r="C35" s="43"/>
    </row>
    <row r="37" customFormat="false" ht="15" hidden="false" customHeight="false" outlineLevel="0" collapsed="false">
      <c r="A37" s="37" t="s">
        <v>231</v>
      </c>
      <c r="B37" s="37"/>
      <c r="C37" s="37"/>
      <c r="D37" s="38"/>
      <c r="E37" s="38"/>
      <c r="F37" s="38"/>
      <c r="G37" s="38"/>
      <c r="H37" s="38"/>
    </row>
    <row r="38" customFormat="false" ht="15" hidden="false" customHeight="false" outlineLevel="0" collapsed="false">
      <c r="A38" s="39" t="s">
        <v>592</v>
      </c>
      <c r="B38" s="40" t="s">
        <v>335</v>
      </c>
      <c r="C38" s="40" t="s">
        <v>79</v>
      </c>
      <c r="E38" s="41" t="n">
        <v>3</v>
      </c>
      <c r="F38" s="41" t="n">
        <f aca="false">0+(B40="Y")+(B41="Y")+(B42="Y")+(B43="Y")+(B44="Y")</f>
        <v>0</v>
      </c>
      <c r="G38" s="41" t="n">
        <v>5</v>
      </c>
      <c r="H38" s="15" t="str">
        <f aca="false">IF(F38=G38,"Done",IF(F38&gt;0,"In progress","Not yet"))</f>
        <v>Not yet</v>
      </c>
    </row>
    <row r="39" customFormat="false" ht="30" hidden="false" customHeight="true" outlineLevel="0" collapsed="false">
      <c r="A39" s="35" t="s">
        <v>593</v>
      </c>
      <c r="B39" s="35"/>
      <c r="C39" s="35"/>
    </row>
    <row r="40" customFormat="false" ht="15" hidden="false" customHeight="false" outlineLevel="0" collapsed="false">
      <c r="A40" s="6" t="s">
        <v>594</v>
      </c>
      <c r="B40" s="44"/>
      <c r="C40" s="22" t="s">
        <v>237</v>
      </c>
    </row>
    <row r="41" customFormat="false" ht="15" hidden="false" customHeight="false" outlineLevel="0" collapsed="false">
      <c r="A41" s="6" t="s">
        <v>595</v>
      </c>
      <c r="B41" s="44"/>
      <c r="C41" s="22" t="s">
        <v>237</v>
      </c>
    </row>
    <row r="42" customFormat="false" ht="15" hidden="false" customHeight="false" outlineLevel="0" collapsed="false">
      <c r="A42" s="6" t="s">
        <v>596</v>
      </c>
      <c r="B42" s="44"/>
      <c r="C42" s="22" t="s">
        <v>237</v>
      </c>
    </row>
    <row r="43" customFormat="false" ht="15" hidden="false" customHeight="false" outlineLevel="0" collapsed="false">
      <c r="A43" s="6" t="s">
        <v>597</v>
      </c>
      <c r="B43" s="44"/>
      <c r="C43" s="22" t="s">
        <v>237</v>
      </c>
    </row>
    <row r="44" customFormat="false" ht="15" hidden="false" customHeight="false" outlineLevel="0" collapsed="false">
      <c r="A44" s="6" t="s">
        <v>598</v>
      </c>
      <c r="B44" s="44"/>
      <c r="C44" s="22" t="s">
        <v>237</v>
      </c>
    </row>
    <row r="45" customFormat="false" ht="27.75" hidden="false" customHeight="true" outlineLevel="0" collapsed="false">
      <c r="A45" s="43" t="s">
        <v>277</v>
      </c>
      <c r="B45" s="43"/>
      <c r="C45" s="43"/>
    </row>
    <row r="47" customFormat="false" ht="15" hidden="false" customHeight="false" outlineLevel="0" collapsed="false">
      <c r="A47" s="37" t="s">
        <v>261</v>
      </c>
      <c r="B47" s="37"/>
      <c r="C47" s="37"/>
      <c r="D47" s="38"/>
      <c r="E47" s="38"/>
      <c r="F47" s="38"/>
      <c r="G47" s="38"/>
      <c r="H47" s="38"/>
    </row>
    <row r="48" customFormat="false" ht="15" hidden="false" customHeight="false" outlineLevel="0" collapsed="false">
      <c r="A48" s="39" t="s">
        <v>599</v>
      </c>
      <c r="B48" s="40" t="s">
        <v>194</v>
      </c>
      <c r="C48" s="40" t="s">
        <v>79</v>
      </c>
      <c r="E48" s="41" t="n">
        <v>4</v>
      </c>
      <c r="F48" s="41" t="n">
        <f aca="false">0+(Machine!$B$19&lt;&gt;"")+(Machine!$B$21&lt;&gt;"")+(Machine!$B$20&lt;&gt;"")</f>
        <v>3</v>
      </c>
      <c r="G48" s="41" t="n">
        <v>3</v>
      </c>
      <c r="H48" s="15" t="str">
        <f aca="false">IF(F48=G48,"Done",IF(F48&gt;0,"In progress","Not yet"))</f>
        <v>Done</v>
      </c>
    </row>
    <row r="49" customFormat="false" ht="30" hidden="false" customHeight="true" outlineLevel="0" collapsed="false">
      <c r="A49" s="35" t="s">
        <v>600</v>
      </c>
      <c r="B49" s="35"/>
      <c r="C49" s="35"/>
    </row>
    <row r="50" customFormat="false" ht="15" hidden="false" customHeight="false" outlineLevel="0" collapsed="false">
      <c r="A50" s="16" t="s">
        <v>601</v>
      </c>
      <c r="B50" s="51" t="n">
        <f aca="false">IF(Machine!$B$19="","not yet",Machine!$B$19)</f>
        <v>12</v>
      </c>
      <c r="C50" s="22" t="s">
        <v>551</v>
      </c>
    </row>
    <row r="51" customFormat="false" ht="15" hidden="false" customHeight="false" outlineLevel="0" collapsed="false">
      <c r="A51" s="16" t="s">
        <v>602</v>
      </c>
      <c r="B51" s="52" t="n">
        <f aca="false">IF(Machine!$B$21="","not yet",Machine!$B$21)</f>
        <v>0.1</v>
      </c>
      <c r="C51" s="22" t="s">
        <v>551</v>
      </c>
    </row>
    <row r="52" customFormat="false" ht="15" hidden="false" customHeight="false" outlineLevel="0" collapsed="false">
      <c r="A52" s="16" t="s">
        <v>603</v>
      </c>
      <c r="B52" s="52" t="n">
        <f aca="false">IF(Machine!$B$20="","not yet",Machine!$B$20)</f>
        <v>0.08</v>
      </c>
      <c r="C52" s="22" t="s">
        <v>551</v>
      </c>
    </row>
    <row r="53" customFormat="false" ht="27.75" hidden="false" customHeight="true" outlineLevel="0" collapsed="false">
      <c r="A53" s="43" t="s">
        <v>604</v>
      </c>
      <c r="B53" s="43"/>
      <c r="C53" s="43"/>
    </row>
    <row r="55" customFormat="false" ht="15" hidden="false" customHeight="false" outlineLevel="0" collapsed="false">
      <c r="A55" s="37" t="s">
        <v>270</v>
      </c>
      <c r="B55" s="37"/>
      <c r="C55" s="37"/>
      <c r="D55" s="38"/>
      <c r="E55" s="38"/>
      <c r="F55" s="38"/>
      <c r="G55" s="38"/>
      <c r="H55" s="38"/>
    </row>
    <row r="56" customFormat="false" ht="15" hidden="false" customHeight="false" outlineLevel="0" collapsed="false">
      <c r="A56" s="39" t="s">
        <v>364</v>
      </c>
      <c r="B56" s="40" t="s">
        <v>244</v>
      </c>
      <c r="C56" s="40" t="s">
        <v>79</v>
      </c>
      <c r="E56" s="41" t="n">
        <v>5</v>
      </c>
      <c r="F56" s="41" t="n">
        <f aca="false">0+(B58="Y")+(B59="Y")+(B60="Y")</f>
        <v>0</v>
      </c>
      <c r="G56" s="41" t="n">
        <v>3</v>
      </c>
      <c r="H56" s="15" t="str">
        <f aca="false">IF(F56=G56,"Done",IF(F56&gt;0,"In progress","Not yet"))</f>
        <v>Not yet</v>
      </c>
    </row>
    <row r="57" customFormat="false" ht="30" hidden="false" customHeight="true" outlineLevel="0" collapsed="false">
      <c r="A57" s="35" t="s">
        <v>605</v>
      </c>
      <c r="B57" s="35"/>
      <c r="C57" s="35"/>
    </row>
    <row r="58" customFormat="false" ht="15" hidden="false" customHeight="false" outlineLevel="0" collapsed="false">
      <c r="A58" s="6" t="s">
        <v>606</v>
      </c>
      <c r="B58" s="44"/>
      <c r="C58" s="22" t="s">
        <v>237</v>
      </c>
    </row>
    <row r="59" customFormat="false" ht="15" hidden="false" customHeight="false" outlineLevel="0" collapsed="false">
      <c r="A59" s="6" t="s">
        <v>607</v>
      </c>
      <c r="B59" s="44"/>
      <c r="C59" s="22" t="s">
        <v>237</v>
      </c>
    </row>
    <row r="60" customFormat="false" ht="15" hidden="false" customHeight="false" outlineLevel="0" collapsed="false">
      <c r="A60" s="6" t="s">
        <v>608</v>
      </c>
      <c r="B60" s="44"/>
      <c r="C60" s="22" t="s">
        <v>237</v>
      </c>
    </row>
    <row r="61" customFormat="false" ht="27.75" hidden="false" customHeight="true" outlineLevel="0" collapsed="false">
      <c r="A61" s="43" t="s">
        <v>277</v>
      </c>
      <c r="B61" s="43"/>
      <c r="C61" s="43"/>
    </row>
  </sheetData>
  <mergeCells count="21">
    <mergeCell ref="A1:H1"/>
    <mergeCell ref="A2:H2"/>
    <mergeCell ref="A3:H3"/>
    <mergeCell ref="E10:H10"/>
    <mergeCell ref="A12:C12"/>
    <mergeCell ref="A14:C14"/>
    <mergeCell ref="A16:C16"/>
    <mergeCell ref="A18:C18"/>
    <mergeCell ref="A20:C20"/>
    <mergeCell ref="A23:C23"/>
    <mergeCell ref="A26:C26"/>
    <mergeCell ref="A35:C35"/>
    <mergeCell ref="A37:C37"/>
    <mergeCell ref="A39:C39"/>
    <mergeCell ref="A45:C45"/>
    <mergeCell ref="A47:C47"/>
    <mergeCell ref="A49:C49"/>
    <mergeCell ref="A53:C53"/>
    <mergeCell ref="A55:C55"/>
    <mergeCell ref="A57:C57"/>
    <mergeCell ref="A61:C61"/>
  </mergeCells>
  <conditionalFormatting sqref="H1:H63">
    <cfRule type="cellIs" priority="2" operator="equal" aboveAverage="0" equalAverage="0" bottom="0" percent="0" rank="0" text="" dxfId="1">
      <formula>"Done"</formula>
    </cfRule>
    <cfRule type="cellIs" priority="3" operator="equal" aboveAverage="0" equalAverage="0" bottom="0" percent="0" rank="0" text="" dxfId="2">
      <formula>"In progress"</formula>
    </cfRule>
  </conditionalFormatting>
  <dataValidations count="2">
    <dataValidation allowBlank="true" errorStyle="stop" operator="between" showDropDown="false" showErrorMessage="false" showInputMessage="false" sqref="B15 B20 B22:B26 B28:B65 B70:B72 B74:B83 B91:B94" type="list">
      <formula1>"Y"</formula1>
      <formula2>0</formula2>
    </dataValidation>
    <dataValidation allowBlank="true" errorStyle="stop" operator="between" showDropDown="false" showErrorMessage="false" showInputMessage="false" sqref="B21" type="list">
      <formula1>"Sell to better-fit customers,Set better expectations,Get more customers to a result,Get them there faster,Keep them longer"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40"/>
    <col collapsed="false" customWidth="true" hidden="false" outlineLevel="0" max="3" min="3" style="0" width="46"/>
    <col collapsed="false" customWidth="true" hidden="false" outlineLevel="0" max="4" min="4" style="0" width="3"/>
    <col collapsed="false" customWidth="true" hidden="false" outlineLevel="0" max="7" min="5" style="0" width="7"/>
    <col collapsed="false" customWidth="true" hidden="false" outlineLevel="0" max="8" min="8" style="0" width="13"/>
  </cols>
  <sheetData>
    <row r="1" customFormat="false" ht="25.5" hidden="false" customHeight="true" outlineLevel="0" collapsed="false">
      <c r="A1" s="1" t="s">
        <v>82</v>
      </c>
      <c r="B1" s="1"/>
      <c r="C1" s="1"/>
      <c r="D1" s="1"/>
      <c r="E1" s="1"/>
      <c r="F1" s="1"/>
      <c r="G1" s="1"/>
      <c r="H1" s="1"/>
    </row>
    <row r="2" customFormat="false" ht="30" hidden="false" customHeight="true" outlineLevel="0" collapsed="false">
      <c r="A2" s="2" t="s">
        <v>609</v>
      </c>
      <c r="B2" s="2"/>
      <c r="C2" s="2"/>
      <c r="D2" s="2"/>
      <c r="E2" s="2"/>
      <c r="F2" s="2"/>
      <c r="G2" s="2"/>
      <c r="H2" s="2"/>
    </row>
    <row r="3" customFormat="false" ht="30" hidden="false" customHeight="true" outlineLevel="0" collapsed="false">
      <c r="A3" s="3" t="s">
        <v>2</v>
      </c>
      <c r="B3" s="3"/>
      <c r="C3" s="3"/>
      <c r="D3" s="3"/>
      <c r="E3" s="3"/>
      <c r="F3" s="3"/>
      <c r="G3" s="3"/>
      <c r="H3" s="3"/>
    </row>
    <row r="4" customFormat="false" ht="30" hidden="false" customHeight="true" outlineLevel="0" collapsed="false">
      <c r="A4" s="4" t="s">
        <v>181</v>
      </c>
      <c r="B4" s="4" t="s">
        <v>182</v>
      </c>
      <c r="C4" s="4" t="s">
        <v>51</v>
      </c>
      <c r="D4" s="4"/>
      <c r="E4" s="4" t="s">
        <v>181</v>
      </c>
      <c r="F4" s="4" t="s">
        <v>183</v>
      </c>
      <c r="G4" s="4" t="s">
        <v>51</v>
      </c>
      <c r="H4" s="4" t="s">
        <v>184</v>
      </c>
    </row>
    <row r="5" customFormat="false" ht="15" hidden="false" customHeight="false" outlineLevel="0" collapsed="false">
      <c r="A5" s="16" t="s">
        <v>185</v>
      </c>
      <c r="B5" s="18" t="n">
        <f aca="false">COUNTIFS($E$1:$E$600,1,$H$1:$H$600,"Done")</f>
        <v>0</v>
      </c>
      <c r="C5" s="17" t="n">
        <f aca="false">COUNTIF($E$1:$E$600,1)</f>
        <v>1</v>
      </c>
    </row>
    <row r="6" customFormat="false" ht="15" hidden="false" customHeight="false" outlineLevel="0" collapsed="false">
      <c r="A6" s="16" t="s">
        <v>186</v>
      </c>
      <c r="B6" s="18" t="n">
        <f aca="false">COUNTIFS($E$1:$E$600,2,$H$1:$H$600,"Done")</f>
        <v>0</v>
      </c>
      <c r="C6" s="17" t="n">
        <f aca="false">COUNTIF($E$1:$E$600,2)</f>
        <v>1</v>
      </c>
    </row>
    <row r="7" customFormat="false" ht="15" hidden="false" customHeight="false" outlineLevel="0" collapsed="false">
      <c r="A7" s="16" t="s">
        <v>187</v>
      </c>
      <c r="B7" s="18" t="n">
        <f aca="false">COUNTIFS($E$1:$E$600,3,$H$1:$H$600,"Done")</f>
        <v>0</v>
      </c>
      <c r="C7" s="17" t="n">
        <f aca="false">COUNTIF($E$1:$E$600,3)</f>
        <v>1</v>
      </c>
    </row>
    <row r="8" customFormat="false" ht="15" hidden="false" customHeight="false" outlineLevel="0" collapsed="false">
      <c r="A8" s="16" t="s">
        <v>188</v>
      </c>
      <c r="B8" s="18" t="n">
        <f aca="false">COUNTIFS($E$1:$E$600,4,$H$1:$H$600,"Done")</f>
        <v>0</v>
      </c>
      <c r="C8" s="17" t="n">
        <f aca="false">COUNTIF($E$1:$E$600,4)</f>
        <v>1</v>
      </c>
    </row>
    <row r="9" customFormat="false" ht="15" hidden="false" customHeight="false" outlineLevel="0" collapsed="false">
      <c r="A9" s="16" t="s">
        <v>189</v>
      </c>
      <c r="B9" s="18" t="n">
        <f aca="false">COUNTIFS($E$1:$E$600,5,$H$1:$H$600,"Done")</f>
        <v>0</v>
      </c>
      <c r="C9" s="17" t="n">
        <f aca="false">COUNTIF($E$1:$E$600,5)</f>
        <v>1</v>
      </c>
    </row>
    <row r="10" customFormat="false" ht="39.75" hidden="false" customHeight="true" outlineLevel="0" collapsed="false">
      <c r="A10" s="11" t="s">
        <v>190</v>
      </c>
      <c r="B10" s="18" t="n">
        <f aca="false">SUM(B5:B9)</f>
        <v>0</v>
      </c>
      <c r="C10" s="17" t="n">
        <f aca="false">SUM(C5:C9)</f>
        <v>5</v>
      </c>
      <c r="E10" s="23" t="s">
        <v>191</v>
      </c>
      <c r="F10" s="23"/>
      <c r="G10" s="23"/>
      <c r="H10" s="23"/>
    </row>
    <row r="12" customFormat="false" ht="15" hidden="false" customHeight="false" outlineLevel="0" collapsed="false">
      <c r="A12" s="37" t="s">
        <v>192</v>
      </c>
      <c r="B12" s="37"/>
      <c r="C12" s="37"/>
      <c r="D12" s="38"/>
      <c r="E12" s="38"/>
      <c r="F12" s="38"/>
      <c r="G12" s="38"/>
      <c r="H12" s="38"/>
    </row>
    <row r="13" customFormat="false" ht="15" hidden="false" customHeight="false" outlineLevel="0" collapsed="false">
      <c r="A13" s="39" t="s">
        <v>610</v>
      </c>
      <c r="B13" s="40" t="s">
        <v>194</v>
      </c>
      <c r="C13" s="40" t="s">
        <v>81</v>
      </c>
      <c r="E13" s="41" t="n">
        <v>1</v>
      </c>
      <c r="F13" s="41" t="n">
        <f aca="false">0+(B15="Y")</f>
        <v>0</v>
      </c>
      <c r="G13" s="41" t="n">
        <v>1</v>
      </c>
      <c r="H13" s="15" t="str">
        <f aca="false">IF(F13=G13,"Done",IF(F13&gt;0,"In progress","Not yet"))</f>
        <v>Not yet</v>
      </c>
    </row>
    <row r="14" customFormat="false" ht="30" hidden="false" customHeight="true" outlineLevel="0" collapsed="false">
      <c r="A14" s="35" t="s">
        <v>611</v>
      </c>
      <c r="B14" s="35"/>
      <c r="C14" s="35"/>
    </row>
    <row r="15" customFormat="false" ht="15" hidden="false" customHeight="false" outlineLevel="0" collapsed="false">
      <c r="A15" s="16" t="s">
        <v>282</v>
      </c>
      <c r="B15" s="44"/>
    </row>
    <row r="16" customFormat="false" ht="27.75" hidden="false" customHeight="true" outlineLevel="0" collapsed="false">
      <c r="A16" s="43" t="s">
        <v>283</v>
      </c>
      <c r="B16" s="43"/>
      <c r="C16" s="43"/>
    </row>
    <row r="18" customFormat="false" ht="15" hidden="false" customHeight="false" outlineLevel="0" collapsed="false">
      <c r="A18" s="37" t="s">
        <v>209</v>
      </c>
      <c r="B18" s="37"/>
      <c r="C18" s="37"/>
      <c r="D18" s="38"/>
      <c r="E18" s="38"/>
      <c r="F18" s="38"/>
      <c r="G18" s="38"/>
      <c r="H18" s="38"/>
    </row>
    <row r="19" customFormat="false" ht="15" hidden="false" customHeight="false" outlineLevel="0" collapsed="false">
      <c r="A19" s="39" t="s">
        <v>612</v>
      </c>
      <c r="B19" s="40" t="s">
        <v>613</v>
      </c>
      <c r="C19" s="40" t="s">
        <v>614</v>
      </c>
      <c r="E19" s="41" t="n">
        <v>2</v>
      </c>
      <c r="F19" s="41" t="n">
        <f aca="false">0+(B21&lt;&gt;"")+(B22&lt;&gt;"")</f>
        <v>0</v>
      </c>
      <c r="G19" s="41" t="n">
        <v>2</v>
      </c>
      <c r="H19" s="15" t="str">
        <f aca="false">IF(F19=G19,"Done",IF(F19&gt;0,"In progress","Not yet"))</f>
        <v>Not yet</v>
      </c>
    </row>
    <row r="20" customFormat="false" ht="30" hidden="false" customHeight="true" outlineLevel="0" collapsed="false">
      <c r="A20" s="35" t="s">
        <v>615</v>
      </c>
      <c r="B20" s="35"/>
      <c r="C20" s="35"/>
    </row>
    <row r="21" customFormat="false" ht="15" hidden="false" customHeight="false" outlineLevel="0" collapsed="false">
      <c r="A21" s="6" t="s">
        <v>616</v>
      </c>
      <c r="B21" s="7"/>
      <c r="C21" s="42" t="s">
        <v>617</v>
      </c>
    </row>
    <row r="22" customFormat="false" ht="45" hidden="false" customHeight="true" outlineLevel="0" collapsed="false">
      <c r="A22" s="6" t="s">
        <v>618</v>
      </c>
      <c r="B22" s="7"/>
      <c r="C22" s="42" t="s">
        <v>619</v>
      </c>
    </row>
    <row r="23" customFormat="false" ht="27.75" hidden="false" customHeight="true" outlineLevel="0" collapsed="false">
      <c r="A23" s="43" t="s">
        <v>620</v>
      </c>
      <c r="B23" s="43"/>
      <c r="C23" s="43"/>
    </row>
    <row r="25" customFormat="false" ht="15" hidden="false" customHeight="false" outlineLevel="0" collapsed="false">
      <c r="A25" s="37" t="s">
        <v>231</v>
      </c>
      <c r="B25" s="37"/>
      <c r="C25" s="37"/>
      <c r="D25" s="38"/>
      <c r="E25" s="38"/>
      <c r="F25" s="38"/>
      <c r="G25" s="38"/>
      <c r="H25" s="38"/>
    </row>
    <row r="26" customFormat="false" ht="15" hidden="false" customHeight="false" outlineLevel="0" collapsed="false">
      <c r="A26" s="39" t="s">
        <v>621</v>
      </c>
      <c r="B26" s="40" t="s">
        <v>415</v>
      </c>
      <c r="C26" s="40" t="s">
        <v>81</v>
      </c>
      <c r="E26" s="41" t="n">
        <v>3</v>
      </c>
      <c r="F26" s="41" t="n">
        <f aca="false">0+(B28="Y")+(B29="Y")+(B30="Y")+(B31="Y")</f>
        <v>0</v>
      </c>
      <c r="G26" s="41" t="n">
        <v>4</v>
      </c>
      <c r="H26" s="15" t="str">
        <f aca="false">IF(F26=G26,"Done",IF(F26&gt;0,"In progress","Not yet"))</f>
        <v>Not yet</v>
      </c>
    </row>
    <row r="27" customFormat="false" ht="30" hidden="false" customHeight="true" outlineLevel="0" collapsed="false">
      <c r="A27" s="35" t="s">
        <v>622</v>
      </c>
      <c r="B27" s="35"/>
      <c r="C27" s="35"/>
    </row>
    <row r="28" customFormat="false" ht="15" hidden="false" customHeight="false" outlineLevel="0" collapsed="false">
      <c r="A28" s="6" t="s">
        <v>623</v>
      </c>
      <c r="B28" s="44"/>
      <c r="C28" s="22" t="s">
        <v>237</v>
      </c>
    </row>
    <row r="29" customFormat="false" ht="15" hidden="false" customHeight="false" outlineLevel="0" collapsed="false">
      <c r="A29" s="6" t="s">
        <v>624</v>
      </c>
      <c r="B29" s="44"/>
      <c r="C29" s="22" t="s">
        <v>237</v>
      </c>
    </row>
    <row r="30" customFormat="false" ht="15" hidden="false" customHeight="false" outlineLevel="0" collapsed="false">
      <c r="A30" s="6" t="s">
        <v>625</v>
      </c>
      <c r="B30" s="44"/>
      <c r="C30" s="22" t="s">
        <v>237</v>
      </c>
    </row>
    <row r="31" customFormat="false" ht="15" hidden="false" customHeight="false" outlineLevel="0" collapsed="false">
      <c r="A31" s="6" t="s">
        <v>626</v>
      </c>
      <c r="B31" s="44"/>
      <c r="C31" s="22" t="s">
        <v>237</v>
      </c>
    </row>
    <row r="32" customFormat="false" ht="27.75" hidden="false" customHeight="true" outlineLevel="0" collapsed="false">
      <c r="A32" s="43" t="s">
        <v>277</v>
      </c>
      <c r="B32" s="43"/>
      <c r="C32" s="43"/>
    </row>
    <row r="34" customFormat="false" ht="15" hidden="false" customHeight="false" outlineLevel="0" collapsed="false">
      <c r="A34" s="37" t="s">
        <v>261</v>
      </c>
      <c r="B34" s="37"/>
      <c r="C34" s="37"/>
      <c r="D34" s="38"/>
      <c r="E34" s="38"/>
      <c r="F34" s="38"/>
      <c r="G34" s="38"/>
      <c r="H34" s="38"/>
    </row>
    <row r="35" customFormat="false" ht="15" hidden="false" customHeight="false" outlineLevel="0" collapsed="false">
      <c r="A35" s="39" t="s">
        <v>627</v>
      </c>
      <c r="B35" s="40" t="s">
        <v>194</v>
      </c>
      <c r="C35" s="40" t="s">
        <v>81</v>
      </c>
      <c r="E35" s="41" t="n">
        <v>4</v>
      </c>
      <c r="F35" s="41" t="n">
        <f aca="false">0+(B37&lt;&gt;"")+(B38&lt;&gt;"")</f>
        <v>0</v>
      </c>
      <c r="G35" s="41" t="n">
        <v>2</v>
      </c>
      <c r="H35" s="15" t="str">
        <f aca="false">IF(F35=G35,"Done",IF(F35&gt;0,"In progress","Not yet"))</f>
        <v>Not yet</v>
      </c>
    </row>
    <row r="36" customFormat="false" ht="30" hidden="false" customHeight="true" outlineLevel="0" collapsed="false">
      <c r="A36" s="35" t="s">
        <v>628</v>
      </c>
      <c r="B36" s="35"/>
      <c r="C36" s="35"/>
    </row>
    <row r="37" customFormat="false" ht="15" hidden="false" customHeight="false" outlineLevel="0" collapsed="false">
      <c r="A37" s="6" t="s">
        <v>629</v>
      </c>
      <c r="B37" s="9"/>
      <c r="C37" s="42" t="s">
        <v>630</v>
      </c>
    </row>
    <row r="38" customFormat="false" ht="15" hidden="false" customHeight="false" outlineLevel="0" collapsed="false">
      <c r="A38" s="6" t="s">
        <v>631</v>
      </c>
      <c r="B38" s="9"/>
      <c r="C38" s="42" t="s">
        <v>632</v>
      </c>
    </row>
    <row r="39" customFormat="false" ht="15" hidden="false" customHeight="false" outlineLevel="0" collapsed="false">
      <c r="A39" s="45" t="s">
        <v>633</v>
      </c>
      <c r="B39" s="46" t="str">
        <f aca="false">IF(OR(B37="",B38=""),"not yet",IF(B38=0,"none",B37/B38))</f>
        <v>not yet</v>
      </c>
    </row>
    <row r="40" customFormat="false" ht="27.75" hidden="false" customHeight="true" outlineLevel="0" collapsed="false">
      <c r="A40" s="43" t="s">
        <v>634</v>
      </c>
      <c r="B40" s="43"/>
      <c r="C40" s="43"/>
    </row>
    <row r="42" customFormat="false" ht="15" hidden="false" customHeight="false" outlineLevel="0" collapsed="false">
      <c r="A42" s="37" t="s">
        <v>270</v>
      </c>
      <c r="B42" s="37"/>
      <c r="C42" s="37"/>
      <c r="D42" s="38"/>
      <c r="E42" s="38"/>
      <c r="F42" s="38"/>
      <c r="G42" s="38"/>
      <c r="H42" s="38"/>
    </row>
    <row r="43" customFormat="false" ht="15" hidden="false" customHeight="false" outlineLevel="0" collapsed="false">
      <c r="A43" s="39" t="s">
        <v>364</v>
      </c>
      <c r="B43" s="40" t="s">
        <v>244</v>
      </c>
      <c r="C43" s="40" t="s">
        <v>81</v>
      </c>
      <c r="E43" s="41" t="n">
        <v>5</v>
      </c>
      <c r="F43" s="41" t="n">
        <f aca="false">0+(B45="Y")+(B46="Y")+(B47="Y")+(B48="Y")</f>
        <v>0</v>
      </c>
      <c r="G43" s="41" t="n">
        <v>4</v>
      </c>
      <c r="H43" s="15" t="str">
        <f aca="false">IF(F43=G43,"Done",IF(F43&gt;0,"In progress","Not yet"))</f>
        <v>Not yet</v>
      </c>
    </row>
    <row r="44" customFormat="false" ht="30" hidden="false" customHeight="true" outlineLevel="0" collapsed="false">
      <c r="A44" s="35" t="s">
        <v>635</v>
      </c>
      <c r="B44" s="35"/>
      <c r="C44" s="35"/>
    </row>
    <row r="45" customFormat="false" ht="15" hidden="false" customHeight="false" outlineLevel="0" collapsed="false">
      <c r="A45" s="6" t="s">
        <v>636</v>
      </c>
      <c r="B45" s="44"/>
      <c r="C45" s="22" t="s">
        <v>237</v>
      </c>
    </row>
    <row r="46" customFormat="false" ht="15" hidden="false" customHeight="false" outlineLevel="0" collapsed="false">
      <c r="A46" s="6" t="s">
        <v>637</v>
      </c>
      <c r="B46" s="44"/>
      <c r="C46" s="22" t="s">
        <v>237</v>
      </c>
    </row>
    <row r="47" customFormat="false" ht="15" hidden="false" customHeight="false" outlineLevel="0" collapsed="false">
      <c r="A47" s="6" t="s">
        <v>638</v>
      </c>
      <c r="B47" s="44"/>
      <c r="C47" s="22" t="s">
        <v>237</v>
      </c>
    </row>
    <row r="48" customFormat="false" ht="15" hidden="false" customHeight="false" outlineLevel="0" collapsed="false">
      <c r="A48" s="6" t="s">
        <v>639</v>
      </c>
      <c r="B48" s="44"/>
      <c r="C48" s="22" t="s">
        <v>237</v>
      </c>
    </row>
    <row r="49" customFormat="false" ht="27.75" hidden="false" customHeight="true" outlineLevel="0" collapsed="false">
      <c r="A49" s="43" t="s">
        <v>277</v>
      </c>
      <c r="B49" s="43"/>
      <c r="C49" s="43"/>
    </row>
  </sheetData>
  <mergeCells count="19">
    <mergeCell ref="A1:H1"/>
    <mergeCell ref="A2:H2"/>
    <mergeCell ref="A3:H3"/>
    <mergeCell ref="E10:H10"/>
    <mergeCell ref="A12:C12"/>
    <mergeCell ref="A14:C14"/>
    <mergeCell ref="A16:C16"/>
    <mergeCell ref="A18:C18"/>
    <mergeCell ref="A20:C20"/>
    <mergeCell ref="A23:C23"/>
    <mergeCell ref="A25:C25"/>
    <mergeCell ref="A27:C27"/>
    <mergeCell ref="A32:C32"/>
    <mergeCell ref="A34:C34"/>
    <mergeCell ref="A36:C36"/>
    <mergeCell ref="A40:C40"/>
    <mergeCell ref="A42:C42"/>
    <mergeCell ref="A44:C44"/>
    <mergeCell ref="A49:C49"/>
  </mergeCells>
  <conditionalFormatting sqref="H1:H51">
    <cfRule type="cellIs" priority="2" operator="equal" aboveAverage="0" equalAverage="0" bottom="0" percent="0" rank="0" text="" dxfId="1">
      <formula>"Done"</formula>
    </cfRule>
    <cfRule type="cellIs" priority="3" operator="equal" aboveAverage="0" equalAverage="0" bottom="0" percent="0" rank="0" text="" dxfId="2">
      <formula>"In progress"</formula>
    </cfRule>
  </conditionalFormatting>
  <dataValidations count="2">
    <dataValidation allowBlank="true" errorStyle="stop" operator="between" showDropDown="false" showErrorMessage="false" showInputMessage="false" sqref="B15 B20 B22:B26 B28:B65 B70:B72 B74:B83 B91:B94" type="list">
      <formula1>"Y"</formula1>
      <formula2>0</formula2>
    </dataValidation>
    <dataValidation allowBlank="true" errorStyle="stop" operator="between" showDropDown="false" showErrorMessage="false" showInputMessage="false" sqref="B21" type="list">
      <formula1>"Warm outreach,Content,Cold outreach,Paid ads"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40"/>
    <col collapsed="false" customWidth="true" hidden="false" outlineLevel="0" max="3" min="3" style="0" width="46"/>
    <col collapsed="false" customWidth="true" hidden="false" outlineLevel="0" max="4" min="4" style="0" width="3"/>
    <col collapsed="false" customWidth="true" hidden="false" outlineLevel="0" max="7" min="5" style="0" width="7"/>
    <col collapsed="false" customWidth="true" hidden="false" outlineLevel="0" max="8" min="8" style="0" width="13"/>
  </cols>
  <sheetData>
    <row r="1" customFormat="false" ht="25.5" hidden="false" customHeight="true" outlineLevel="0" collapsed="false">
      <c r="A1" s="1" t="s">
        <v>84</v>
      </c>
      <c r="B1" s="1"/>
      <c r="C1" s="1"/>
      <c r="D1" s="1"/>
      <c r="E1" s="1"/>
      <c r="F1" s="1"/>
      <c r="G1" s="1"/>
      <c r="H1" s="1"/>
    </row>
    <row r="2" customFormat="false" ht="30" hidden="false" customHeight="true" outlineLevel="0" collapsed="false">
      <c r="A2" s="2" t="s">
        <v>640</v>
      </c>
      <c r="B2" s="2"/>
      <c r="C2" s="2"/>
      <c r="D2" s="2"/>
      <c r="E2" s="2"/>
      <c r="F2" s="2"/>
      <c r="G2" s="2"/>
      <c r="H2" s="2"/>
    </row>
    <row r="3" customFormat="false" ht="30" hidden="false" customHeight="true" outlineLevel="0" collapsed="false">
      <c r="A3" s="3" t="s">
        <v>2</v>
      </c>
      <c r="B3" s="3"/>
      <c r="C3" s="3"/>
      <c r="D3" s="3"/>
      <c r="E3" s="3"/>
      <c r="F3" s="3"/>
      <c r="G3" s="3"/>
      <c r="H3" s="3"/>
    </row>
    <row r="4" customFormat="false" ht="30" hidden="false" customHeight="true" outlineLevel="0" collapsed="false">
      <c r="A4" s="4" t="s">
        <v>181</v>
      </c>
      <c r="B4" s="4" t="s">
        <v>182</v>
      </c>
      <c r="C4" s="4" t="s">
        <v>51</v>
      </c>
      <c r="D4" s="4"/>
      <c r="E4" s="4" t="s">
        <v>181</v>
      </c>
      <c r="F4" s="4" t="s">
        <v>183</v>
      </c>
      <c r="G4" s="4" t="s">
        <v>51</v>
      </c>
      <c r="H4" s="4" t="s">
        <v>184</v>
      </c>
    </row>
    <row r="5" customFormat="false" ht="15" hidden="false" customHeight="false" outlineLevel="0" collapsed="false">
      <c r="A5" s="16" t="s">
        <v>185</v>
      </c>
      <c r="B5" s="18" t="n">
        <f aca="false">COUNTIFS($E$1:$E$600,1,$H$1:$H$600,"Done")</f>
        <v>0</v>
      </c>
      <c r="C5" s="17" t="n">
        <f aca="false">COUNTIF($E$1:$E$600,1)</f>
        <v>1</v>
      </c>
    </row>
    <row r="6" customFormat="false" ht="15" hidden="false" customHeight="false" outlineLevel="0" collapsed="false">
      <c r="A6" s="16" t="s">
        <v>186</v>
      </c>
      <c r="B6" s="18" t="n">
        <f aca="false">COUNTIFS($E$1:$E$600,2,$H$1:$H$600,"Done")</f>
        <v>0</v>
      </c>
      <c r="C6" s="17" t="n">
        <f aca="false">COUNTIF($E$1:$E$600,2)</f>
        <v>1</v>
      </c>
    </row>
    <row r="7" customFormat="false" ht="15" hidden="false" customHeight="false" outlineLevel="0" collapsed="false">
      <c r="A7" s="16" t="s">
        <v>187</v>
      </c>
      <c r="B7" s="18" t="n">
        <f aca="false">COUNTIFS($E$1:$E$600,3,$H$1:$H$600,"Done")</f>
        <v>0</v>
      </c>
      <c r="C7" s="17" t="n">
        <f aca="false">COUNTIF($E$1:$E$600,3)</f>
        <v>1</v>
      </c>
    </row>
    <row r="8" customFormat="false" ht="15" hidden="false" customHeight="false" outlineLevel="0" collapsed="false">
      <c r="A8" s="16" t="s">
        <v>188</v>
      </c>
      <c r="B8" s="18" t="n">
        <f aca="false">COUNTIFS($E$1:$E$600,4,$H$1:$H$600,"Done")</f>
        <v>0</v>
      </c>
      <c r="C8" s="17" t="n">
        <f aca="false">COUNTIF($E$1:$E$600,4)</f>
        <v>1</v>
      </c>
    </row>
    <row r="9" customFormat="false" ht="15" hidden="false" customHeight="false" outlineLevel="0" collapsed="false">
      <c r="A9" s="16" t="s">
        <v>189</v>
      </c>
      <c r="B9" s="18" t="n">
        <f aca="false">COUNTIFS($E$1:$E$600,5,$H$1:$H$600,"Done")</f>
        <v>0</v>
      </c>
      <c r="C9" s="17" t="n">
        <f aca="false">COUNTIF($E$1:$E$600,5)</f>
        <v>1</v>
      </c>
    </row>
    <row r="10" customFormat="false" ht="39.75" hidden="false" customHeight="true" outlineLevel="0" collapsed="false">
      <c r="A10" s="11" t="s">
        <v>190</v>
      </c>
      <c r="B10" s="18" t="n">
        <f aca="false">SUM(B5:B9)</f>
        <v>0</v>
      </c>
      <c r="C10" s="17" t="n">
        <f aca="false">SUM(C5:C9)</f>
        <v>5</v>
      </c>
      <c r="E10" s="23" t="s">
        <v>191</v>
      </c>
      <c r="F10" s="23"/>
      <c r="G10" s="23"/>
      <c r="H10" s="23"/>
    </row>
    <row r="12" customFormat="false" ht="15" hidden="false" customHeight="false" outlineLevel="0" collapsed="false">
      <c r="A12" s="37" t="s">
        <v>192</v>
      </c>
      <c r="B12" s="37"/>
      <c r="C12" s="37"/>
      <c r="D12" s="38"/>
      <c r="E12" s="38"/>
      <c r="F12" s="38"/>
      <c r="G12" s="38"/>
      <c r="H12" s="38"/>
    </row>
    <row r="13" customFormat="false" ht="15" hidden="false" customHeight="false" outlineLevel="0" collapsed="false">
      <c r="A13" s="39" t="s">
        <v>641</v>
      </c>
      <c r="B13" s="40" t="s">
        <v>194</v>
      </c>
      <c r="C13" s="40" t="s">
        <v>83</v>
      </c>
      <c r="E13" s="41" t="n">
        <v>1</v>
      </c>
      <c r="F13" s="41" t="n">
        <f aca="false">0+(B15="Y")</f>
        <v>0</v>
      </c>
      <c r="G13" s="41" t="n">
        <v>1</v>
      </c>
      <c r="H13" s="15" t="str">
        <f aca="false">IF(F13=G13,"Done",IF(F13&gt;0,"In progress","Not yet"))</f>
        <v>Not yet</v>
      </c>
    </row>
    <row r="14" customFormat="false" ht="45" hidden="false" customHeight="true" outlineLevel="0" collapsed="false">
      <c r="A14" s="35" t="s">
        <v>642</v>
      </c>
      <c r="B14" s="35"/>
      <c r="C14" s="35"/>
    </row>
    <row r="15" customFormat="false" ht="15" hidden="false" customHeight="false" outlineLevel="0" collapsed="false">
      <c r="A15" s="16" t="s">
        <v>282</v>
      </c>
      <c r="B15" s="44"/>
    </row>
    <row r="16" customFormat="false" ht="27.75" hidden="false" customHeight="true" outlineLevel="0" collapsed="false">
      <c r="A16" s="43" t="s">
        <v>283</v>
      </c>
      <c r="B16" s="43"/>
      <c r="C16" s="43"/>
    </row>
    <row r="18" customFormat="false" ht="15" hidden="false" customHeight="false" outlineLevel="0" collapsed="false">
      <c r="A18" s="37" t="s">
        <v>209</v>
      </c>
      <c r="B18" s="37"/>
      <c r="C18" s="37"/>
      <c r="D18" s="38"/>
      <c r="E18" s="38"/>
      <c r="F18" s="38"/>
      <c r="G18" s="38"/>
      <c r="H18" s="38"/>
    </row>
    <row r="19" customFormat="false" ht="15" hidden="false" customHeight="false" outlineLevel="0" collapsed="false">
      <c r="A19" s="39" t="s">
        <v>643</v>
      </c>
      <c r="B19" s="40" t="s">
        <v>335</v>
      </c>
      <c r="C19" s="40" t="s">
        <v>83</v>
      </c>
      <c r="E19" s="41" t="n">
        <v>2</v>
      </c>
      <c r="F19" s="41" t="n">
        <f aca="false">0+(B21&lt;&gt;"")+(B22="Y")+(B23="Y")+(B24="Y")+(B25="Y")+(B26="Y")</f>
        <v>0</v>
      </c>
      <c r="G19" s="41" t="n">
        <v>6</v>
      </c>
      <c r="H19" s="15" t="str">
        <f aca="false">IF(F19=G19,"Done",IF(F19&gt;0,"In progress","Not yet"))</f>
        <v>Not yet</v>
      </c>
    </row>
    <row r="20" customFormat="false" ht="30" hidden="false" customHeight="true" outlineLevel="0" collapsed="false">
      <c r="A20" s="35" t="s">
        <v>644</v>
      </c>
      <c r="B20" s="35"/>
      <c r="C20" s="35"/>
    </row>
    <row r="21" customFormat="false" ht="15" hidden="false" customHeight="false" outlineLevel="0" collapsed="false">
      <c r="A21" s="6" t="s">
        <v>645</v>
      </c>
      <c r="B21" s="7"/>
      <c r="C21" s="42" t="s">
        <v>646</v>
      </c>
    </row>
    <row r="22" customFormat="false" ht="15" hidden="false" customHeight="false" outlineLevel="0" collapsed="false">
      <c r="A22" s="6" t="s">
        <v>647</v>
      </c>
      <c r="B22" s="44"/>
      <c r="C22" s="22" t="s">
        <v>237</v>
      </c>
    </row>
    <row r="23" customFormat="false" ht="15" hidden="false" customHeight="false" outlineLevel="0" collapsed="false">
      <c r="A23" s="6" t="s">
        <v>648</v>
      </c>
      <c r="B23" s="44"/>
      <c r="C23" s="22" t="s">
        <v>237</v>
      </c>
    </row>
    <row r="24" customFormat="false" ht="15" hidden="false" customHeight="false" outlineLevel="0" collapsed="false">
      <c r="A24" s="6" t="s">
        <v>649</v>
      </c>
      <c r="B24" s="44"/>
      <c r="C24" s="22" t="s">
        <v>237</v>
      </c>
    </row>
    <row r="25" customFormat="false" ht="15" hidden="false" customHeight="false" outlineLevel="0" collapsed="false">
      <c r="A25" s="6" t="s">
        <v>650</v>
      </c>
      <c r="B25" s="44"/>
      <c r="C25" s="22" t="s">
        <v>237</v>
      </c>
    </row>
    <row r="26" customFormat="false" ht="15" hidden="false" customHeight="false" outlineLevel="0" collapsed="false">
      <c r="A26" s="6" t="s">
        <v>651</v>
      </c>
      <c r="B26" s="44"/>
      <c r="C26" s="22" t="s">
        <v>237</v>
      </c>
    </row>
    <row r="27" customFormat="false" ht="27.75" hidden="false" customHeight="true" outlineLevel="0" collapsed="false">
      <c r="A27" s="43" t="s">
        <v>652</v>
      </c>
      <c r="B27" s="43"/>
      <c r="C27" s="43"/>
    </row>
    <row r="29" customFormat="false" ht="15" hidden="false" customHeight="false" outlineLevel="0" collapsed="false">
      <c r="A29" s="37" t="s">
        <v>231</v>
      </c>
      <c r="B29" s="37"/>
      <c r="C29" s="37"/>
      <c r="D29" s="38"/>
      <c r="E29" s="38"/>
      <c r="F29" s="38"/>
      <c r="G29" s="38"/>
      <c r="H29" s="38"/>
    </row>
    <row r="30" customFormat="false" ht="15" hidden="false" customHeight="false" outlineLevel="0" collapsed="false">
      <c r="A30" s="39" t="s">
        <v>653</v>
      </c>
      <c r="B30" s="40" t="s">
        <v>335</v>
      </c>
      <c r="C30" s="40" t="s">
        <v>83</v>
      </c>
      <c r="E30" s="41" t="n">
        <v>3</v>
      </c>
      <c r="F30" s="41" t="n">
        <f aca="false">0+(B32="Y")+(B33="Y")+(B34="Y")+(B35="Y")+(B36="Y")</f>
        <v>0</v>
      </c>
      <c r="G30" s="41" t="n">
        <v>5</v>
      </c>
      <c r="H30" s="15" t="str">
        <f aca="false">IF(F30=G30,"Done",IF(F30&gt;0,"In progress","Not yet"))</f>
        <v>Not yet</v>
      </c>
    </row>
    <row r="31" customFormat="false" ht="30" hidden="false" customHeight="true" outlineLevel="0" collapsed="false">
      <c r="A31" s="35" t="s">
        <v>654</v>
      </c>
      <c r="B31" s="35"/>
      <c r="C31" s="35"/>
    </row>
    <row r="32" customFormat="false" ht="15" hidden="false" customHeight="false" outlineLevel="0" collapsed="false">
      <c r="A32" s="6" t="s">
        <v>655</v>
      </c>
      <c r="B32" s="44"/>
      <c r="C32" s="22" t="s">
        <v>237</v>
      </c>
    </row>
    <row r="33" customFormat="false" ht="15" hidden="false" customHeight="false" outlineLevel="0" collapsed="false">
      <c r="A33" s="6" t="s">
        <v>656</v>
      </c>
      <c r="B33" s="44"/>
      <c r="C33" s="22" t="s">
        <v>237</v>
      </c>
    </row>
    <row r="34" customFormat="false" ht="15" hidden="false" customHeight="false" outlineLevel="0" collapsed="false">
      <c r="A34" s="6" t="s">
        <v>657</v>
      </c>
      <c r="B34" s="44"/>
      <c r="C34" s="22" t="s">
        <v>237</v>
      </c>
    </row>
    <row r="35" customFormat="false" ht="15" hidden="false" customHeight="false" outlineLevel="0" collapsed="false">
      <c r="A35" s="6" t="s">
        <v>658</v>
      </c>
      <c r="B35" s="44"/>
      <c r="C35" s="22" t="s">
        <v>237</v>
      </c>
    </row>
    <row r="36" customFormat="false" ht="15" hidden="false" customHeight="false" outlineLevel="0" collapsed="false">
      <c r="A36" s="6" t="s">
        <v>659</v>
      </c>
      <c r="B36" s="44"/>
      <c r="C36" s="22" t="s">
        <v>237</v>
      </c>
    </row>
    <row r="37" customFormat="false" ht="27.75" hidden="false" customHeight="true" outlineLevel="0" collapsed="false">
      <c r="A37" s="43" t="s">
        <v>277</v>
      </c>
      <c r="B37" s="43"/>
      <c r="C37" s="43"/>
    </row>
    <row r="39" customFormat="false" ht="15" hidden="false" customHeight="false" outlineLevel="0" collapsed="false">
      <c r="A39" s="37" t="s">
        <v>261</v>
      </c>
      <c r="B39" s="37"/>
      <c r="C39" s="37"/>
      <c r="D39" s="38"/>
      <c r="E39" s="38"/>
      <c r="F39" s="38"/>
      <c r="G39" s="38"/>
      <c r="H39" s="38"/>
    </row>
    <row r="40" customFormat="false" ht="15" hidden="false" customHeight="false" outlineLevel="0" collapsed="false">
      <c r="A40" s="39" t="s">
        <v>660</v>
      </c>
      <c r="B40" s="40" t="s">
        <v>194</v>
      </c>
      <c r="C40" s="40" t="s">
        <v>83</v>
      </c>
      <c r="E40" s="41" t="n">
        <v>4</v>
      </c>
      <c r="F40" s="41" t="n">
        <f aca="false">0+(B42&lt;&gt;"")+(B43&lt;&gt;"")+(B44&lt;&gt;"")</f>
        <v>0</v>
      </c>
      <c r="G40" s="41" t="n">
        <v>3</v>
      </c>
      <c r="H40" s="15" t="str">
        <f aca="false">IF(F40=G40,"Done",IF(F40&gt;0,"In progress","Not yet"))</f>
        <v>Not yet</v>
      </c>
    </row>
    <row r="41" customFormat="false" ht="30" hidden="false" customHeight="true" outlineLevel="0" collapsed="false">
      <c r="A41" s="35" t="s">
        <v>661</v>
      </c>
      <c r="B41" s="35"/>
      <c r="C41" s="35"/>
    </row>
    <row r="42" customFormat="false" ht="15" hidden="false" customHeight="false" outlineLevel="0" collapsed="false">
      <c r="A42" s="6" t="s">
        <v>662</v>
      </c>
      <c r="B42" s="53"/>
      <c r="C42" s="42" t="s">
        <v>663</v>
      </c>
    </row>
    <row r="43" customFormat="false" ht="15" hidden="false" customHeight="false" outlineLevel="0" collapsed="false">
      <c r="A43" s="6" t="s">
        <v>664</v>
      </c>
      <c r="B43" s="53"/>
      <c r="C43" s="42" t="s">
        <v>663</v>
      </c>
    </row>
    <row r="44" customFormat="false" ht="15" hidden="false" customHeight="false" outlineLevel="0" collapsed="false">
      <c r="A44" s="6" t="s">
        <v>665</v>
      </c>
      <c r="B44" s="9"/>
      <c r="C44" s="42" t="s">
        <v>666</v>
      </c>
    </row>
    <row r="45" customFormat="false" ht="15" hidden="false" customHeight="false" outlineLevel="0" collapsed="false">
      <c r="A45" s="45" t="s">
        <v>137</v>
      </c>
      <c r="B45" s="54" t="str">
        <f aca="false">IF(OR(COUNT(B42,B43)&lt;2,B44=""),"not yet",IF(B44=0,"none",SUM(B42,B43)/B44))</f>
        <v>not yet</v>
      </c>
    </row>
    <row r="46" customFormat="false" ht="27.75" hidden="false" customHeight="true" outlineLevel="0" collapsed="false">
      <c r="A46" s="43" t="s">
        <v>667</v>
      </c>
      <c r="B46" s="43"/>
      <c r="C46" s="43"/>
    </row>
    <row r="48" customFormat="false" ht="15" hidden="false" customHeight="false" outlineLevel="0" collapsed="false">
      <c r="A48" s="37" t="s">
        <v>270</v>
      </c>
      <c r="B48" s="37"/>
      <c r="C48" s="37"/>
      <c r="D48" s="38"/>
      <c r="E48" s="38"/>
      <c r="F48" s="38"/>
      <c r="G48" s="38"/>
      <c r="H48" s="38"/>
    </row>
    <row r="49" customFormat="false" ht="15" hidden="false" customHeight="false" outlineLevel="0" collapsed="false">
      <c r="A49" s="39" t="s">
        <v>668</v>
      </c>
      <c r="B49" s="40" t="s">
        <v>244</v>
      </c>
      <c r="C49" s="40" t="s">
        <v>83</v>
      </c>
      <c r="E49" s="41" t="n">
        <v>5</v>
      </c>
      <c r="F49" s="41" t="n">
        <f aca="false">0+(B51="Y")+(B52="Y")+(B53="Y")</f>
        <v>0</v>
      </c>
      <c r="G49" s="41" t="n">
        <v>3</v>
      </c>
      <c r="H49" s="15" t="str">
        <f aca="false">IF(F49=G49,"Done",IF(F49&gt;0,"In progress","Not yet"))</f>
        <v>Not yet</v>
      </c>
    </row>
    <row r="50" customFormat="false" ht="30" hidden="false" customHeight="true" outlineLevel="0" collapsed="false">
      <c r="A50" s="35" t="s">
        <v>669</v>
      </c>
      <c r="B50" s="35"/>
      <c r="C50" s="35"/>
    </row>
    <row r="51" customFormat="false" ht="15" hidden="false" customHeight="false" outlineLevel="0" collapsed="false">
      <c r="A51" s="6" t="s">
        <v>670</v>
      </c>
      <c r="B51" s="44"/>
      <c r="C51" s="22" t="s">
        <v>237</v>
      </c>
    </row>
    <row r="52" customFormat="false" ht="15" hidden="false" customHeight="false" outlineLevel="0" collapsed="false">
      <c r="A52" s="6" t="s">
        <v>671</v>
      </c>
      <c r="B52" s="44"/>
      <c r="C52" s="22" t="s">
        <v>237</v>
      </c>
    </row>
    <row r="53" customFormat="false" ht="15" hidden="false" customHeight="false" outlineLevel="0" collapsed="false">
      <c r="A53" s="6" t="s">
        <v>672</v>
      </c>
      <c r="B53" s="44"/>
      <c r="C53" s="22" t="s">
        <v>237</v>
      </c>
    </row>
    <row r="54" customFormat="false" ht="27.75" hidden="false" customHeight="true" outlineLevel="0" collapsed="false">
      <c r="A54" s="43" t="s">
        <v>277</v>
      </c>
      <c r="B54" s="43"/>
      <c r="C54" s="43"/>
    </row>
  </sheetData>
  <mergeCells count="19">
    <mergeCell ref="A1:H1"/>
    <mergeCell ref="A2:H2"/>
    <mergeCell ref="A3:H3"/>
    <mergeCell ref="E10:H10"/>
    <mergeCell ref="A12:C12"/>
    <mergeCell ref="A14:C14"/>
    <mergeCell ref="A16:C16"/>
    <mergeCell ref="A18:C18"/>
    <mergeCell ref="A20:C20"/>
    <mergeCell ref="A27:C27"/>
    <mergeCell ref="A29:C29"/>
    <mergeCell ref="A31:C31"/>
    <mergeCell ref="A37:C37"/>
    <mergeCell ref="A39:C39"/>
    <mergeCell ref="A41:C41"/>
    <mergeCell ref="A46:C46"/>
    <mergeCell ref="A48:C48"/>
    <mergeCell ref="A50:C50"/>
    <mergeCell ref="A54:C54"/>
  </mergeCells>
  <conditionalFormatting sqref="H1:H56">
    <cfRule type="cellIs" priority="2" operator="equal" aboveAverage="0" equalAverage="0" bottom="0" percent="0" rank="0" text="" dxfId="1">
      <formula>"Done"</formula>
    </cfRule>
    <cfRule type="cellIs" priority="3" operator="equal" aboveAverage="0" equalAverage="0" bottom="0" percent="0" rank="0" text="" dxfId="2">
      <formula>"In progress"</formula>
    </cfRule>
  </conditionalFormatting>
  <dataValidations count="1">
    <dataValidation allowBlank="true" errorStyle="stop" operator="between" showDropDown="false" showErrorMessage="false" showInputMessage="false" sqref="B15 B20 B22:B26 B28:B65 B70:B72 B74:B83 B91:B94"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40"/>
    <col collapsed="false" customWidth="true" hidden="false" outlineLevel="0" max="3" min="3" style="0" width="46"/>
    <col collapsed="false" customWidth="true" hidden="false" outlineLevel="0" max="4" min="4" style="0" width="3"/>
    <col collapsed="false" customWidth="true" hidden="false" outlineLevel="0" max="7" min="5" style="0" width="7"/>
    <col collapsed="false" customWidth="true" hidden="false" outlineLevel="0" max="8" min="8" style="0" width="13"/>
  </cols>
  <sheetData>
    <row r="1" customFormat="false" ht="25.5" hidden="false" customHeight="true" outlineLevel="0" collapsed="false">
      <c r="A1" s="1" t="s">
        <v>86</v>
      </c>
      <c r="B1" s="1"/>
      <c r="C1" s="1"/>
      <c r="D1" s="1"/>
      <c r="E1" s="1"/>
      <c r="F1" s="1"/>
      <c r="G1" s="1"/>
      <c r="H1" s="1"/>
    </row>
    <row r="2" customFormat="false" ht="30" hidden="false" customHeight="true" outlineLevel="0" collapsed="false">
      <c r="A2" s="2" t="s">
        <v>673</v>
      </c>
      <c r="B2" s="2"/>
      <c r="C2" s="2"/>
      <c r="D2" s="2"/>
      <c r="E2" s="2"/>
      <c r="F2" s="2"/>
      <c r="G2" s="2"/>
      <c r="H2" s="2"/>
    </row>
    <row r="3" customFormat="false" ht="30" hidden="false" customHeight="true" outlineLevel="0" collapsed="false">
      <c r="A3" s="3" t="s">
        <v>2</v>
      </c>
      <c r="B3" s="3"/>
      <c r="C3" s="3"/>
      <c r="D3" s="3"/>
      <c r="E3" s="3"/>
      <c r="F3" s="3"/>
      <c r="G3" s="3"/>
      <c r="H3" s="3"/>
    </row>
    <row r="4" customFormat="false" ht="30" hidden="false" customHeight="true" outlineLevel="0" collapsed="false">
      <c r="A4" s="4" t="s">
        <v>181</v>
      </c>
      <c r="B4" s="4" t="s">
        <v>182</v>
      </c>
      <c r="C4" s="4" t="s">
        <v>51</v>
      </c>
      <c r="D4" s="4"/>
      <c r="E4" s="4" t="s">
        <v>181</v>
      </c>
      <c r="F4" s="4" t="s">
        <v>183</v>
      </c>
      <c r="G4" s="4" t="s">
        <v>51</v>
      </c>
      <c r="H4" s="4" t="s">
        <v>184</v>
      </c>
    </row>
    <row r="5" customFormat="false" ht="15" hidden="false" customHeight="false" outlineLevel="0" collapsed="false">
      <c r="A5" s="16" t="s">
        <v>185</v>
      </c>
      <c r="B5" s="18" t="n">
        <f aca="false">COUNTIFS($E$1:$E$600,1,$H$1:$H$600,"Done")</f>
        <v>0</v>
      </c>
      <c r="C5" s="17" t="n">
        <f aca="false">COUNTIF($E$1:$E$600,1)</f>
        <v>1</v>
      </c>
    </row>
    <row r="6" customFormat="false" ht="15" hidden="false" customHeight="false" outlineLevel="0" collapsed="false">
      <c r="A6" s="16" t="s">
        <v>186</v>
      </c>
      <c r="B6" s="18" t="n">
        <f aca="false">COUNTIFS($E$1:$E$600,2,$H$1:$H$600,"Done")</f>
        <v>0</v>
      </c>
      <c r="C6" s="17" t="n">
        <f aca="false">COUNTIF($E$1:$E$600,2)</f>
        <v>2</v>
      </c>
    </row>
    <row r="7" customFormat="false" ht="15" hidden="false" customHeight="false" outlineLevel="0" collapsed="false">
      <c r="A7" s="16" t="s">
        <v>187</v>
      </c>
      <c r="B7" s="18" t="n">
        <f aca="false">COUNTIFS($E$1:$E$600,3,$H$1:$H$600,"Done")</f>
        <v>0</v>
      </c>
      <c r="C7" s="17" t="n">
        <f aca="false">COUNTIF($E$1:$E$600,3)</f>
        <v>1</v>
      </c>
    </row>
    <row r="8" customFormat="false" ht="15" hidden="false" customHeight="false" outlineLevel="0" collapsed="false">
      <c r="A8" s="16" t="s">
        <v>188</v>
      </c>
      <c r="B8" s="18" t="n">
        <f aca="false">COUNTIFS($E$1:$E$600,4,$H$1:$H$600,"Done")</f>
        <v>0</v>
      </c>
      <c r="C8" s="17" t="n">
        <f aca="false">COUNTIF($E$1:$E$600,4)</f>
        <v>1</v>
      </c>
    </row>
    <row r="9" customFormat="false" ht="15" hidden="false" customHeight="false" outlineLevel="0" collapsed="false">
      <c r="A9" s="16" t="s">
        <v>189</v>
      </c>
      <c r="B9" s="18" t="n">
        <f aca="false">COUNTIFS($E$1:$E$600,5,$H$1:$H$600,"Done")</f>
        <v>0</v>
      </c>
      <c r="C9" s="17" t="n">
        <f aca="false">COUNTIF($E$1:$E$600,5)</f>
        <v>1</v>
      </c>
    </row>
    <row r="10" customFormat="false" ht="39.75" hidden="false" customHeight="true" outlineLevel="0" collapsed="false">
      <c r="A10" s="11" t="s">
        <v>190</v>
      </c>
      <c r="B10" s="18" t="n">
        <f aca="false">SUM(B5:B9)</f>
        <v>0</v>
      </c>
      <c r="C10" s="17" t="n">
        <f aca="false">SUM(C5:C9)</f>
        <v>6</v>
      </c>
      <c r="E10" s="23" t="s">
        <v>191</v>
      </c>
      <c r="F10" s="23"/>
      <c r="G10" s="23"/>
      <c r="H10" s="23"/>
    </row>
    <row r="12" customFormat="false" ht="15" hidden="false" customHeight="false" outlineLevel="0" collapsed="false">
      <c r="A12" s="37" t="s">
        <v>192</v>
      </c>
      <c r="B12" s="37"/>
      <c r="C12" s="37"/>
      <c r="D12" s="38"/>
      <c r="E12" s="38"/>
      <c r="F12" s="38"/>
      <c r="G12" s="38"/>
      <c r="H12" s="38"/>
    </row>
    <row r="13" customFormat="false" ht="15" hidden="false" customHeight="false" outlineLevel="0" collapsed="false">
      <c r="A13" s="39" t="s">
        <v>674</v>
      </c>
      <c r="B13" s="40" t="s">
        <v>194</v>
      </c>
      <c r="C13" s="40" t="s">
        <v>85</v>
      </c>
      <c r="E13" s="41" t="n">
        <v>1</v>
      </c>
      <c r="F13" s="41" t="n">
        <f aca="false">0+(B15="Y")</f>
        <v>0</v>
      </c>
      <c r="G13" s="41" t="n">
        <v>1</v>
      </c>
      <c r="H13" s="15" t="str">
        <f aca="false">IF(F13=G13,"Done",IF(F13&gt;0,"In progress","Not yet"))</f>
        <v>Not yet</v>
      </c>
    </row>
    <row r="14" customFormat="false" ht="30" hidden="false" customHeight="true" outlineLevel="0" collapsed="false">
      <c r="A14" s="35" t="s">
        <v>675</v>
      </c>
      <c r="B14" s="35"/>
      <c r="C14" s="35"/>
    </row>
    <row r="15" customFormat="false" ht="15" hidden="false" customHeight="false" outlineLevel="0" collapsed="false">
      <c r="A15" s="16" t="s">
        <v>282</v>
      </c>
      <c r="B15" s="44"/>
    </row>
    <row r="16" customFormat="false" ht="27.75" hidden="false" customHeight="true" outlineLevel="0" collapsed="false">
      <c r="A16" s="43" t="s">
        <v>283</v>
      </c>
      <c r="B16" s="43"/>
      <c r="C16" s="43"/>
    </row>
    <row r="18" customFormat="false" ht="15" hidden="false" customHeight="false" outlineLevel="0" collapsed="false">
      <c r="A18" s="37" t="s">
        <v>209</v>
      </c>
      <c r="B18" s="37"/>
      <c r="C18" s="37"/>
      <c r="D18" s="38"/>
      <c r="E18" s="38"/>
      <c r="F18" s="38"/>
      <c r="G18" s="38"/>
      <c r="H18" s="38"/>
    </row>
    <row r="19" customFormat="false" ht="15" hidden="false" customHeight="false" outlineLevel="0" collapsed="false">
      <c r="A19" s="39" t="s">
        <v>676</v>
      </c>
      <c r="B19" s="40" t="s">
        <v>335</v>
      </c>
      <c r="C19" s="40" t="s">
        <v>85</v>
      </c>
      <c r="E19" s="41" t="n">
        <v>2</v>
      </c>
      <c r="F19" s="41" t="n">
        <f aca="false">0+(B21&lt;&gt;"")+(B22&lt;&gt;"")</f>
        <v>0</v>
      </c>
      <c r="G19" s="41" t="n">
        <v>2</v>
      </c>
      <c r="H19" s="15" t="str">
        <f aca="false">IF(F19=G19,"Done",IF(F19&gt;0,"In progress","Not yet"))</f>
        <v>Not yet</v>
      </c>
    </row>
    <row r="20" customFormat="false" ht="30" hidden="false" customHeight="true" outlineLevel="0" collapsed="false">
      <c r="A20" s="35" t="s">
        <v>677</v>
      </c>
      <c r="B20" s="35"/>
      <c r="C20" s="35"/>
    </row>
    <row r="21" customFormat="false" ht="22.35" hidden="false" customHeight="false" outlineLevel="0" collapsed="false">
      <c r="A21" s="6" t="s">
        <v>678</v>
      </c>
      <c r="B21" s="7"/>
      <c r="C21" s="42" t="s">
        <v>679</v>
      </c>
    </row>
    <row r="22" customFormat="false" ht="15" hidden="false" customHeight="false" outlineLevel="0" collapsed="false">
      <c r="A22" s="6" t="s">
        <v>680</v>
      </c>
      <c r="B22" s="9"/>
      <c r="C22" s="42" t="s">
        <v>681</v>
      </c>
    </row>
    <row r="23" customFormat="false" ht="27.75" hidden="false" customHeight="true" outlineLevel="0" collapsed="false">
      <c r="A23" s="43" t="s">
        <v>682</v>
      </c>
      <c r="B23" s="43"/>
      <c r="C23" s="43"/>
    </row>
    <row r="25" customFormat="false" ht="15" hidden="false" customHeight="false" outlineLevel="0" collapsed="false">
      <c r="A25" s="39" t="s">
        <v>683</v>
      </c>
      <c r="B25" s="40" t="s">
        <v>335</v>
      </c>
      <c r="C25" s="40" t="s">
        <v>85</v>
      </c>
      <c r="E25" s="41" t="n">
        <v>2</v>
      </c>
      <c r="F25" s="41" t="n">
        <f aca="false">0+(B27&lt;&gt;"")+(B28&lt;&gt;"")+(B29&lt;&gt;"")</f>
        <v>0</v>
      </c>
      <c r="G25" s="41" t="n">
        <v>3</v>
      </c>
      <c r="H25" s="15" t="str">
        <f aca="false">IF(F25=G25,"Done",IF(F25&gt;0,"In progress","Not yet"))</f>
        <v>Not yet</v>
      </c>
    </row>
    <row r="26" customFormat="false" ht="30" hidden="false" customHeight="true" outlineLevel="0" collapsed="false">
      <c r="A26" s="35" t="s">
        <v>684</v>
      </c>
      <c r="B26" s="35"/>
      <c r="C26" s="35"/>
    </row>
    <row r="27" customFormat="false" ht="22.35" hidden="false" customHeight="false" outlineLevel="0" collapsed="false">
      <c r="A27" s="6" t="s">
        <v>685</v>
      </c>
      <c r="B27" s="7"/>
      <c r="C27" s="42" t="s">
        <v>686</v>
      </c>
    </row>
    <row r="28" customFormat="false" ht="15" hidden="false" customHeight="false" outlineLevel="0" collapsed="false">
      <c r="A28" s="6" t="s">
        <v>687</v>
      </c>
      <c r="B28" s="7"/>
      <c r="C28" s="42" t="s">
        <v>688</v>
      </c>
    </row>
    <row r="29" customFormat="false" ht="45" hidden="false" customHeight="true" outlineLevel="0" collapsed="false">
      <c r="A29" s="6" t="s">
        <v>689</v>
      </c>
      <c r="B29" s="7"/>
      <c r="C29" s="42" t="s">
        <v>690</v>
      </c>
    </row>
    <row r="30" customFormat="false" ht="27.75" hidden="false" customHeight="true" outlineLevel="0" collapsed="false">
      <c r="A30" s="43" t="s">
        <v>691</v>
      </c>
      <c r="B30" s="43"/>
      <c r="C30" s="43"/>
    </row>
    <row r="32" customFormat="false" ht="15" hidden="false" customHeight="false" outlineLevel="0" collapsed="false">
      <c r="A32" s="37" t="s">
        <v>231</v>
      </c>
      <c r="B32" s="37"/>
      <c r="C32" s="37"/>
      <c r="D32" s="38"/>
      <c r="E32" s="38"/>
      <c r="F32" s="38"/>
      <c r="G32" s="38"/>
      <c r="H32" s="38"/>
    </row>
    <row r="33" customFormat="false" ht="15" hidden="false" customHeight="false" outlineLevel="0" collapsed="false">
      <c r="A33" s="39" t="s">
        <v>692</v>
      </c>
      <c r="B33" s="40" t="s">
        <v>415</v>
      </c>
      <c r="C33" s="40" t="s">
        <v>85</v>
      </c>
      <c r="E33" s="41" t="n">
        <v>3</v>
      </c>
      <c r="F33" s="41" t="n">
        <f aca="false">0+(B35="Y")+(B36="Y")+(B37="Y")+(B38="Y")+(B39="Y")</f>
        <v>0</v>
      </c>
      <c r="G33" s="41" t="n">
        <v>5</v>
      </c>
      <c r="H33" s="15" t="str">
        <f aca="false">IF(F33=G33,"Done",IF(F33&gt;0,"In progress","Not yet"))</f>
        <v>Not yet</v>
      </c>
    </row>
    <row r="34" customFormat="false" ht="30" hidden="false" customHeight="true" outlineLevel="0" collapsed="false">
      <c r="A34" s="35" t="s">
        <v>693</v>
      </c>
      <c r="B34" s="35"/>
      <c r="C34" s="35"/>
    </row>
    <row r="35" customFormat="false" ht="15" hidden="false" customHeight="false" outlineLevel="0" collapsed="false">
      <c r="A35" s="6" t="s">
        <v>694</v>
      </c>
      <c r="B35" s="44"/>
      <c r="C35" s="22" t="s">
        <v>237</v>
      </c>
    </row>
    <row r="36" customFormat="false" ht="15" hidden="false" customHeight="false" outlineLevel="0" collapsed="false">
      <c r="A36" s="6" t="s">
        <v>695</v>
      </c>
      <c r="B36" s="44"/>
      <c r="C36" s="22" t="s">
        <v>237</v>
      </c>
    </row>
    <row r="37" customFormat="false" ht="15" hidden="false" customHeight="false" outlineLevel="0" collapsed="false">
      <c r="A37" s="6" t="s">
        <v>696</v>
      </c>
      <c r="B37" s="44"/>
      <c r="C37" s="22" t="s">
        <v>237</v>
      </c>
    </row>
    <row r="38" customFormat="false" ht="15" hidden="false" customHeight="false" outlineLevel="0" collapsed="false">
      <c r="A38" s="6" t="s">
        <v>697</v>
      </c>
      <c r="B38" s="44"/>
      <c r="C38" s="22" t="s">
        <v>237</v>
      </c>
    </row>
    <row r="39" customFormat="false" ht="15" hidden="false" customHeight="false" outlineLevel="0" collapsed="false">
      <c r="A39" s="6" t="s">
        <v>698</v>
      </c>
      <c r="B39" s="44"/>
      <c r="C39" s="22" t="s">
        <v>237</v>
      </c>
    </row>
    <row r="40" customFormat="false" ht="27.75" hidden="false" customHeight="true" outlineLevel="0" collapsed="false">
      <c r="A40" s="43" t="s">
        <v>277</v>
      </c>
      <c r="B40" s="43"/>
      <c r="C40" s="43"/>
    </row>
    <row r="42" customFormat="false" ht="15" hidden="false" customHeight="false" outlineLevel="0" collapsed="false">
      <c r="A42" s="37" t="s">
        <v>261</v>
      </c>
      <c r="B42" s="37"/>
      <c r="C42" s="37"/>
      <c r="D42" s="38"/>
      <c r="E42" s="38"/>
      <c r="F42" s="38"/>
      <c r="G42" s="38"/>
      <c r="H42" s="38"/>
    </row>
    <row r="43" customFormat="false" ht="15" hidden="false" customHeight="false" outlineLevel="0" collapsed="false">
      <c r="A43" s="39" t="s">
        <v>699</v>
      </c>
      <c r="B43" s="40" t="s">
        <v>194</v>
      </c>
      <c r="C43" s="40" t="s">
        <v>85</v>
      </c>
      <c r="E43" s="41" t="n">
        <v>4</v>
      </c>
      <c r="F43" s="41" t="n">
        <f aca="false">0+(B45&lt;&gt;"")+(B46&lt;&gt;"")</f>
        <v>0</v>
      </c>
      <c r="G43" s="41" t="n">
        <v>2</v>
      </c>
      <c r="H43" s="15" t="str">
        <f aca="false">IF(F43=G43,"Done",IF(F43&gt;0,"In progress","Not yet"))</f>
        <v>Not yet</v>
      </c>
    </row>
    <row r="44" customFormat="false" ht="30" hidden="false" customHeight="true" outlineLevel="0" collapsed="false">
      <c r="A44" s="35" t="s">
        <v>700</v>
      </c>
      <c r="B44" s="35"/>
      <c r="C44" s="35"/>
    </row>
    <row r="45" customFormat="false" ht="15" hidden="false" customHeight="false" outlineLevel="0" collapsed="false">
      <c r="A45" s="6" t="s">
        <v>701</v>
      </c>
      <c r="B45" s="9"/>
      <c r="C45" s="42" t="s">
        <v>702</v>
      </c>
    </row>
    <row r="46" customFormat="false" ht="15" hidden="false" customHeight="false" outlineLevel="0" collapsed="false">
      <c r="A46" s="6" t="s">
        <v>703</v>
      </c>
      <c r="B46" s="9"/>
      <c r="C46" s="42" t="s">
        <v>704</v>
      </c>
    </row>
    <row r="47" customFormat="false" ht="27.75" hidden="false" customHeight="true" outlineLevel="0" collapsed="false">
      <c r="A47" s="43" t="s">
        <v>705</v>
      </c>
      <c r="B47" s="43"/>
      <c r="C47" s="43"/>
    </row>
    <row r="49" customFormat="false" ht="15" hidden="false" customHeight="false" outlineLevel="0" collapsed="false">
      <c r="A49" s="37" t="s">
        <v>270</v>
      </c>
      <c r="B49" s="37"/>
      <c r="C49" s="37"/>
      <c r="D49" s="38"/>
      <c r="E49" s="38"/>
      <c r="F49" s="38"/>
      <c r="G49" s="38"/>
      <c r="H49" s="38"/>
    </row>
    <row r="50" customFormat="false" ht="15" hidden="false" customHeight="false" outlineLevel="0" collapsed="false">
      <c r="A50" s="39" t="s">
        <v>364</v>
      </c>
      <c r="B50" s="40" t="s">
        <v>244</v>
      </c>
      <c r="C50" s="40" t="s">
        <v>85</v>
      </c>
      <c r="E50" s="41" t="n">
        <v>5</v>
      </c>
      <c r="F50" s="41" t="n">
        <f aca="false">0+(B52="Y")+(B53="Y")+(B54="Y")+(B55="Y")</f>
        <v>0</v>
      </c>
      <c r="G50" s="41" t="n">
        <v>4</v>
      </c>
      <c r="H50" s="15" t="str">
        <f aca="false">IF(F50=G50,"Done",IF(F50&gt;0,"In progress","Not yet"))</f>
        <v>Not yet</v>
      </c>
    </row>
    <row r="51" customFormat="false" ht="30" hidden="false" customHeight="true" outlineLevel="0" collapsed="false">
      <c r="A51" s="35" t="s">
        <v>706</v>
      </c>
      <c r="B51" s="35"/>
      <c r="C51" s="35"/>
    </row>
    <row r="52" customFormat="false" ht="15" hidden="false" customHeight="false" outlineLevel="0" collapsed="false">
      <c r="A52" s="6" t="s">
        <v>707</v>
      </c>
      <c r="B52" s="44"/>
      <c r="C52" s="22" t="s">
        <v>237</v>
      </c>
    </row>
    <row r="53" customFormat="false" ht="15" hidden="false" customHeight="false" outlineLevel="0" collapsed="false">
      <c r="A53" s="6" t="s">
        <v>708</v>
      </c>
      <c r="B53" s="44"/>
      <c r="C53" s="22" t="s">
        <v>237</v>
      </c>
    </row>
    <row r="54" customFormat="false" ht="15" hidden="false" customHeight="false" outlineLevel="0" collapsed="false">
      <c r="A54" s="6" t="s">
        <v>709</v>
      </c>
      <c r="B54" s="44"/>
      <c r="C54" s="22" t="s">
        <v>237</v>
      </c>
    </row>
    <row r="55" customFormat="false" ht="15" hidden="false" customHeight="false" outlineLevel="0" collapsed="false">
      <c r="A55" s="6" t="s">
        <v>710</v>
      </c>
      <c r="B55" s="44"/>
      <c r="C55" s="22" t="s">
        <v>237</v>
      </c>
    </row>
    <row r="56" customFormat="false" ht="27.75" hidden="false" customHeight="true" outlineLevel="0" collapsed="false">
      <c r="A56" s="43" t="s">
        <v>277</v>
      </c>
      <c r="B56" s="43"/>
      <c r="C56" s="43"/>
    </row>
  </sheetData>
  <mergeCells count="21">
    <mergeCell ref="A1:H1"/>
    <mergeCell ref="A2:H2"/>
    <mergeCell ref="A3:H3"/>
    <mergeCell ref="E10:H10"/>
    <mergeCell ref="A12:C12"/>
    <mergeCell ref="A14:C14"/>
    <mergeCell ref="A16:C16"/>
    <mergeCell ref="A18:C18"/>
    <mergeCell ref="A20:C20"/>
    <mergeCell ref="A23:C23"/>
    <mergeCell ref="A26:C26"/>
    <mergeCell ref="A30:C30"/>
    <mergeCell ref="A32:C32"/>
    <mergeCell ref="A34:C34"/>
    <mergeCell ref="A40:C40"/>
    <mergeCell ref="A42:C42"/>
    <mergeCell ref="A44:C44"/>
    <mergeCell ref="A47:C47"/>
    <mergeCell ref="A49:C49"/>
    <mergeCell ref="A51:C51"/>
    <mergeCell ref="A56:C56"/>
  </mergeCells>
  <conditionalFormatting sqref="H1:H58">
    <cfRule type="cellIs" priority="2" operator="equal" aboveAverage="0" equalAverage="0" bottom="0" percent="0" rank="0" text="" dxfId="1">
      <formula>"Done"</formula>
    </cfRule>
    <cfRule type="cellIs" priority="3" operator="equal" aboveAverage="0" equalAverage="0" bottom="0" percent="0" rank="0" text="" dxfId="2">
      <formula>"In progress"</formula>
    </cfRule>
  </conditionalFormatting>
  <dataValidations count="3">
    <dataValidation allowBlank="true" errorStyle="stop" operator="between" showDropDown="false" showErrorMessage="false" showInputMessage="false" sqref="B15 B20 B22:B26 B29:B65 B70:B72 B74:B83 B91:B94" type="list">
      <formula1>"Y"</formula1>
      <formula2>0</formula2>
    </dataValidation>
    <dataValidation allowBlank="true" errorStyle="stop" operator="between" showDropDown="false" showErrorMessage="false" showInputMessage="false" sqref="B27" type="list">
      <formula1>"A share of each sale,A fee per lead,Product for their customers,A mix"</formula1>
      <formula2>0</formula2>
    </dataValidation>
    <dataValidation allowBlank="true" errorStyle="stop" operator="between" showDropDown="false" showErrorMessage="false" showInputMessage="false" sqref="B28" type="list">
      <formula1>"They use or buy it first,A launch we run together,Both"</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12"/>
    <col collapsed="false" customWidth="true" hidden="false" outlineLevel="0" max="4" min="4" style="0" width="3"/>
    <col collapsed="false" customWidth="true" hidden="false" outlineLevel="0" max="5" min="5" style="0" width="44"/>
    <col collapsed="false" customWidth="true" hidden="false" outlineLevel="0" max="6" min="6" style="0" width="14"/>
    <col collapsed="false" customWidth="true" hidden="false" outlineLevel="0" max="7" min="7" style="0" width="40"/>
  </cols>
  <sheetData>
    <row r="1" customFormat="false" ht="25.5" hidden="false" customHeight="true" outlineLevel="0" collapsed="false">
      <c r="A1" s="1" t="s">
        <v>711</v>
      </c>
      <c r="B1" s="1"/>
      <c r="C1" s="1"/>
      <c r="D1" s="1"/>
      <c r="E1" s="1"/>
      <c r="F1" s="1"/>
      <c r="G1" s="1"/>
    </row>
    <row r="2" customFormat="false" ht="30" hidden="false" customHeight="true" outlineLevel="0" collapsed="false">
      <c r="A2" s="2" t="s">
        <v>712</v>
      </c>
      <c r="B2" s="2"/>
      <c r="C2" s="2"/>
      <c r="D2" s="2"/>
      <c r="E2" s="2"/>
      <c r="F2" s="2"/>
      <c r="G2" s="2"/>
    </row>
    <row r="3" customFormat="false" ht="30" hidden="false" customHeight="true" outlineLevel="0" collapsed="false">
      <c r="A3" s="3" t="s">
        <v>2</v>
      </c>
      <c r="B3" s="3"/>
      <c r="C3" s="3"/>
      <c r="D3" s="3"/>
      <c r="E3" s="3"/>
      <c r="F3" s="3"/>
      <c r="G3" s="3"/>
    </row>
    <row r="4" customFormat="false" ht="30" hidden="false" customHeight="true" outlineLevel="0" collapsed="false">
      <c r="A4" s="4" t="s">
        <v>713</v>
      </c>
      <c r="B4" s="4" t="s">
        <v>714</v>
      </c>
      <c r="C4" s="4" t="s">
        <v>715</v>
      </c>
      <c r="D4" s="4"/>
      <c r="E4" s="4" t="s">
        <v>716</v>
      </c>
      <c r="F4" s="4" t="s">
        <v>55</v>
      </c>
      <c r="G4" s="4"/>
    </row>
    <row r="5" customFormat="false" ht="22.35" hidden="false" customHeight="false" outlineLevel="0" collapsed="false">
      <c r="A5" s="55" t="n">
        <v>46278</v>
      </c>
      <c r="B5" s="56" t="s">
        <v>717</v>
      </c>
      <c r="C5" s="24" t="n">
        <v>100</v>
      </c>
      <c r="E5" s="11" t="s">
        <v>718</v>
      </c>
      <c r="F5" s="27" t="n">
        <f aca="true">COUNTIFS($A$5:$A$218,"&gt;="&amp;TODAY()-29,$C$5:$C$218,"&lt;&gt;")</f>
        <v>13</v>
      </c>
      <c r="G5" s="57" t="s">
        <v>719</v>
      </c>
    </row>
    <row r="6" customFormat="false" ht="15" hidden="false" customHeight="false" outlineLevel="0" collapsed="false">
      <c r="A6" s="55" t="n">
        <v>46279</v>
      </c>
      <c r="B6" s="56" t="s">
        <v>717</v>
      </c>
      <c r="C6" s="24" t="n">
        <v>110</v>
      </c>
      <c r="E6" s="11" t="s">
        <v>720</v>
      </c>
      <c r="F6" s="27" t="n">
        <f aca="true">COUNTIFS($A$5:$A$218,"&gt;="&amp;TODAY()-29,$C$5:$C$218,"&gt;=100")</f>
        <v>11</v>
      </c>
    </row>
    <row r="7" customFormat="false" ht="15" hidden="false" customHeight="false" outlineLevel="0" collapsed="false">
      <c r="A7" s="55" t="n">
        <v>46280</v>
      </c>
      <c r="B7" s="56" t="s">
        <v>717</v>
      </c>
      <c r="C7" s="24" t="n">
        <v>95</v>
      </c>
      <c r="E7" s="11" t="s">
        <v>721</v>
      </c>
      <c r="F7" s="27" t="n">
        <f aca="true">SUMIFS($C$5:$C$218,$A$5:$A$218,"&gt;="&amp;TODAY()-29)</f>
        <v>1335</v>
      </c>
    </row>
    <row r="8" customFormat="false" ht="15" hidden="false" customHeight="false" outlineLevel="0" collapsed="false">
      <c r="A8" s="55" t="n">
        <v>46281</v>
      </c>
      <c r="B8" s="56"/>
      <c r="C8" s="24"/>
      <c r="E8" s="11" t="s">
        <v>722</v>
      </c>
      <c r="F8" s="27" t="n">
        <f aca="false">IF(F5=0,"not yet",F7/F5)</f>
        <v>102.692307692308</v>
      </c>
    </row>
    <row r="9" customFormat="false" ht="15" hidden="false" customHeight="false" outlineLevel="0" collapsed="false">
      <c r="A9" s="55" t="n">
        <v>46282</v>
      </c>
      <c r="B9" s="56" t="s">
        <v>717</v>
      </c>
      <c r="C9" s="24" t="n">
        <v>120</v>
      </c>
    </row>
    <row r="10" customFormat="false" ht="15" hidden="false" customHeight="false" outlineLevel="0" collapsed="false">
      <c r="A10" s="55" t="n">
        <v>46283</v>
      </c>
      <c r="B10" s="56" t="s">
        <v>717</v>
      </c>
      <c r="C10" s="24" t="n">
        <v>100</v>
      </c>
    </row>
    <row r="11" customFormat="false" ht="15" hidden="false" customHeight="false" outlineLevel="0" collapsed="false">
      <c r="A11" s="55" t="n">
        <v>46284</v>
      </c>
      <c r="B11" s="56" t="s">
        <v>717</v>
      </c>
      <c r="C11" s="24" t="n">
        <v>100</v>
      </c>
    </row>
    <row r="12" customFormat="false" ht="15" hidden="false" customHeight="false" outlineLevel="0" collapsed="false">
      <c r="A12" s="55" t="n">
        <v>46285</v>
      </c>
      <c r="B12" s="56" t="s">
        <v>717</v>
      </c>
      <c r="C12" s="24" t="n">
        <v>130</v>
      </c>
    </row>
    <row r="13" customFormat="false" ht="15" hidden="false" customHeight="false" outlineLevel="0" collapsed="false">
      <c r="A13" s="55" t="n">
        <v>46286</v>
      </c>
      <c r="B13" s="56" t="s">
        <v>717</v>
      </c>
      <c r="C13" s="24" t="n">
        <v>60</v>
      </c>
    </row>
    <row r="14" customFormat="false" ht="15" hidden="false" customHeight="false" outlineLevel="0" collapsed="false">
      <c r="A14" s="55" t="n">
        <v>46287</v>
      </c>
      <c r="B14" s="56" t="s">
        <v>717</v>
      </c>
      <c r="C14" s="24" t="n">
        <v>100</v>
      </c>
    </row>
    <row r="15" customFormat="false" ht="15" hidden="false" customHeight="false" outlineLevel="0" collapsed="false">
      <c r="A15" s="55" t="n">
        <v>46288</v>
      </c>
      <c r="B15" s="56" t="s">
        <v>717</v>
      </c>
      <c r="C15" s="24" t="n">
        <v>105</v>
      </c>
    </row>
    <row r="16" customFormat="false" ht="15" hidden="false" customHeight="false" outlineLevel="0" collapsed="false">
      <c r="A16" s="55" t="n">
        <v>46289</v>
      </c>
      <c r="B16" s="56" t="s">
        <v>717</v>
      </c>
      <c r="C16" s="24" t="n">
        <v>100</v>
      </c>
    </row>
    <row r="17" customFormat="false" ht="15" hidden="false" customHeight="false" outlineLevel="0" collapsed="false">
      <c r="A17" s="55" t="n">
        <v>46290</v>
      </c>
      <c r="B17" s="56" t="s">
        <v>717</v>
      </c>
      <c r="C17" s="24" t="n">
        <v>100</v>
      </c>
    </row>
    <row r="18" customFormat="false" ht="15" hidden="false" customHeight="false" outlineLevel="0" collapsed="false">
      <c r="A18" s="55" t="n">
        <v>46291</v>
      </c>
      <c r="B18" s="56" t="s">
        <v>717</v>
      </c>
      <c r="C18" s="24" t="n">
        <v>115</v>
      </c>
    </row>
    <row r="19" customFormat="false" ht="15" hidden="false" customHeight="false" outlineLevel="0" collapsed="false">
      <c r="A19" s="55"/>
      <c r="B19" s="56"/>
      <c r="C19" s="24"/>
    </row>
    <row r="20" customFormat="false" ht="15" hidden="false" customHeight="false" outlineLevel="0" collapsed="false">
      <c r="A20" s="55"/>
      <c r="B20" s="56"/>
      <c r="C20" s="24"/>
    </row>
    <row r="21" customFormat="false" ht="15" hidden="false" customHeight="false" outlineLevel="0" collapsed="false">
      <c r="A21" s="55"/>
      <c r="B21" s="56"/>
      <c r="C21" s="24"/>
    </row>
    <row r="22" customFormat="false" ht="15" hidden="false" customHeight="false" outlineLevel="0" collapsed="false">
      <c r="A22" s="55"/>
      <c r="B22" s="56"/>
      <c r="C22" s="24"/>
    </row>
    <row r="23" customFormat="false" ht="15" hidden="false" customHeight="false" outlineLevel="0" collapsed="false">
      <c r="A23" s="55"/>
      <c r="B23" s="56"/>
      <c r="C23" s="24"/>
    </row>
    <row r="24" customFormat="false" ht="15" hidden="false" customHeight="false" outlineLevel="0" collapsed="false">
      <c r="A24" s="55"/>
      <c r="B24" s="56"/>
      <c r="C24" s="24"/>
    </row>
    <row r="25" customFormat="false" ht="15" hidden="false" customHeight="false" outlineLevel="0" collapsed="false">
      <c r="A25" s="55"/>
      <c r="B25" s="56"/>
      <c r="C25" s="24"/>
    </row>
    <row r="26" customFormat="false" ht="15" hidden="false" customHeight="false" outlineLevel="0" collapsed="false">
      <c r="A26" s="55"/>
      <c r="B26" s="56"/>
      <c r="C26" s="24"/>
    </row>
    <row r="27" customFormat="false" ht="15" hidden="false" customHeight="false" outlineLevel="0" collapsed="false">
      <c r="A27" s="55"/>
      <c r="B27" s="56"/>
      <c r="C27" s="24"/>
    </row>
    <row r="28" customFormat="false" ht="15" hidden="false" customHeight="false" outlineLevel="0" collapsed="false">
      <c r="A28" s="55"/>
      <c r="B28" s="56"/>
      <c r="C28" s="24"/>
    </row>
    <row r="29" customFormat="false" ht="15" hidden="false" customHeight="false" outlineLevel="0" collapsed="false">
      <c r="A29" s="55"/>
      <c r="B29" s="56"/>
      <c r="C29" s="24"/>
    </row>
    <row r="30" customFormat="false" ht="15" hidden="false" customHeight="false" outlineLevel="0" collapsed="false">
      <c r="A30" s="55"/>
      <c r="B30" s="56"/>
      <c r="C30" s="24"/>
    </row>
    <row r="31" customFormat="false" ht="15" hidden="false" customHeight="false" outlineLevel="0" collapsed="false">
      <c r="A31" s="55"/>
      <c r="B31" s="56"/>
      <c r="C31" s="24"/>
    </row>
    <row r="32" customFormat="false" ht="15" hidden="false" customHeight="false" outlineLevel="0" collapsed="false">
      <c r="A32" s="55"/>
      <c r="B32" s="56"/>
      <c r="C32" s="24"/>
    </row>
    <row r="33" customFormat="false" ht="15" hidden="false" customHeight="false" outlineLevel="0" collapsed="false">
      <c r="A33" s="55"/>
      <c r="B33" s="56"/>
      <c r="C33" s="24"/>
    </row>
    <row r="34" customFormat="false" ht="15" hidden="false" customHeight="false" outlineLevel="0" collapsed="false">
      <c r="A34" s="55"/>
      <c r="B34" s="56"/>
      <c r="C34" s="24"/>
    </row>
    <row r="35" customFormat="false" ht="15" hidden="false" customHeight="false" outlineLevel="0" collapsed="false">
      <c r="A35" s="55"/>
      <c r="B35" s="56"/>
      <c r="C35" s="24"/>
    </row>
    <row r="36" customFormat="false" ht="15" hidden="false" customHeight="false" outlineLevel="0" collapsed="false">
      <c r="A36" s="55"/>
      <c r="B36" s="56"/>
      <c r="C36" s="24"/>
    </row>
    <row r="37" customFormat="false" ht="15" hidden="false" customHeight="false" outlineLevel="0" collapsed="false">
      <c r="A37" s="55"/>
      <c r="B37" s="56"/>
      <c r="C37" s="24"/>
    </row>
    <row r="38" customFormat="false" ht="15" hidden="false" customHeight="false" outlineLevel="0" collapsed="false">
      <c r="A38" s="55"/>
      <c r="B38" s="56"/>
      <c r="C38" s="24"/>
    </row>
    <row r="39" customFormat="false" ht="15" hidden="false" customHeight="false" outlineLevel="0" collapsed="false">
      <c r="A39" s="55"/>
      <c r="B39" s="56"/>
      <c r="C39" s="24"/>
    </row>
    <row r="40" customFormat="false" ht="15" hidden="false" customHeight="false" outlineLevel="0" collapsed="false">
      <c r="A40" s="55"/>
      <c r="B40" s="56"/>
      <c r="C40" s="24"/>
    </row>
    <row r="41" customFormat="false" ht="15" hidden="false" customHeight="false" outlineLevel="0" collapsed="false">
      <c r="A41" s="55"/>
      <c r="B41" s="56"/>
      <c r="C41" s="24"/>
    </row>
    <row r="42" customFormat="false" ht="15" hidden="false" customHeight="false" outlineLevel="0" collapsed="false">
      <c r="A42" s="55"/>
      <c r="B42" s="56"/>
      <c r="C42" s="24"/>
    </row>
    <row r="43" customFormat="false" ht="15" hidden="false" customHeight="false" outlineLevel="0" collapsed="false">
      <c r="A43" s="55"/>
      <c r="B43" s="56"/>
      <c r="C43" s="24"/>
    </row>
    <row r="44" customFormat="false" ht="15" hidden="false" customHeight="false" outlineLevel="0" collapsed="false">
      <c r="A44" s="55"/>
      <c r="B44" s="56"/>
      <c r="C44" s="24"/>
    </row>
    <row r="45" customFormat="false" ht="15" hidden="false" customHeight="false" outlineLevel="0" collapsed="false">
      <c r="A45" s="55"/>
      <c r="B45" s="56"/>
      <c r="C45" s="24"/>
    </row>
    <row r="46" customFormat="false" ht="15" hidden="false" customHeight="false" outlineLevel="0" collapsed="false">
      <c r="A46" s="55"/>
      <c r="B46" s="56"/>
      <c r="C46" s="24"/>
    </row>
    <row r="47" customFormat="false" ht="15" hidden="false" customHeight="false" outlineLevel="0" collapsed="false">
      <c r="A47" s="55"/>
      <c r="B47" s="56"/>
      <c r="C47" s="24"/>
    </row>
    <row r="48" customFormat="false" ht="15" hidden="false" customHeight="false" outlineLevel="0" collapsed="false">
      <c r="A48" s="55"/>
      <c r="B48" s="56"/>
      <c r="C48" s="24"/>
    </row>
    <row r="49" customFormat="false" ht="15" hidden="false" customHeight="false" outlineLevel="0" collapsed="false">
      <c r="A49" s="55"/>
      <c r="B49" s="56"/>
      <c r="C49" s="24"/>
    </row>
    <row r="50" customFormat="false" ht="15" hidden="false" customHeight="false" outlineLevel="0" collapsed="false">
      <c r="A50" s="55"/>
      <c r="B50" s="56"/>
      <c r="C50" s="24"/>
    </row>
    <row r="51" customFormat="false" ht="15" hidden="false" customHeight="false" outlineLevel="0" collapsed="false">
      <c r="A51" s="55"/>
      <c r="B51" s="56"/>
      <c r="C51" s="24"/>
    </row>
    <row r="52" customFormat="false" ht="15" hidden="false" customHeight="false" outlineLevel="0" collapsed="false">
      <c r="A52" s="55"/>
      <c r="B52" s="56"/>
      <c r="C52" s="24"/>
    </row>
    <row r="53" customFormat="false" ht="15" hidden="false" customHeight="false" outlineLevel="0" collapsed="false">
      <c r="A53" s="55"/>
      <c r="B53" s="56"/>
      <c r="C53" s="24"/>
    </row>
    <row r="54" customFormat="false" ht="15" hidden="false" customHeight="false" outlineLevel="0" collapsed="false">
      <c r="A54" s="55"/>
      <c r="B54" s="56"/>
      <c r="C54" s="24"/>
    </row>
    <row r="55" customFormat="false" ht="15" hidden="false" customHeight="false" outlineLevel="0" collapsed="false">
      <c r="A55" s="55"/>
      <c r="B55" s="56"/>
      <c r="C55" s="24"/>
    </row>
    <row r="56" customFormat="false" ht="15" hidden="false" customHeight="false" outlineLevel="0" collapsed="false">
      <c r="A56" s="55"/>
      <c r="B56" s="56"/>
      <c r="C56" s="24"/>
    </row>
    <row r="57" customFormat="false" ht="15" hidden="false" customHeight="false" outlineLevel="0" collapsed="false">
      <c r="A57" s="55"/>
      <c r="B57" s="56"/>
      <c r="C57" s="24"/>
    </row>
    <row r="58" customFormat="false" ht="15" hidden="false" customHeight="false" outlineLevel="0" collapsed="false">
      <c r="A58" s="55"/>
      <c r="B58" s="56"/>
      <c r="C58" s="24"/>
    </row>
    <row r="59" customFormat="false" ht="15" hidden="false" customHeight="false" outlineLevel="0" collapsed="false">
      <c r="A59" s="55"/>
      <c r="B59" s="56"/>
      <c r="C59" s="24"/>
    </row>
    <row r="60" customFormat="false" ht="15" hidden="false" customHeight="false" outlineLevel="0" collapsed="false">
      <c r="A60" s="55"/>
      <c r="B60" s="56"/>
      <c r="C60" s="24"/>
    </row>
    <row r="61" customFormat="false" ht="15" hidden="false" customHeight="false" outlineLevel="0" collapsed="false">
      <c r="A61" s="55"/>
      <c r="B61" s="56"/>
      <c r="C61" s="24"/>
    </row>
    <row r="62" customFormat="false" ht="15" hidden="false" customHeight="false" outlineLevel="0" collapsed="false">
      <c r="A62" s="55"/>
      <c r="B62" s="56"/>
      <c r="C62" s="24"/>
    </row>
    <row r="63" customFormat="false" ht="15" hidden="false" customHeight="false" outlineLevel="0" collapsed="false">
      <c r="A63" s="55"/>
      <c r="B63" s="56"/>
      <c r="C63" s="24"/>
    </row>
    <row r="64" customFormat="false" ht="15" hidden="false" customHeight="false" outlineLevel="0" collapsed="false">
      <c r="A64" s="55"/>
      <c r="B64" s="56"/>
      <c r="C64" s="24"/>
    </row>
    <row r="65" customFormat="false" ht="15" hidden="false" customHeight="false" outlineLevel="0" collapsed="false">
      <c r="A65" s="55"/>
      <c r="B65" s="56"/>
      <c r="C65" s="24"/>
    </row>
    <row r="66" customFormat="false" ht="15" hidden="false" customHeight="false" outlineLevel="0" collapsed="false">
      <c r="A66" s="55"/>
      <c r="B66" s="56"/>
      <c r="C66" s="24"/>
    </row>
    <row r="67" customFormat="false" ht="15" hidden="false" customHeight="false" outlineLevel="0" collapsed="false">
      <c r="A67" s="55"/>
      <c r="B67" s="56"/>
      <c r="C67" s="24"/>
    </row>
    <row r="68" customFormat="false" ht="15" hidden="false" customHeight="false" outlineLevel="0" collapsed="false">
      <c r="A68" s="55"/>
      <c r="B68" s="56"/>
      <c r="C68" s="24"/>
    </row>
    <row r="69" customFormat="false" ht="15" hidden="false" customHeight="false" outlineLevel="0" collapsed="false">
      <c r="A69" s="55"/>
      <c r="B69" s="56"/>
      <c r="C69" s="24"/>
    </row>
    <row r="70" customFormat="false" ht="15" hidden="false" customHeight="false" outlineLevel="0" collapsed="false">
      <c r="A70" s="55"/>
      <c r="B70" s="56"/>
      <c r="C70" s="24"/>
    </row>
    <row r="71" customFormat="false" ht="15" hidden="false" customHeight="false" outlineLevel="0" collapsed="false">
      <c r="A71" s="55"/>
      <c r="B71" s="56"/>
      <c r="C71" s="24"/>
    </row>
    <row r="72" customFormat="false" ht="15" hidden="false" customHeight="false" outlineLevel="0" collapsed="false">
      <c r="A72" s="55"/>
      <c r="B72" s="56"/>
      <c r="C72" s="24"/>
    </row>
    <row r="73" customFormat="false" ht="15" hidden="false" customHeight="false" outlineLevel="0" collapsed="false">
      <c r="A73" s="55"/>
      <c r="B73" s="56"/>
      <c r="C73" s="24"/>
    </row>
    <row r="74" customFormat="false" ht="15" hidden="false" customHeight="false" outlineLevel="0" collapsed="false">
      <c r="A74" s="55"/>
      <c r="B74" s="56"/>
      <c r="C74" s="24"/>
    </row>
    <row r="75" customFormat="false" ht="15" hidden="false" customHeight="false" outlineLevel="0" collapsed="false">
      <c r="A75" s="55"/>
      <c r="B75" s="56"/>
      <c r="C75" s="24"/>
    </row>
    <row r="76" customFormat="false" ht="15" hidden="false" customHeight="false" outlineLevel="0" collapsed="false">
      <c r="A76" s="55"/>
      <c r="B76" s="56"/>
      <c r="C76" s="24"/>
    </row>
    <row r="77" customFormat="false" ht="15" hidden="false" customHeight="false" outlineLevel="0" collapsed="false">
      <c r="A77" s="55"/>
      <c r="B77" s="56"/>
      <c r="C77" s="24"/>
    </row>
    <row r="78" customFormat="false" ht="15" hidden="false" customHeight="false" outlineLevel="0" collapsed="false">
      <c r="A78" s="55"/>
      <c r="B78" s="56"/>
      <c r="C78" s="24"/>
    </row>
    <row r="79" customFormat="false" ht="15" hidden="false" customHeight="false" outlineLevel="0" collapsed="false">
      <c r="A79" s="55"/>
      <c r="B79" s="56"/>
      <c r="C79" s="24"/>
    </row>
    <row r="80" customFormat="false" ht="15" hidden="false" customHeight="false" outlineLevel="0" collapsed="false">
      <c r="A80" s="55"/>
      <c r="B80" s="56"/>
      <c r="C80" s="24"/>
    </row>
    <row r="81" customFormat="false" ht="15" hidden="false" customHeight="false" outlineLevel="0" collapsed="false">
      <c r="A81" s="55"/>
      <c r="B81" s="56"/>
      <c r="C81" s="24"/>
    </row>
    <row r="82" customFormat="false" ht="15" hidden="false" customHeight="false" outlineLevel="0" collapsed="false">
      <c r="A82" s="55"/>
      <c r="B82" s="56"/>
      <c r="C82" s="24"/>
    </row>
    <row r="83" customFormat="false" ht="15" hidden="false" customHeight="false" outlineLevel="0" collapsed="false">
      <c r="A83" s="55"/>
      <c r="B83" s="56"/>
      <c r="C83" s="24"/>
    </row>
    <row r="84" customFormat="false" ht="15" hidden="false" customHeight="false" outlineLevel="0" collapsed="false">
      <c r="A84" s="55"/>
      <c r="B84" s="56"/>
      <c r="C84" s="24"/>
    </row>
    <row r="85" customFormat="false" ht="15" hidden="false" customHeight="false" outlineLevel="0" collapsed="false">
      <c r="A85" s="55"/>
      <c r="B85" s="56"/>
      <c r="C85" s="24"/>
    </row>
    <row r="86" customFormat="false" ht="15" hidden="false" customHeight="false" outlineLevel="0" collapsed="false">
      <c r="A86" s="55"/>
      <c r="B86" s="56"/>
      <c r="C86" s="24"/>
    </row>
    <row r="87" customFormat="false" ht="15" hidden="false" customHeight="false" outlineLevel="0" collapsed="false">
      <c r="A87" s="55"/>
      <c r="B87" s="56"/>
      <c r="C87" s="24"/>
    </row>
    <row r="88" customFormat="false" ht="15" hidden="false" customHeight="false" outlineLevel="0" collapsed="false">
      <c r="A88" s="55"/>
      <c r="B88" s="56"/>
      <c r="C88" s="24"/>
    </row>
    <row r="89" customFormat="false" ht="15" hidden="false" customHeight="false" outlineLevel="0" collapsed="false">
      <c r="A89" s="55"/>
      <c r="B89" s="56"/>
      <c r="C89" s="24"/>
    </row>
    <row r="90" customFormat="false" ht="15" hidden="false" customHeight="false" outlineLevel="0" collapsed="false">
      <c r="A90" s="55"/>
      <c r="B90" s="56"/>
      <c r="C90" s="24"/>
    </row>
    <row r="91" customFormat="false" ht="15" hidden="false" customHeight="false" outlineLevel="0" collapsed="false">
      <c r="A91" s="55"/>
      <c r="B91" s="56"/>
      <c r="C91" s="24"/>
    </row>
    <row r="92" customFormat="false" ht="15" hidden="false" customHeight="false" outlineLevel="0" collapsed="false">
      <c r="A92" s="55"/>
      <c r="B92" s="56"/>
      <c r="C92" s="24"/>
    </row>
    <row r="93" customFormat="false" ht="15" hidden="false" customHeight="false" outlineLevel="0" collapsed="false">
      <c r="A93" s="55"/>
      <c r="B93" s="56"/>
      <c r="C93" s="24"/>
    </row>
    <row r="94" customFormat="false" ht="15" hidden="false" customHeight="false" outlineLevel="0" collapsed="false">
      <c r="A94" s="55"/>
      <c r="B94" s="56"/>
      <c r="C94" s="24"/>
    </row>
    <row r="95" customFormat="false" ht="15" hidden="false" customHeight="false" outlineLevel="0" collapsed="false">
      <c r="A95" s="55"/>
      <c r="B95" s="56"/>
      <c r="C95" s="24"/>
    </row>
    <row r="96" customFormat="false" ht="15" hidden="false" customHeight="false" outlineLevel="0" collapsed="false">
      <c r="A96" s="55"/>
      <c r="B96" s="56"/>
      <c r="C96" s="24"/>
    </row>
    <row r="97" customFormat="false" ht="15" hidden="false" customHeight="false" outlineLevel="0" collapsed="false">
      <c r="A97" s="55"/>
      <c r="B97" s="56"/>
      <c r="C97" s="24"/>
    </row>
    <row r="98" customFormat="false" ht="15" hidden="false" customHeight="false" outlineLevel="0" collapsed="false">
      <c r="A98" s="55"/>
      <c r="B98" s="56"/>
      <c r="C98" s="24"/>
    </row>
    <row r="99" customFormat="false" ht="15" hidden="false" customHeight="false" outlineLevel="0" collapsed="false">
      <c r="A99" s="55"/>
      <c r="B99" s="56"/>
      <c r="C99" s="24"/>
    </row>
    <row r="100" customFormat="false" ht="15" hidden="false" customHeight="false" outlineLevel="0" collapsed="false">
      <c r="A100" s="55"/>
      <c r="B100" s="56"/>
      <c r="C100" s="24"/>
    </row>
    <row r="101" customFormat="false" ht="15" hidden="false" customHeight="false" outlineLevel="0" collapsed="false">
      <c r="A101" s="55"/>
      <c r="B101" s="56"/>
      <c r="C101" s="24"/>
    </row>
    <row r="102" customFormat="false" ht="15" hidden="false" customHeight="false" outlineLevel="0" collapsed="false">
      <c r="A102" s="55"/>
      <c r="B102" s="56"/>
      <c r="C102" s="24"/>
    </row>
    <row r="103" customFormat="false" ht="15" hidden="false" customHeight="false" outlineLevel="0" collapsed="false">
      <c r="A103" s="55"/>
      <c r="B103" s="56"/>
      <c r="C103" s="24"/>
    </row>
    <row r="104" customFormat="false" ht="15" hidden="false" customHeight="false" outlineLevel="0" collapsed="false">
      <c r="A104" s="55"/>
      <c r="B104" s="56"/>
      <c r="C104" s="24"/>
    </row>
    <row r="105" customFormat="false" ht="15" hidden="false" customHeight="false" outlineLevel="0" collapsed="false">
      <c r="A105" s="55"/>
      <c r="B105" s="56"/>
      <c r="C105" s="24"/>
    </row>
    <row r="106" customFormat="false" ht="15" hidden="false" customHeight="false" outlineLevel="0" collapsed="false">
      <c r="A106" s="55"/>
      <c r="B106" s="56"/>
      <c r="C106" s="24"/>
    </row>
    <row r="107" customFormat="false" ht="15" hidden="false" customHeight="false" outlineLevel="0" collapsed="false">
      <c r="A107" s="55"/>
      <c r="B107" s="56"/>
      <c r="C107" s="24"/>
    </row>
    <row r="108" customFormat="false" ht="15" hidden="false" customHeight="false" outlineLevel="0" collapsed="false">
      <c r="A108" s="55"/>
      <c r="B108" s="56"/>
      <c r="C108" s="24"/>
    </row>
    <row r="109" customFormat="false" ht="15" hidden="false" customHeight="false" outlineLevel="0" collapsed="false">
      <c r="A109" s="55"/>
      <c r="B109" s="56"/>
      <c r="C109" s="24"/>
    </row>
    <row r="110" customFormat="false" ht="15" hidden="false" customHeight="false" outlineLevel="0" collapsed="false">
      <c r="A110" s="55"/>
      <c r="B110" s="56"/>
      <c r="C110" s="24"/>
    </row>
    <row r="111" customFormat="false" ht="15" hidden="false" customHeight="false" outlineLevel="0" collapsed="false">
      <c r="A111" s="55"/>
      <c r="B111" s="56"/>
      <c r="C111" s="24"/>
    </row>
    <row r="112" customFormat="false" ht="15" hidden="false" customHeight="false" outlineLevel="0" collapsed="false">
      <c r="A112" s="55"/>
      <c r="B112" s="56"/>
      <c r="C112" s="24"/>
    </row>
    <row r="113" customFormat="false" ht="15" hidden="false" customHeight="false" outlineLevel="0" collapsed="false">
      <c r="A113" s="55"/>
      <c r="B113" s="56"/>
      <c r="C113" s="24"/>
    </row>
    <row r="114" customFormat="false" ht="15" hidden="false" customHeight="false" outlineLevel="0" collapsed="false">
      <c r="A114" s="55"/>
      <c r="B114" s="56"/>
      <c r="C114" s="24"/>
    </row>
    <row r="115" customFormat="false" ht="15" hidden="false" customHeight="false" outlineLevel="0" collapsed="false">
      <c r="A115" s="55"/>
      <c r="B115" s="56"/>
      <c r="C115" s="24"/>
    </row>
    <row r="116" customFormat="false" ht="15" hidden="false" customHeight="false" outlineLevel="0" collapsed="false">
      <c r="A116" s="55"/>
      <c r="B116" s="56"/>
      <c r="C116" s="24"/>
    </row>
    <row r="117" customFormat="false" ht="15" hidden="false" customHeight="false" outlineLevel="0" collapsed="false">
      <c r="A117" s="55"/>
      <c r="B117" s="56"/>
      <c r="C117" s="24"/>
    </row>
    <row r="118" customFormat="false" ht="15" hidden="false" customHeight="false" outlineLevel="0" collapsed="false">
      <c r="A118" s="55"/>
      <c r="B118" s="56"/>
      <c r="C118" s="24"/>
    </row>
    <row r="119" customFormat="false" ht="15" hidden="false" customHeight="false" outlineLevel="0" collapsed="false">
      <c r="A119" s="55"/>
      <c r="B119" s="56"/>
      <c r="C119" s="24"/>
    </row>
    <row r="120" customFormat="false" ht="15" hidden="false" customHeight="false" outlineLevel="0" collapsed="false">
      <c r="A120" s="55"/>
      <c r="B120" s="56"/>
      <c r="C120" s="24"/>
    </row>
    <row r="121" customFormat="false" ht="15" hidden="false" customHeight="false" outlineLevel="0" collapsed="false">
      <c r="A121" s="55"/>
      <c r="B121" s="56"/>
      <c r="C121" s="24"/>
    </row>
    <row r="122" customFormat="false" ht="15" hidden="false" customHeight="false" outlineLevel="0" collapsed="false">
      <c r="A122" s="55"/>
      <c r="B122" s="56"/>
      <c r="C122" s="24"/>
    </row>
    <row r="123" customFormat="false" ht="15" hidden="false" customHeight="false" outlineLevel="0" collapsed="false">
      <c r="A123" s="55"/>
      <c r="B123" s="56"/>
      <c r="C123" s="24"/>
    </row>
    <row r="124" customFormat="false" ht="15" hidden="false" customHeight="false" outlineLevel="0" collapsed="false">
      <c r="A124" s="55"/>
      <c r="B124" s="56"/>
      <c r="C124" s="24"/>
    </row>
    <row r="125" customFormat="false" ht="15" hidden="false" customHeight="false" outlineLevel="0" collapsed="false">
      <c r="A125" s="55"/>
      <c r="B125" s="56"/>
      <c r="C125" s="24"/>
    </row>
    <row r="126" customFormat="false" ht="15" hidden="false" customHeight="false" outlineLevel="0" collapsed="false">
      <c r="A126" s="55"/>
      <c r="B126" s="56"/>
      <c r="C126" s="24"/>
    </row>
    <row r="127" customFormat="false" ht="15" hidden="false" customHeight="false" outlineLevel="0" collapsed="false">
      <c r="A127" s="55"/>
      <c r="B127" s="56"/>
      <c r="C127" s="24"/>
    </row>
    <row r="128" customFormat="false" ht="15" hidden="false" customHeight="false" outlineLevel="0" collapsed="false">
      <c r="A128" s="55"/>
      <c r="B128" s="56"/>
      <c r="C128" s="24"/>
    </row>
    <row r="129" customFormat="false" ht="15" hidden="false" customHeight="false" outlineLevel="0" collapsed="false">
      <c r="A129" s="55"/>
      <c r="B129" s="56"/>
      <c r="C129" s="24"/>
    </row>
    <row r="130" customFormat="false" ht="15" hidden="false" customHeight="false" outlineLevel="0" collapsed="false">
      <c r="A130" s="55"/>
      <c r="B130" s="56"/>
      <c r="C130" s="24"/>
    </row>
    <row r="131" customFormat="false" ht="15" hidden="false" customHeight="false" outlineLevel="0" collapsed="false">
      <c r="A131" s="55"/>
      <c r="B131" s="56"/>
      <c r="C131" s="24"/>
    </row>
    <row r="132" customFormat="false" ht="15" hidden="false" customHeight="false" outlineLevel="0" collapsed="false">
      <c r="A132" s="55"/>
      <c r="B132" s="56"/>
      <c r="C132" s="24"/>
    </row>
    <row r="133" customFormat="false" ht="15" hidden="false" customHeight="false" outlineLevel="0" collapsed="false">
      <c r="A133" s="55"/>
      <c r="B133" s="56"/>
      <c r="C133" s="24"/>
    </row>
    <row r="134" customFormat="false" ht="15" hidden="false" customHeight="false" outlineLevel="0" collapsed="false">
      <c r="A134" s="55"/>
      <c r="B134" s="56"/>
      <c r="C134" s="24"/>
    </row>
    <row r="135" customFormat="false" ht="15" hidden="false" customHeight="false" outlineLevel="0" collapsed="false">
      <c r="A135" s="55"/>
      <c r="B135" s="56"/>
      <c r="C135" s="24"/>
    </row>
    <row r="136" customFormat="false" ht="15" hidden="false" customHeight="false" outlineLevel="0" collapsed="false">
      <c r="A136" s="55"/>
      <c r="B136" s="56"/>
      <c r="C136" s="24"/>
    </row>
    <row r="137" customFormat="false" ht="15" hidden="false" customHeight="false" outlineLevel="0" collapsed="false">
      <c r="A137" s="55"/>
      <c r="B137" s="56"/>
      <c r="C137" s="24"/>
    </row>
    <row r="138" customFormat="false" ht="15" hidden="false" customHeight="false" outlineLevel="0" collapsed="false">
      <c r="A138" s="55"/>
      <c r="B138" s="56"/>
      <c r="C138" s="24"/>
    </row>
    <row r="139" customFormat="false" ht="15" hidden="false" customHeight="false" outlineLevel="0" collapsed="false">
      <c r="A139" s="55"/>
      <c r="B139" s="56"/>
      <c r="C139" s="24"/>
    </row>
    <row r="140" customFormat="false" ht="15" hidden="false" customHeight="false" outlineLevel="0" collapsed="false">
      <c r="A140" s="55"/>
      <c r="B140" s="56"/>
      <c r="C140" s="24"/>
    </row>
    <row r="141" customFormat="false" ht="15" hidden="false" customHeight="false" outlineLevel="0" collapsed="false">
      <c r="A141" s="55"/>
      <c r="B141" s="56"/>
      <c r="C141" s="24"/>
    </row>
    <row r="142" customFormat="false" ht="15" hidden="false" customHeight="false" outlineLevel="0" collapsed="false">
      <c r="A142" s="55"/>
      <c r="B142" s="56"/>
      <c r="C142" s="24"/>
    </row>
    <row r="143" customFormat="false" ht="15" hidden="false" customHeight="false" outlineLevel="0" collapsed="false">
      <c r="A143" s="55"/>
      <c r="B143" s="56"/>
      <c r="C143" s="24"/>
    </row>
    <row r="144" customFormat="false" ht="15" hidden="false" customHeight="false" outlineLevel="0" collapsed="false">
      <c r="A144" s="55"/>
      <c r="B144" s="56"/>
      <c r="C144" s="24"/>
    </row>
    <row r="145" customFormat="false" ht="15" hidden="false" customHeight="false" outlineLevel="0" collapsed="false">
      <c r="A145" s="55"/>
      <c r="B145" s="56"/>
      <c r="C145" s="24"/>
    </row>
    <row r="146" customFormat="false" ht="15" hidden="false" customHeight="false" outlineLevel="0" collapsed="false">
      <c r="A146" s="55"/>
      <c r="B146" s="56"/>
      <c r="C146" s="24"/>
    </row>
    <row r="147" customFormat="false" ht="15" hidden="false" customHeight="false" outlineLevel="0" collapsed="false">
      <c r="A147" s="55"/>
      <c r="B147" s="56"/>
      <c r="C147" s="24"/>
    </row>
    <row r="148" customFormat="false" ht="15" hidden="false" customHeight="false" outlineLevel="0" collapsed="false">
      <c r="A148" s="55"/>
      <c r="B148" s="56"/>
      <c r="C148" s="24"/>
    </row>
    <row r="149" customFormat="false" ht="15" hidden="false" customHeight="false" outlineLevel="0" collapsed="false">
      <c r="A149" s="55"/>
      <c r="B149" s="56"/>
      <c r="C149" s="24"/>
    </row>
    <row r="150" customFormat="false" ht="15" hidden="false" customHeight="false" outlineLevel="0" collapsed="false">
      <c r="A150" s="55"/>
      <c r="B150" s="56"/>
      <c r="C150" s="24"/>
    </row>
    <row r="151" customFormat="false" ht="15" hidden="false" customHeight="false" outlineLevel="0" collapsed="false">
      <c r="A151" s="55"/>
      <c r="B151" s="56"/>
      <c r="C151" s="24"/>
    </row>
    <row r="152" customFormat="false" ht="15" hidden="false" customHeight="false" outlineLevel="0" collapsed="false">
      <c r="A152" s="55"/>
      <c r="B152" s="56"/>
      <c r="C152" s="24"/>
    </row>
    <row r="153" customFormat="false" ht="15" hidden="false" customHeight="false" outlineLevel="0" collapsed="false">
      <c r="A153" s="55"/>
      <c r="B153" s="56"/>
      <c r="C153" s="24"/>
    </row>
    <row r="154" customFormat="false" ht="15" hidden="false" customHeight="false" outlineLevel="0" collapsed="false">
      <c r="A154" s="55"/>
      <c r="B154" s="56"/>
      <c r="C154" s="24"/>
    </row>
    <row r="155" customFormat="false" ht="15" hidden="false" customHeight="false" outlineLevel="0" collapsed="false">
      <c r="A155" s="55"/>
      <c r="B155" s="56"/>
      <c r="C155" s="24"/>
    </row>
    <row r="156" customFormat="false" ht="15" hidden="false" customHeight="false" outlineLevel="0" collapsed="false">
      <c r="A156" s="55"/>
      <c r="B156" s="56"/>
      <c r="C156" s="24"/>
    </row>
    <row r="157" customFormat="false" ht="15" hidden="false" customHeight="false" outlineLevel="0" collapsed="false">
      <c r="A157" s="55"/>
      <c r="B157" s="56"/>
      <c r="C157" s="24"/>
    </row>
    <row r="158" customFormat="false" ht="15" hidden="false" customHeight="false" outlineLevel="0" collapsed="false">
      <c r="A158" s="55"/>
      <c r="B158" s="56"/>
      <c r="C158" s="24"/>
    </row>
    <row r="159" customFormat="false" ht="15" hidden="false" customHeight="false" outlineLevel="0" collapsed="false">
      <c r="A159" s="55"/>
      <c r="B159" s="56"/>
      <c r="C159" s="24"/>
    </row>
    <row r="160" customFormat="false" ht="15" hidden="false" customHeight="false" outlineLevel="0" collapsed="false">
      <c r="A160" s="55"/>
      <c r="B160" s="56"/>
      <c r="C160" s="24"/>
    </row>
    <row r="161" customFormat="false" ht="15" hidden="false" customHeight="false" outlineLevel="0" collapsed="false">
      <c r="A161" s="55"/>
      <c r="B161" s="56"/>
      <c r="C161" s="24"/>
    </row>
    <row r="162" customFormat="false" ht="15" hidden="false" customHeight="false" outlineLevel="0" collapsed="false">
      <c r="A162" s="55"/>
      <c r="B162" s="56"/>
      <c r="C162" s="24"/>
    </row>
    <row r="163" customFormat="false" ht="15" hidden="false" customHeight="false" outlineLevel="0" collapsed="false">
      <c r="A163" s="55"/>
      <c r="B163" s="56"/>
      <c r="C163" s="24"/>
    </row>
    <row r="164" customFormat="false" ht="15" hidden="false" customHeight="false" outlineLevel="0" collapsed="false">
      <c r="A164" s="55"/>
      <c r="B164" s="56"/>
      <c r="C164" s="24"/>
    </row>
    <row r="165" customFormat="false" ht="15" hidden="false" customHeight="false" outlineLevel="0" collapsed="false">
      <c r="A165" s="55"/>
      <c r="B165" s="56"/>
      <c r="C165" s="24"/>
    </row>
    <row r="166" customFormat="false" ht="15" hidden="false" customHeight="false" outlineLevel="0" collapsed="false">
      <c r="A166" s="55"/>
      <c r="B166" s="56"/>
      <c r="C166" s="24"/>
    </row>
    <row r="167" customFormat="false" ht="15" hidden="false" customHeight="false" outlineLevel="0" collapsed="false">
      <c r="A167" s="55"/>
      <c r="B167" s="56"/>
      <c r="C167" s="24"/>
    </row>
    <row r="168" customFormat="false" ht="15" hidden="false" customHeight="false" outlineLevel="0" collapsed="false">
      <c r="A168" s="55"/>
      <c r="B168" s="56"/>
      <c r="C168" s="24"/>
    </row>
    <row r="169" customFormat="false" ht="15" hidden="false" customHeight="false" outlineLevel="0" collapsed="false">
      <c r="A169" s="55"/>
      <c r="B169" s="56"/>
      <c r="C169" s="24"/>
    </row>
    <row r="170" customFormat="false" ht="15" hidden="false" customHeight="false" outlineLevel="0" collapsed="false">
      <c r="A170" s="55"/>
      <c r="B170" s="56"/>
      <c r="C170" s="24"/>
    </row>
    <row r="171" customFormat="false" ht="15" hidden="false" customHeight="false" outlineLevel="0" collapsed="false">
      <c r="A171" s="55"/>
      <c r="B171" s="56"/>
      <c r="C171" s="24"/>
    </row>
    <row r="172" customFormat="false" ht="15" hidden="false" customHeight="false" outlineLevel="0" collapsed="false">
      <c r="A172" s="55"/>
      <c r="B172" s="56"/>
      <c r="C172" s="24"/>
    </row>
    <row r="173" customFormat="false" ht="15" hidden="false" customHeight="false" outlineLevel="0" collapsed="false">
      <c r="A173" s="55"/>
      <c r="B173" s="56"/>
      <c r="C173" s="24"/>
    </row>
    <row r="174" customFormat="false" ht="15" hidden="false" customHeight="false" outlineLevel="0" collapsed="false">
      <c r="A174" s="55"/>
      <c r="B174" s="56"/>
      <c r="C174" s="24"/>
    </row>
    <row r="175" customFormat="false" ht="15" hidden="false" customHeight="false" outlineLevel="0" collapsed="false">
      <c r="A175" s="55"/>
      <c r="B175" s="56"/>
      <c r="C175" s="24"/>
    </row>
    <row r="176" customFormat="false" ht="15" hidden="false" customHeight="false" outlineLevel="0" collapsed="false">
      <c r="A176" s="55"/>
      <c r="B176" s="56"/>
      <c r="C176" s="24"/>
    </row>
    <row r="177" customFormat="false" ht="15" hidden="false" customHeight="false" outlineLevel="0" collapsed="false">
      <c r="A177" s="55"/>
      <c r="B177" s="56"/>
      <c r="C177" s="24"/>
    </row>
    <row r="178" customFormat="false" ht="15" hidden="false" customHeight="false" outlineLevel="0" collapsed="false">
      <c r="A178" s="55"/>
      <c r="B178" s="56"/>
      <c r="C178" s="24"/>
    </row>
    <row r="179" customFormat="false" ht="15" hidden="false" customHeight="false" outlineLevel="0" collapsed="false">
      <c r="A179" s="55"/>
      <c r="B179" s="56"/>
      <c r="C179" s="24"/>
    </row>
    <row r="180" customFormat="false" ht="15" hidden="false" customHeight="false" outlineLevel="0" collapsed="false">
      <c r="A180" s="55"/>
      <c r="B180" s="56"/>
      <c r="C180" s="24"/>
    </row>
    <row r="181" customFormat="false" ht="15" hidden="false" customHeight="false" outlineLevel="0" collapsed="false">
      <c r="A181" s="55"/>
      <c r="B181" s="56"/>
      <c r="C181" s="24"/>
    </row>
    <row r="182" customFormat="false" ht="15" hidden="false" customHeight="false" outlineLevel="0" collapsed="false">
      <c r="A182" s="55"/>
      <c r="B182" s="56"/>
      <c r="C182" s="24"/>
    </row>
    <row r="183" customFormat="false" ht="15" hidden="false" customHeight="false" outlineLevel="0" collapsed="false">
      <c r="A183" s="55"/>
      <c r="B183" s="56"/>
      <c r="C183" s="24"/>
    </row>
    <row r="184" customFormat="false" ht="15" hidden="false" customHeight="false" outlineLevel="0" collapsed="false">
      <c r="A184" s="55"/>
      <c r="B184" s="56"/>
      <c r="C184" s="24"/>
    </row>
    <row r="185" customFormat="false" ht="15" hidden="false" customHeight="false" outlineLevel="0" collapsed="false">
      <c r="A185" s="55"/>
      <c r="B185" s="56"/>
      <c r="C185" s="24"/>
    </row>
    <row r="186" customFormat="false" ht="15" hidden="false" customHeight="false" outlineLevel="0" collapsed="false">
      <c r="A186" s="55"/>
      <c r="B186" s="56"/>
      <c r="C186" s="24"/>
    </row>
    <row r="187" customFormat="false" ht="15" hidden="false" customHeight="false" outlineLevel="0" collapsed="false">
      <c r="A187" s="55"/>
      <c r="B187" s="56"/>
      <c r="C187" s="24"/>
    </row>
    <row r="188" customFormat="false" ht="15" hidden="false" customHeight="false" outlineLevel="0" collapsed="false">
      <c r="A188" s="55"/>
      <c r="B188" s="56"/>
      <c r="C188" s="24"/>
    </row>
    <row r="189" customFormat="false" ht="15" hidden="false" customHeight="false" outlineLevel="0" collapsed="false">
      <c r="A189" s="55"/>
      <c r="B189" s="56"/>
      <c r="C189" s="24"/>
    </row>
    <row r="190" customFormat="false" ht="15" hidden="false" customHeight="false" outlineLevel="0" collapsed="false">
      <c r="A190" s="55"/>
      <c r="B190" s="56"/>
      <c r="C190" s="24"/>
    </row>
    <row r="191" customFormat="false" ht="15" hidden="false" customHeight="false" outlineLevel="0" collapsed="false">
      <c r="A191" s="55"/>
      <c r="B191" s="56"/>
      <c r="C191" s="24"/>
    </row>
    <row r="192" customFormat="false" ht="15" hidden="false" customHeight="false" outlineLevel="0" collapsed="false">
      <c r="A192" s="55"/>
      <c r="B192" s="56"/>
      <c r="C192" s="24"/>
    </row>
    <row r="193" customFormat="false" ht="15" hidden="false" customHeight="false" outlineLevel="0" collapsed="false">
      <c r="A193" s="55"/>
      <c r="B193" s="56"/>
      <c r="C193" s="24"/>
    </row>
    <row r="194" customFormat="false" ht="15" hidden="false" customHeight="false" outlineLevel="0" collapsed="false">
      <c r="A194" s="55"/>
      <c r="B194" s="56"/>
      <c r="C194" s="24"/>
    </row>
    <row r="195" customFormat="false" ht="15" hidden="false" customHeight="false" outlineLevel="0" collapsed="false">
      <c r="A195" s="55"/>
      <c r="B195" s="56"/>
      <c r="C195" s="24"/>
    </row>
    <row r="196" customFormat="false" ht="15" hidden="false" customHeight="false" outlineLevel="0" collapsed="false">
      <c r="A196" s="55"/>
      <c r="B196" s="56"/>
      <c r="C196" s="24"/>
    </row>
    <row r="197" customFormat="false" ht="15" hidden="false" customHeight="false" outlineLevel="0" collapsed="false">
      <c r="A197" s="55"/>
      <c r="B197" s="56"/>
      <c r="C197" s="24"/>
    </row>
    <row r="198" customFormat="false" ht="15" hidden="false" customHeight="false" outlineLevel="0" collapsed="false">
      <c r="A198" s="55"/>
      <c r="B198" s="56"/>
      <c r="C198" s="24"/>
    </row>
    <row r="199" customFormat="false" ht="15" hidden="false" customHeight="false" outlineLevel="0" collapsed="false">
      <c r="A199" s="55"/>
      <c r="B199" s="56"/>
      <c r="C199" s="24"/>
    </row>
    <row r="200" customFormat="false" ht="15" hidden="false" customHeight="false" outlineLevel="0" collapsed="false">
      <c r="A200" s="55"/>
      <c r="B200" s="56"/>
      <c r="C200" s="24"/>
    </row>
    <row r="201" customFormat="false" ht="15" hidden="false" customHeight="false" outlineLevel="0" collapsed="false">
      <c r="A201" s="55"/>
      <c r="B201" s="56"/>
      <c r="C201" s="24"/>
    </row>
    <row r="202" customFormat="false" ht="15" hidden="false" customHeight="false" outlineLevel="0" collapsed="false">
      <c r="A202" s="55"/>
      <c r="B202" s="56"/>
      <c r="C202" s="24"/>
    </row>
    <row r="203" customFormat="false" ht="15" hidden="false" customHeight="false" outlineLevel="0" collapsed="false">
      <c r="A203" s="55"/>
      <c r="B203" s="56"/>
      <c r="C203" s="24"/>
    </row>
    <row r="204" customFormat="false" ht="15" hidden="false" customHeight="false" outlineLevel="0" collapsed="false">
      <c r="A204" s="55"/>
      <c r="B204" s="56"/>
      <c r="C204" s="24"/>
    </row>
    <row r="205" customFormat="false" ht="15" hidden="false" customHeight="false" outlineLevel="0" collapsed="false">
      <c r="A205" s="55"/>
      <c r="B205" s="56"/>
      <c r="C205" s="24"/>
    </row>
    <row r="206" customFormat="false" ht="15" hidden="false" customHeight="false" outlineLevel="0" collapsed="false">
      <c r="A206" s="55"/>
      <c r="B206" s="56"/>
      <c r="C206" s="24"/>
    </row>
    <row r="207" customFormat="false" ht="15" hidden="false" customHeight="false" outlineLevel="0" collapsed="false">
      <c r="A207" s="55"/>
      <c r="B207" s="56"/>
      <c r="C207" s="24"/>
    </row>
    <row r="208" customFormat="false" ht="15" hidden="false" customHeight="false" outlineLevel="0" collapsed="false">
      <c r="A208" s="55"/>
      <c r="B208" s="56"/>
      <c r="C208" s="24"/>
    </row>
    <row r="209" customFormat="false" ht="15" hidden="false" customHeight="false" outlineLevel="0" collapsed="false">
      <c r="A209" s="55"/>
      <c r="B209" s="56"/>
      <c r="C209" s="24"/>
    </row>
    <row r="210" customFormat="false" ht="15" hidden="false" customHeight="false" outlineLevel="0" collapsed="false">
      <c r="A210" s="55"/>
      <c r="B210" s="56"/>
      <c r="C210" s="24"/>
    </row>
    <row r="211" customFormat="false" ht="15" hidden="false" customHeight="false" outlineLevel="0" collapsed="false">
      <c r="A211" s="55"/>
      <c r="B211" s="56"/>
      <c r="C211" s="24"/>
    </row>
    <row r="212" customFormat="false" ht="15" hidden="false" customHeight="false" outlineLevel="0" collapsed="false">
      <c r="A212" s="55"/>
      <c r="B212" s="56"/>
      <c r="C212" s="24"/>
    </row>
    <row r="213" customFormat="false" ht="15" hidden="false" customHeight="false" outlineLevel="0" collapsed="false">
      <c r="A213" s="55"/>
      <c r="B213" s="56"/>
      <c r="C213" s="24"/>
    </row>
    <row r="214" customFormat="false" ht="15" hidden="false" customHeight="false" outlineLevel="0" collapsed="false">
      <c r="A214" s="55"/>
      <c r="B214" s="56"/>
      <c r="C214" s="24"/>
    </row>
    <row r="215" customFormat="false" ht="15" hidden="false" customHeight="false" outlineLevel="0" collapsed="false">
      <c r="A215" s="55"/>
      <c r="B215" s="56"/>
      <c r="C215" s="24"/>
    </row>
    <row r="216" customFormat="false" ht="15" hidden="false" customHeight="false" outlineLevel="0" collapsed="false">
      <c r="A216" s="55"/>
      <c r="B216" s="56"/>
      <c r="C216" s="24"/>
    </row>
    <row r="217" customFormat="false" ht="15" hidden="false" customHeight="false" outlineLevel="0" collapsed="false">
      <c r="A217" s="55"/>
      <c r="B217" s="56"/>
      <c r="C217" s="24"/>
    </row>
    <row r="218" customFormat="false" ht="15" hidden="false" customHeight="false" outlineLevel="0" collapsed="false">
      <c r="A218" s="55"/>
      <c r="B218" s="56"/>
      <c r="C218" s="24"/>
    </row>
  </sheetData>
  <mergeCells count="3">
    <mergeCell ref="A1:G1"/>
    <mergeCell ref="A2:G2"/>
    <mergeCell ref="A3:G3"/>
  </mergeCells>
  <dataValidations count="1">
    <dataValidation allowBlank="true" errorStyle="stop" operator="between" showDropDown="false" showErrorMessage="false" showInputMessage="false" sqref="B5:B218" type="list">
      <formula1>"Warm outreach,Free content,Cold outreach,Paid ads"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25.5" hidden="false" customHeight="true" outlineLevel="0" collapsed="false">
      <c r="A1" s="1" t="s">
        <v>93</v>
      </c>
      <c r="B1" s="1"/>
    </row>
    <row r="2" customFormat="false" ht="30" hidden="false" customHeight="true" outlineLevel="0" collapsed="false">
      <c r="A2" s="2" t="s">
        <v>723</v>
      </c>
      <c r="B2" s="2"/>
    </row>
    <row r="3" customFormat="false" ht="30" hidden="false" customHeight="true" outlineLevel="0" collapsed="false">
      <c r="A3" s="4" t="s">
        <v>724</v>
      </c>
      <c r="B3" s="4" t="s">
        <v>725</v>
      </c>
    </row>
    <row r="4" customFormat="false" ht="15" hidden="false" customHeight="false" outlineLevel="0" collapsed="false">
      <c r="A4" s="11" t="s">
        <v>726</v>
      </c>
      <c r="B4" s="6" t="s">
        <v>727</v>
      </c>
    </row>
    <row r="5" customFormat="false" ht="15" hidden="false" customHeight="false" outlineLevel="0" collapsed="false">
      <c r="A5" s="11" t="s">
        <v>728</v>
      </c>
      <c r="B5" s="6" t="s">
        <v>729</v>
      </c>
    </row>
    <row r="6" customFormat="false" ht="15" hidden="false" customHeight="false" outlineLevel="0" collapsed="false">
      <c r="A6" s="11" t="s">
        <v>730</v>
      </c>
      <c r="B6" s="6" t="s">
        <v>731</v>
      </c>
    </row>
    <row r="7" customFormat="false" ht="23.85" hidden="false" customHeight="false" outlineLevel="0" collapsed="false">
      <c r="A7" s="11" t="s">
        <v>732</v>
      </c>
      <c r="B7" s="6" t="s">
        <v>733</v>
      </c>
    </row>
    <row r="8" customFormat="false" ht="15" hidden="false" customHeight="false" outlineLevel="0" collapsed="false">
      <c r="A8" s="11" t="s">
        <v>734</v>
      </c>
      <c r="B8" s="6" t="s">
        <v>735</v>
      </c>
    </row>
    <row r="9" customFormat="false" ht="15" hidden="false" customHeight="false" outlineLevel="0" collapsed="false">
      <c r="A9" s="11" t="s">
        <v>736</v>
      </c>
      <c r="B9" s="6" t="s">
        <v>737</v>
      </c>
    </row>
    <row r="10" customFormat="false" ht="15" hidden="false" customHeight="false" outlineLevel="0" collapsed="false">
      <c r="A10" s="11" t="s">
        <v>738</v>
      </c>
      <c r="B10" s="6" t="s">
        <v>739</v>
      </c>
    </row>
    <row r="11" customFormat="false" ht="15" hidden="false" customHeight="false" outlineLevel="0" collapsed="false">
      <c r="A11" s="11" t="s">
        <v>284</v>
      </c>
      <c r="B11" s="6" t="s">
        <v>740</v>
      </c>
    </row>
    <row r="12" customFormat="false" ht="15" hidden="false" customHeight="false" outlineLevel="0" collapsed="false">
      <c r="A12" s="11" t="s">
        <v>741</v>
      </c>
      <c r="B12" s="6" t="s">
        <v>742</v>
      </c>
    </row>
    <row r="13" customFormat="false" ht="15" hidden="false" customHeight="false" outlineLevel="0" collapsed="false">
      <c r="A13" s="11" t="s">
        <v>743</v>
      </c>
      <c r="B13" s="6" t="s">
        <v>744</v>
      </c>
    </row>
    <row r="14" customFormat="false" ht="15" hidden="false" customHeight="false" outlineLevel="0" collapsed="false">
      <c r="A14" s="11" t="s">
        <v>364</v>
      </c>
      <c r="B14" s="6" t="s">
        <v>745</v>
      </c>
    </row>
    <row r="15" customFormat="false" ht="15" hidden="false" customHeight="false" outlineLevel="0" collapsed="false">
      <c r="A15" s="11" t="s">
        <v>137</v>
      </c>
      <c r="B15" s="6" t="s">
        <v>746</v>
      </c>
    </row>
    <row r="16" customFormat="false" ht="15" hidden="false" customHeight="false" outlineLevel="0" collapsed="false">
      <c r="A16" s="11" t="s">
        <v>747</v>
      </c>
      <c r="B16" s="6" t="s">
        <v>748</v>
      </c>
    </row>
    <row r="17" customFormat="false" ht="15" hidden="false" customHeight="false" outlineLevel="0" collapsed="false">
      <c r="A17" s="11" t="s">
        <v>142</v>
      </c>
      <c r="B17" s="6" t="s">
        <v>749</v>
      </c>
    </row>
    <row r="18" customFormat="false" ht="15" hidden="false" customHeight="false" outlineLevel="0" collapsed="false">
      <c r="A18" s="11" t="s">
        <v>750</v>
      </c>
      <c r="B18" s="6" t="s">
        <v>751</v>
      </c>
    </row>
    <row r="19" customFormat="false" ht="15" hidden="false" customHeight="false" outlineLevel="0" collapsed="false">
      <c r="A19" s="11" t="s">
        <v>752</v>
      </c>
      <c r="B19" s="6" t="s">
        <v>753</v>
      </c>
    </row>
    <row r="20" customFormat="false" ht="15" hidden="false" customHeight="false" outlineLevel="0" collapsed="false">
      <c r="A20" s="11" t="s">
        <v>754</v>
      </c>
      <c r="B20" s="6" t="s">
        <v>755</v>
      </c>
    </row>
    <row r="21" customFormat="false" ht="15" hidden="false" customHeight="false" outlineLevel="0" collapsed="false">
      <c r="A21" s="11" t="s">
        <v>756</v>
      </c>
      <c r="B21" s="6" t="s">
        <v>757</v>
      </c>
    </row>
    <row r="22" customFormat="false" ht="15" hidden="false" customHeight="false" outlineLevel="0" collapsed="false">
      <c r="A22" s="11" t="s">
        <v>758</v>
      </c>
      <c r="B22" s="6" t="s">
        <v>759</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2026-09-26T18:09:29Z</dcterms:created>
  <dc:creator>openpyxl</dc:creator>
  <dc:description/>
  <dc:language>en-US</dc:language>
  <cp:lastModifiedBy/>
  <dcterms:modified xsi:type="dcterms:W3CDTF">2026-09-26T18:09:32Z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