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1 Crowd" sheetId="2" state="visible" r:id="rId4"/>
    <sheet name="2 Price" sheetId="3" state="visible" r:id="rId5"/>
    <sheet name="3 Value" sheetId="4" state="visible" r:id="rId6"/>
    <sheet name="4 Offer" sheetId="5" state="visible" r:id="rId7"/>
    <sheet name="5 Enhancers" sheetId="6" state="visible" r:id="rId8"/>
    <sheet name="6 Name" sheetId="7" state="visible" r:id="rId9"/>
    <sheet name="Offer Sheet" sheetId="8" state="visible" r:id="rId10"/>
  </sheets>
  <definedNames>
    <definedName function="false" hidden="false" name="BonusDone" vbProcedure="false">'5 Enhancers'!$H$53</definedName>
    <definedName function="false" hidden="false" name="BonusKinds" vbProcedure="false">'5 Enhancers'!$D$33:$D$38</definedName>
    <definedName function="false" hidden="false" name="BonusNames" vbProcedure="false">'5 Enhancers'!$B$33:$B$38</definedName>
    <definedName function="false" hidden="false" name="BonusSolves" vbProcedure="false">'5 Enhancers'!$C$33:$C$38</definedName>
    <definedName function="false" hidden="false" name="BonusTotal" vbProcedure="false">'5 Enhancers'!$E$39</definedName>
    <definedName function="false" hidden="false" name="BonusWorth" vbProcedure="false">'5 Enhancers'!$E$33:$E$38</definedName>
    <definedName function="false" hidden="false" name="BottomDone" vbProcedure="false">'3 Value'!$H$55</definedName>
    <definedName function="false" hidden="false" name="BrickRead" vbProcedure="false">'4 Offer'!$C$23</definedName>
    <definedName function="false" hidden="false" name="Cash" vbProcedure="false">'6 Name'!$C$63</definedName>
    <definedName function="false" hidden="false" name="CashPerPitch" vbProcedure="false">'6 Name'!$C$66</definedName>
    <definedName function="false" hidden="false" name="ClientsNew" vbProcedure="false">'2 Price'!$C$50</definedName>
    <definedName function="false" hidden="false" name="ClientsOld" vbProcedure="false">'2 Price'!$C$49</definedName>
    <definedName function="false" hidden="false" name="Closed" vbProcedure="false">'6 Name'!$C$62</definedName>
    <definedName function="false" hidden="false" name="CloseRateNew" vbProcedure="false">'6 Name'!$C$64</definedName>
    <definedName function="false" hidden="false" name="CloseRateNow" vbProcedure="false">'2 Price'!$C$16</definedName>
    <definedName function="false" hidden="false" name="CloseRateTested" vbProcedure="false">'2 Price'!$C$81</definedName>
    <definedName function="false" hidden="false" name="Commodity" vbProcedure="false">'1 Crowd'!$C$8</definedName>
    <definedName function="false" hidden="false" name="CommodityRead" vbProcedure="false">'1 Crowd'!$C$9</definedName>
    <definedName function="false" hidden="false" name="CostNow" vbProcedure="false">'2 Price'!$C$9</definedName>
    <definedName function="false" hidden="false" name="CostUsed" vbProcedure="false">'2 Price'!$C$85</definedName>
    <definedName function="false" hidden="false" name="CrowdProofDone" vbProcedure="false">'1 Crowd'!$H$73</definedName>
    <definedName function="false" hidden="false" name="CurveClients" vbProcedure="false">'2 Price'!$C$54:$C$61</definedName>
    <definedName function="false" hidden="false" name="CurvePrices" vbProcedure="false">'2 Price'!$B$54:$B$61</definedName>
    <definedName function="false" hidden="false" name="CutCount" vbProcedure="false">'4 Offer'!$C$82</definedName>
    <definedName function="false" hidden="false" name="CycleRead" vbProcedure="false">'2 Price'!$C$37</definedName>
    <definedName function="false" hidden="false" name="DaysLeft" vbProcedure="false">'5 Enhancers'!$C$27</definedName>
    <definedName function="false" hidden="false" name="DownCount" vbProcedure="false">'2 Price'!$H$27</definedName>
    <definedName function="false" hidden="false" name="Dream" vbProcedure="false">'3 Value'!$C$16</definedName>
    <definedName function="false" hidden="false" name="DreamStatus" vbProcedure="false">'3 Value'!$C$17</definedName>
    <definedName function="false" hidden="false" name="Driver1" vbProcedure="false">'4 Offer'!$C$57</definedName>
    <definedName function="false" hidden="false" name="Driver2" vbProcedure="false">'4 Offer'!$C$58</definedName>
    <definedName function="false" hidden="false" name="Driver3" vbProcedure="false">'4 Offer'!$C$59</definedName>
    <definedName function="false" hidden="false" name="Driver4" vbProcedure="false">'4 Offer'!$C$60</definedName>
    <definedName function="false" hidden="false" name="DriversRange" vbProcedure="false">'4 Offer'!$D$40:$D$54</definedName>
    <definedName function="false" hidden="false" name="EnhancerDone" vbProcedure="false">'5 Enhancers'!$H$68</definedName>
    <definedName function="false" hidden="false" name="EnhancersInPlay" vbProcedure="false">'5 Enhancers'!$C$78</definedName>
    <definedName function="false" hidden="false" name="FirstWin" vbProcedure="false">'3 Value'!$C$32</definedName>
    <definedName function="false" hidden="false" name="FirstWinDays" vbProcedure="false">'3 Value'!$C$33</definedName>
    <definedName function="false" hidden="false" name="FullWeeks" vbProcedure="false">'3 Value'!$C$34</definedName>
    <definedName function="false" hidden="false" name="GapNew" vbProcedure="false">'2 Price'!$C$51</definedName>
    <definedName function="false" hidden="false" name="GapNow" vbProcedure="false">'2 Price'!$C$43</definedName>
    <definedName function="false" hidden="false" name="GuaranteeCondition" vbProcedure="false">'5 Enhancers'!$C$59</definedName>
    <definedName function="false" hidden="false" name="GuaranteeKind" vbProcedure="false">'5 Enhancers'!$C$57</definedName>
    <definedName function="false" hidden="false" name="GuaranteeTested" vbProcedure="false">'5 Enhancers'!$C$77</definedName>
    <definedName function="false" hidden="false" name="GuaranteeText" vbProcedure="false">'5 Enhancers'!$C$58</definedName>
    <definedName function="false" hidden="false" name="KeepCount" vbProcedure="false">'4 Offer'!$C$80</definedName>
    <definedName function="false" hidden="false" name="KeepSomeCount" vbProcedure="false">'4 Offer'!$C$81</definedName>
    <definedName function="false" hidden="false" name="LadderMultiple" vbProcedure="false">'1 Crowd'!$C$44</definedName>
    <definedName function="false" hidden="false" name="LadderNames" vbProcedure="false">'1 Crowd'!$B$39:$B$43</definedName>
    <definedName function="false" hidden="false" name="LadderPrices" vbProcedure="false">'1 Crowd'!$E$39:$E$43</definedName>
    <definedName function="false" hidden="false" name="LaunchDone" vbProcedure="false">'6 Name'!$H$57</definedName>
    <definedName function="false" hidden="false" name="MarginNew" vbProcedure="false">'2 Price'!$C$86</definedName>
    <definedName function="false" hidden="false" name="MarginNow" vbProcedure="false">'2 Price'!$C$10</definedName>
    <definedName function="false" hidden="false" name="MarketCore" vbProcedure="false">'1 Crowd'!$C$13</definedName>
    <definedName function="false" hidden="false" name="MarketScore" vbProcedure="false">'1 Crowd'!$C$22</definedName>
    <definedName function="false" hidden="false" name="MarketWho" vbProcedure="false">'1 Crowd'!$C$14</definedName>
    <definedName function="false" hidden="false" name="Name1" vbProcedure="false">'6 Name'!$C$22</definedName>
    <definedName function="false" hidden="false" name="Name2" vbProcedure="false">'6 Name'!$C$23</definedName>
    <definedName function="false" hidden="false" name="Name3" vbProcedure="false">'6 Name'!$C$24</definedName>
    <definedName function="false" hidden="false" name="NameChosen" vbProcedure="false">'6 Name'!$C$28</definedName>
    <definedName function="false" hidden="false" name="NameDone" vbProcedure="false">'6 Name'!$H$38</definedName>
    <definedName function="false" hidden="false" name="Niche" vbProcedure="false">'1 Crowd'!$C$48</definedName>
    <definedName function="false" hidden="false" name="NicheCommitDone" vbProcedure="false">'1 Crowd'!$H$54</definedName>
    <definedName function="false" hidden="false" name="OfferDone" vbProcedure="false">'4 Offer'!$H$107</definedName>
    <definedName function="false" hidden="false" name="OfferMultiple" vbProcedure="false">'5 Enhancers'!$C$41</definedName>
    <definedName function="false" hidden="false" name="OfferTotal" vbProcedure="false">'5 Enhancers'!$C$40</definedName>
    <definedName function="false" hidden="false" name="OneLine" vbProcedure="false">'6 Name'!$C$13</definedName>
    <definedName function="false" hidden="false" name="OutcomeWorth" vbProcedure="false">'2 Price'!$C$41</definedName>
    <definedName function="false" hidden="false" name="Period" vbProcedure="false">'2 Price'!$C$8</definedName>
    <definedName function="false" hidden="false" name="Pitched" vbProcedure="false">'6 Name'!$C$61</definedName>
    <definedName function="false" hidden="false" name="Position" vbProcedure="false">'2 Price'!$C$15</definedName>
    <definedName function="false" hidden="false" name="PremiumDone" vbProcedure="false">'2 Price'!$H$70</definedName>
    <definedName function="false" hidden="false" name="PriceNew" vbProcedure="false">'2 Price'!$C$47</definedName>
    <definedName function="false" hidden="false" name="PriceNow" vbProcedure="false">'2 Price'!$C$7</definedName>
    <definedName function="false" hidden="false" name="PriceUsed" vbProcedure="false">IF('2 Price'!$C$47="",'2 Price'!$C$7,'2 Price'!$C$47)</definedName>
    <definedName function="false" hidden="false" name="ProblemsRange" vbProcedure="false">'4 Offer'!$B$40:$B$54</definedName>
    <definedName function="false" hidden="false" name="ProfitNew" vbProcedure="false">'2 Price'!$C$87</definedName>
    <definedName function="false" hidden="false" name="ProfitNow" vbProcedure="false">'2 Price'!$C$11</definedName>
    <definedName function="false" hidden="false" name="Progress_Crowd" vbProcedure="false">'1 Crowd'!$H$1</definedName>
    <definedName function="false" hidden="false" name="Progress_Enhancers" vbProcedure="false">'5 Enhancers'!$H$1</definedName>
    <definedName function="false" hidden="false" name="Progress_Name" vbProcedure="false">'6 Name'!$H$1</definedName>
    <definedName function="false" hidden="false" name="Progress_Offer" vbProcedure="false">'4 Offer'!$H$1</definedName>
    <definedName function="false" hidden="false" name="Progress_Price" vbProcedure="false">'2 Price'!$H$1</definedName>
    <definedName function="false" hidden="false" name="Progress_Value" vbProcedure="false">'3 Value'!$H$1</definedName>
    <definedName function="false" hidden="false" name="ProofRead" vbProcedure="false">'3 Value'!$C$28</definedName>
    <definedName function="false" hidden="false" name="RatingsNew" vbProcedure="false">'3 Value'!$C$59:$C$62</definedName>
    <definedName function="false" hidden="false" name="RatingsNow" vbProcedure="false">'3 Value'!$C$7:$C$10</definedName>
    <definedName function="false" hidden="false" name="Reach" vbProcedure="false">'1 Crowd'!$C$64</definedName>
    <definedName function="false" hidden="false" name="RevenueGoal" vbProcedure="false">'2 Price'!$C$48</definedName>
    <definedName function="false" hidden="false" name="SacrificesFixed" vbProcedure="false">'3 Value'!$C$46</definedName>
    <definedName function="false" hidden="false" name="ScarcityCount" vbProcedure="false">'5 Enhancers'!$C$18</definedName>
    <definedName function="false" hidden="false" name="ScarcityKind" vbProcedure="false">'5 Enhancers'!$C$17</definedName>
    <definedName function="false" hidden="false" name="ScarcityLine" vbProcedure="false">'5 Enhancers'!$C$20</definedName>
    <definedName function="false" hidden="false" name="SignLabels" vbProcedure="false">'1 Crowd'!$B$18:$B$21</definedName>
    <definedName function="false" hidden="false" name="SignScores" vbProcedure="false">'1 Crowd'!$C$18:$C$21</definedName>
    <definedName function="false" hidden="false" name="SolutionsRange" vbProcedure="false">'4 Offer'!$E$40:$E$54</definedName>
    <definedName function="false" hidden="false" name="SolutionsRead" vbProcedure="false">'4 Offer'!$C$56</definedName>
    <definedName function="false" hidden="false" name="StackCost" vbProcedure="false">'4 Offer'!$G$96</definedName>
    <definedName function="false" hidden="false" name="StackMultiple" vbProcedure="false">'4 Offer'!$C$97</definedName>
    <definedName function="false" hidden="false" name="StackNames" vbProcedure="false">'4 Offer'!$B$87:$B$94</definedName>
    <definedName function="false" hidden="false" name="StackSolves" vbProcedure="false">'4 Offer'!$C$87:$C$94</definedName>
    <definedName function="false" hidden="false" name="StackTotal" vbProcedure="false">'4 Offer'!$F$95</definedName>
    <definedName function="false" hidden="false" name="StackWorth" vbProcedure="false">'4 Offer'!$F$87:$F$94</definedName>
    <definedName function="false" hidden="false" name="UpCount" vbProcedure="false">'2 Price'!$H$36</definedName>
    <definedName function="false" hidden="false" name="UrgencyDate" vbProcedure="false">'5 Enhancers'!$C$25</definedName>
    <definedName function="false" hidden="false" name="UrgencyKind" vbProcedure="false">'5 Enhancers'!$C$24</definedName>
    <definedName function="false" hidden="false" name="UrgencyLine" vbProcedure="false">'5 Enhancers'!$C$28</definedName>
    <definedName function="false" hidden="false" name="ValueChange" vbProcedure="false">'3 Value'!$C$64</definedName>
    <definedName function="false" hidden="false" name="ValueNew" vbProcedure="false">'3 Value'!$C$63</definedName>
    <definedName function="false" hidden="false" name="ValueNow" vbProcedure="false">'3 Value'!$C$11</definedName>
    <definedName function="false" hidden="false" name="WeakestSign" vbProcedure="false">'1 Crowd'!$C$23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<sst xmlns="http://schemas.openxmlformats.org/spreadsheetml/2006/main" count="728" uniqueCount="553">
  <si>
    <t xml:space="preserve">Offer Builder</t>
  </si>
  <si>
    <t xml:space="preserve">The exercises of $100M Offers (Alex Hormozi, 2021), one tab per part. Yellow cells are yours to fill in; grey cells work themselves out. Nothing here is advice; the book has the reasoning, this has the work. THIS COPY CARRIES THE EXAMPLE OFFER: a made-up strength program for new fathers, with invented numbers.</t>
  </si>
  <si>
    <t xml:space="preserve">How to use it</t>
  </si>
  <si>
    <t xml:space="preserve">example</t>
  </si>
  <si>
    <t xml:space="preserve">A yellow cell with blue text is yours to type in. Dropdowns open when you click the cell.</t>
  </si>
  <si>
    <t xml:space="preserve">A grey cell works itself out. Leave it alone.</t>
  </si>
  <si>
    <t xml:space="preserve">A checklist row turns green when you pick Yes.</t>
  </si>
  <si>
    <t xml:space="preserve">Go through the tabs in order, left to right. Each tab is one part of the book; each numbered section is one exercise. Every figure on this page comes from those tabs.</t>
  </si>
  <si>
    <t xml:space="preserve">Where you stand</t>
  </si>
  <si>
    <t xml:space="preserve">Part of the book</t>
  </si>
  <si>
    <t xml:space="preserve">Filled in</t>
  </si>
  <si>
    <t xml:space="preserve">Reading</t>
  </si>
  <si>
    <t xml:space="preserve">Figure</t>
  </si>
  <si>
    <t xml:space="preserve">1 Crowd: the starving crowd</t>
  </si>
  <si>
    <t xml:space="preserve">Starving crowd score (of 20)</t>
  </si>
  <si>
    <t xml:space="preserve">The offer</t>
  </si>
  <si>
    <t xml:space="preserve">2 Price: charge what it is worth</t>
  </si>
  <si>
    <t xml:space="preserve">Weakest sign of the four</t>
  </si>
  <si>
    <t xml:space="preserve">3 Value: the value equation</t>
  </si>
  <si>
    <t xml:space="preserve">Margin today</t>
  </si>
  <si>
    <t xml:space="preserve">4 Offer: problems, solutions, the stack</t>
  </si>
  <si>
    <t xml:space="preserve">Worth against today's price</t>
  </si>
  <si>
    <t xml:space="preserve">5 Enhancers: scarcity, urgency, bonuses, guarantee</t>
  </si>
  <si>
    <t xml:space="preserve">Clients needed a year, new price</t>
  </si>
  <si>
    <t xml:space="preserve">6 Name: MAGIC and the launch</t>
  </si>
  <si>
    <t xml:space="preserve">Value score, before</t>
  </si>
  <si>
    <t xml:space="preserve">The whole offer</t>
  </si>
  <si>
    <t xml:space="preserve">Value score, after</t>
  </si>
  <si>
    <t xml:space="preserve">Pieces kept after the trim</t>
  </si>
  <si>
    <t xml:space="preserve">The stack adds up to</t>
  </si>
  <si>
    <t xml:space="preserve">Stack and bonuses against the price</t>
  </si>
  <si>
    <t xml:space="preserve">Enhancers in play</t>
  </si>
  <si>
    <t xml:space="preserve">Margin at the new price</t>
  </si>
  <si>
    <t xml:space="preserve">Close rate, before</t>
  </si>
  <si>
    <t xml:space="preserve">Close rate at the new price</t>
  </si>
  <si>
    <t xml:space="preserve">Pictures</t>
  </si>
  <si>
    <t xml:space="preserve">Sign</t>
  </si>
  <si>
    <t xml:space="preserve">Score of 5</t>
  </si>
  <si>
    <t xml:space="preserve">Part of the equation</t>
  </si>
  <si>
    <t xml:space="preserve">Before</t>
  </si>
  <si>
    <t xml:space="preserve">After</t>
  </si>
  <si>
    <t xml:space="preserve">Dream outcome</t>
  </si>
  <si>
    <t xml:space="preserve">Likelihood</t>
  </si>
  <si>
    <t xml:space="preserve">Time delay</t>
  </si>
  <si>
    <t xml:space="preserve">Effort</t>
  </si>
  <si>
    <t xml:space="preserve">Price point</t>
  </si>
  <si>
    <t xml:space="preserve">Clients a year</t>
  </si>
  <si>
    <t xml:space="preserve">Piece</t>
  </si>
  <si>
    <t xml:space="preserve">Amount</t>
  </si>
  <si>
    <t xml:space="preserve">The stack</t>
  </si>
  <si>
    <t xml:space="preserve">The bonuses</t>
  </si>
  <si>
    <t xml:space="preserve">Your price</t>
  </si>
  <si>
    <t xml:space="preserve">Worth to them, a year</t>
  </si>
  <si>
    <t xml:space="preserve">Crowd: the starving crowd</t>
  </si>
  <si>
    <t xml:space="preserve">Section II, chapters 3 and 4. A commodity is anything a buyer compares on price alone. The way out is a narrow crowd that badly wants what you do. A good market shows four signs: massive pain, purchasing power, easy to target, growing.</t>
  </si>
  <si>
    <t xml:space="preserve">1.1 What you sell today</t>
  </si>
  <si>
    <t xml:space="preserve">Chapter 3</t>
  </si>
  <si>
    <t xml:space="preserve">Say it the way you would to a stranger. The second box is the book's commodity test.</t>
  </si>
  <si>
    <t xml:space="preserve">What you sell, and to whom</t>
  </si>
  <si>
    <t xml:space="preserve">Online strength coaching for busy people, sold by the month.</t>
  </si>
  <si>
    <t xml:space="preserve">When a prospect compares you with others, what do they decide on?</t>
  </si>
  <si>
    <t xml:space="preserve">Mostly price, with a bit of trust.</t>
  </si>
  <si>
    <t xml:space="preserve">Pick one. Price means commodity; the rest of this workbook is how to stop being one.</t>
  </si>
  <si>
    <t xml:space="preserve">Where you sit</t>
  </si>
  <si>
    <t xml:space="preserve">1.2 The market you are in</t>
  </si>
  <si>
    <t xml:space="preserve">Chapter 4</t>
  </si>
  <si>
    <t xml:space="preserve">The book names health, wealth and relationships as the three markets that never go away.</t>
  </si>
  <si>
    <t xml:space="preserve">The big market</t>
  </si>
  <si>
    <t xml:space="preserve">Health</t>
  </si>
  <si>
    <t xml:space="preserve">Who buys from you now, in a few words</t>
  </si>
  <si>
    <t xml:space="preserve">Men in their thirties who used to train</t>
  </si>
  <si>
    <t xml:space="preserve">1.3 The four signs of a starving crowd</t>
  </si>
  <si>
    <t xml:space="preserve">Score each 1 to 5. Massive pain: they need it, not just want it. Purchasing power: they can pay. Easy to target: one place, list or group holds them. Growing: more of them every year.</t>
  </si>
  <si>
    <t xml:space="preserve">Massive pain</t>
  </si>
  <si>
    <t xml:space="preserve">1 to 5. 1 is a mild wish, 5 keeps them up at night</t>
  </si>
  <si>
    <t xml:space="preserve">Purchasing power</t>
  </si>
  <si>
    <t xml:space="preserve">1 to 5. 1 is no spare money, 5 is they already spend on this</t>
  </si>
  <si>
    <t xml:space="preserve">Easy to target</t>
  </si>
  <si>
    <t xml:space="preserve">1 to 5. 1 is scattered everywhere, 5 is one group holds them</t>
  </si>
  <si>
    <t xml:space="preserve">Growing</t>
  </si>
  <si>
    <t xml:space="preserve">1 to 5. 1 is shrinking, 5 is growing fast</t>
  </si>
  <si>
    <t xml:space="preserve">16 or more is a starving crowd. Under 12, the book would look for a hungrier crowd first.</t>
  </si>
  <si>
    <t xml:space="preserve">The weakest sign</t>
  </si>
  <si>
    <t xml:space="preserve">What that means</t>
  </si>
  <si>
    <t xml:space="preserve">1.4 The pain in their words</t>
  </si>
  <si>
    <t xml:space="preserve">Three or more things this crowd says or complains about, in their own words, not yours. These come back in the problems list.</t>
  </si>
  <si>
    <t xml:space="preserve">In their words</t>
  </si>
  <si>
    <t xml:space="preserve">I have not slept properly in eight months and I am too tired to train.</t>
  </si>
  <si>
    <t xml:space="preserve">I can barely lift the car seat without my back going.</t>
  </si>
  <si>
    <t xml:space="preserve">Every plan I try assumes I have an hour and a gym.</t>
  </si>
  <si>
    <t xml:space="preserve">Lines written</t>
  </si>
  <si>
    <t xml:space="preserve">1.5 The niche ladder</t>
  </si>
  <si>
    <t xml:space="preserve">Chapter 4, riches in niches</t>
  </si>
  <si>
    <t xml:space="preserve">Start broad, then narrow three times. At each rung write the price the same help could sell for. The book's example goes from time management for anyone to time management for one industry's salespeople, with the price rising many times over.</t>
  </si>
  <si>
    <t xml:space="preserve">Rung: who it is for (broad at the top, narrow at the bottom)</t>
  </si>
  <si>
    <t xml:space="preserve">What it could sell for</t>
  </si>
  <si>
    <t xml:space="preserve">Anyone who wants to get strong</t>
  </si>
  <si>
    <t xml:space="preserve">Busy professionals in their thirties</t>
  </si>
  <si>
    <t xml:space="preserve">New fathers in the first year</t>
  </si>
  <si>
    <t xml:space="preserve">New fathers with a bad back and no gym</t>
  </si>
  <si>
    <t xml:space="preserve">Narrowest over broadest</t>
  </si>
  <si>
    <t xml:space="preserve">How many times the price rises from the first rung to the last one filled in (fill the rungs from the top).</t>
  </si>
  <si>
    <t xml:space="preserve">1.6 Commit to one</t>
  </si>
  <si>
    <t xml:space="preserve">Pick the rung you will serve. The book's warning: people switch niches before the niche can pay them.</t>
  </si>
  <si>
    <t xml:space="preserve">The niche you commit to (your avatar)</t>
  </si>
  <si>
    <t xml:space="preserve">New fathers in the first year, training at home with no gym</t>
  </si>
  <si>
    <t xml:space="preserve">Step</t>
  </si>
  <si>
    <t xml:space="preserve">Done?</t>
  </si>
  <si>
    <t xml:space="preserve">I can name where these people gather: a place, a group, a list</t>
  </si>
  <si>
    <t xml:space="preserve">Yes</t>
  </si>
  <si>
    <t xml:space="preserve">They can pay what I plan to charge</t>
  </si>
  <si>
    <t xml:space="preserve">There are more of them each year, or at least not fewer</t>
  </si>
  <si>
    <t xml:space="preserve">I will stay with this niche long enough to learn its language</t>
  </si>
  <si>
    <t xml:space="preserve">Done</t>
  </si>
  <si>
    <t xml:space="preserve">1.7 Where to find them</t>
  </si>
  <si>
    <t xml:space="preserve">Chapter 4, easy to target</t>
  </si>
  <si>
    <t xml:space="preserve">Places you can reach this crowd, and roughly how many are in each.</t>
  </si>
  <si>
    <t xml:space="preserve">The place</t>
  </si>
  <si>
    <t xml:space="preserve">Roughly how many</t>
  </si>
  <si>
    <t xml:space="preserve">Two online groups for new dads</t>
  </si>
  <si>
    <t xml:space="preserve">A prenatal class partner's mailing list</t>
  </si>
  <si>
    <t xml:space="preserve">A podcast for expecting fathers</t>
  </si>
  <si>
    <t xml:space="preserve">Reach, added up</t>
  </si>
  <si>
    <t xml:space="preserve">1.8 Prove the crowd is starving</t>
  </si>
  <si>
    <t xml:space="preserve">Do these in the world, then mark them done.</t>
  </si>
  <si>
    <t xml:space="preserve">Talked to three people in the niche about the pain</t>
  </si>
  <si>
    <t xml:space="preserve">Found one paid alternative they already spend money on</t>
  </si>
  <si>
    <t xml:space="preserve">Found one sign the market is growing: a trend, a count, a new rule</t>
  </si>
  <si>
    <t xml:space="preserve">Wrote down the exact words they use for the problem (1.4)</t>
  </si>
  <si>
    <t xml:space="preserve">Price: charge what it is worth</t>
  </si>
  <si>
    <t xml:space="preserve">Section II, chapter 5. Lowering a price starts a vicious cycle: less margin, less service, worse results, less proof, more pressure to lower it again. Raising it starts the opposite cycle. Charge so much it hurts, then build so much value the price feels small.</t>
  </si>
  <si>
    <t xml:space="preserve">2.1 Your price today</t>
  </si>
  <si>
    <t xml:space="preserve">Chapter 5</t>
  </si>
  <si>
    <t xml:space="preserve">Cost is your time at the rate you would pay someone else, plus materials, tools and the refunds you eat.</t>
  </si>
  <si>
    <t xml:space="preserve">Price today</t>
  </si>
  <si>
    <t xml:space="preserve">Charged</t>
  </si>
  <si>
    <t xml:space="preserve">Per month</t>
  </si>
  <si>
    <t xml:space="preserve">What one delivery costs you, roughly</t>
  </si>
  <si>
    <t xml:space="preserve">Gross margin today</t>
  </si>
  <si>
    <t xml:space="preserve">Under half is where the vicious cycle starts.</t>
  </si>
  <si>
    <t xml:space="preserve">What you keep, per sale</t>
  </si>
  <si>
    <t xml:space="preserve">2.2 Where you sit</t>
  </si>
  <si>
    <t xml:space="preserve">Be honest about the position. The close rate is your baseline for the Prove steps.</t>
  </si>
  <si>
    <t xml:space="preserve">Against the alternatives your crowd sees, your price is</t>
  </si>
  <si>
    <t xml:space="preserve">Below the middle</t>
  </si>
  <si>
    <t xml:space="preserve">Of ten people you pitch, how many say yes (as a percent)</t>
  </si>
  <si>
    <t xml:space="preserve">Type 20% for two in ten.</t>
  </si>
  <si>
    <t xml:space="preserve">2.3 Which cycle you are in</t>
  </si>
  <si>
    <t xml:space="preserve">Chapter 5, the two cycles</t>
  </si>
  <si>
    <t xml:space="preserve">Mark every line that is true of your business this year. The count says which loop you are riding.</t>
  </si>
  <si>
    <t xml:space="preserve">I lower the price to win deals</t>
  </si>
  <si>
    <t xml:space="preserve">Clients expect a lot and value it little</t>
  </si>
  <si>
    <t xml:space="preserve">I cannot afford to give the service I would like to</t>
  </si>
  <si>
    <t xml:space="preserve">Clients get worse results than they could</t>
  </si>
  <si>
    <t xml:space="preserve">I am always chasing the next sale</t>
  </si>
  <si>
    <t xml:space="preserve">I resent some of the work</t>
  </si>
  <si>
    <t xml:space="preserve">The clients who pay more are the most committed</t>
  </si>
  <si>
    <t xml:space="preserve">The clients who pay more get better results</t>
  </si>
  <si>
    <t xml:space="preserve">I can afford to over-deliver</t>
  </si>
  <si>
    <t xml:space="preserve">The margin pays for better help and better marketing</t>
  </si>
  <si>
    <t xml:space="preserve">I am proud to say the price</t>
  </si>
  <si>
    <t xml:space="preserve">Good clients send more good clients</t>
  </si>
  <si>
    <t xml:space="preserve">The loop you are riding</t>
  </si>
  <si>
    <t xml:space="preserve">2.4 What the outcome is worth</t>
  </si>
  <si>
    <t xml:space="preserve">If the client gets the dream outcome, what is it worth to them in money over a year? Revenue gained, cost stopped, time back at their rate, a pain made to stop. The gap between this and your price is what makes an offer a Grand Slam.</t>
  </si>
  <si>
    <t xml:space="preserve">Worth to the client, a year</t>
  </si>
  <si>
    <t xml:space="preserve">How you got the number</t>
  </si>
  <si>
    <t xml:space="preserve">A private trainer twice a week is about $400 a month; a bad back cost one of them $1,800 in physio last year; the sleep and energy are worth more than either to them.</t>
  </si>
  <si>
    <t xml:space="preserve">10x or more is a Grand Slam gap. 3x is real. Under 3x, the outcome is probably worth more than you wrote.</t>
  </si>
  <si>
    <t xml:space="preserve">2.5 Charge so much it hurts</t>
  </si>
  <si>
    <t xml:space="preserve">Pick a price that makes you a little uncomfortable to say out loud, and the revenue you want in a year. The table shows how many clients each price needs.</t>
  </si>
  <si>
    <t xml:space="preserve">The new price (charged the same way as today)</t>
  </si>
  <si>
    <t xml:space="preserve">Revenue you want in a year</t>
  </si>
  <si>
    <t xml:space="preserve">Clients needed a year at today's price</t>
  </si>
  <si>
    <t xml:space="preserve">Clients needed a year at the new price</t>
  </si>
  <si>
    <t xml:space="preserve">Fewer people, more care each.</t>
  </si>
  <si>
    <t xml:space="preserve">Worth against the new price</t>
  </si>
  <si>
    <t xml:space="preserve">Clients needed a year</t>
  </si>
  <si>
    <t xml:space="preserve">Margin at that price</t>
  </si>
  <si>
    <t xml:space="preserve">0.5 times today</t>
  </si>
  <si>
    <t xml:space="preserve">0.75 times today</t>
  </si>
  <si>
    <t xml:space="preserve">1 times today</t>
  </si>
  <si>
    <t xml:space="preserve">1.25 times today</t>
  </si>
  <si>
    <t xml:space="preserve">1.5 times today</t>
  </si>
  <si>
    <t xml:space="preserve">2 times today</t>
  </si>
  <si>
    <t xml:space="preserve">2.5 times today</t>
  </si>
  <si>
    <t xml:space="preserve">3 times today</t>
  </si>
  <si>
    <t xml:space="preserve">2.6 The premium price checklist</t>
  </si>
  <si>
    <t xml:space="preserve">The conditions the book puts around a high price. A line you cannot mark yet points at the Offer or Enhancers tab.</t>
  </si>
  <si>
    <t xml:space="preserve">I can say the new price without apologising or adding a discount</t>
  </si>
  <si>
    <t xml:space="preserve">The offer gives back many times the price (worth to price is 3 to 1 or better)</t>
  </si>
  <si>
    <t xml:space="preserve">I know what I will add so the price feels small (the Offer tab)</t>
  </si>
  <si>
    <t xml:space="preserve">I have stopped comparing my price with the cheapest alternative</t>
  </si>
  <si>
    <t xml:space="preserve">2.7 Say it out loud</t>
  </si>
  <si>
    <t xml:space="preserve">Offer the new price to three real prospects and write down what each one said. A no at a high price teaches more than a yes at a low one.</t>
  </si>
  <si>
    <t xml:space="preserve">Who (first name or a note)</t>
  </si>
  <si>
    <t xml:space="preserve">They said</t>
  </si>
  <si>
    <t xml:space="preserve">M., from the dads group</t>
  </si>
  <si>
    <t xml:space="preserve">J., a referral</t>
  </si>
  <si>
    <t xml:space="preserve">Not now</t>
  </si>
  <si>
    <t xml:space="preserve">R., from the podcast</t>
  </si>
  <si>
    <t xml:space="preserve">2.8 Your margin at the new price</t>
  </si>
  <si>
    <t xml:space="preserve">Uses the delivery costs you put on the stack (Offer tab) where you have them, else today's delivery cost.</t>
  </si>
  <si>
    <t xml:space="preserve">Cost used</t>
  </si>
  <si>
    <t xml:space="preserve">From the Offer tab's stack when its cost column is filled, else today's delivery cost.</t>
  </si>
  <si>
    <t xml:space="preserve">What you keep, per client</t>
  </si>
  <si>
    <t xml:space="preserve">Value: the value equation</t>
  </si>
  <si>
    <t xml:space="preserve">Section III, chapter 6. Value = (dream outcome x perceived likelihood) / (time delay x effort and sacrifice). Raise the top, shrink the bottom. The bottom matters most, and the book's goal for it is zero.</t>
  </si>
  <si>
    <t xml:space="preserve">3.1 Rate the offer as it is</t>
  </si>
  <si>
    <t xml:space="preserve">Chapter 6</t>
  </si>
  <si>
    <t xml:space="preserve">Score each 1 to 10. Dream outcome: how big and wanted (10 is life-changing). Likelihood: how sure they feel it works for them (10 is certain). Time delay: how long until they notice a result (10 is a very long wait). Effort: how much they must do and give up (10 is a great deal).</t>
  </si>
  <si>
    <t xml:space="preserve">Dream outcome (1 to 10)</t>
  </si>
  <si>
    <t xml:space="preserve">Perceived likelihood (1 to 10)</t>
  </si>
  <si>
    <t xml:space="preserve">Time delay, 10 is long (1 to 10)</t>
  </si>
  <si>
    <t xml:space="preserve">Effort and sacrifice, 10 is a lot (1 to 10)</t>
  </si>
  <si>
    <t xml:space="preserve">Top over bottom. Higher is better; 1 means the top only equals the bottom.</t>
  </si>
  <si>
    <t xml:space="preserve">What that says</t>
  </si>
  <si>
    <t xml:space="preserve">3.2 The dream outcome</t>
  </si>
  <si>
    <t xml:space="preserve">Write the result they want, in their words. Not what you do; what they get, and who they get to be.</t>
  </si>
  <si>
    <t xml:space="preserve">The dream outcome, in their words</t>
  </si>
  <si>
    <t xml:space="preserve">Strong enough to carry the baby, the bags and the stroller up the stairs without thinking about it, and to have energy left at the end of the day.</t>
  </si>
  <si>
    <t xml:space="preserve">Who they get to be, in the eyes of people they care about</t>
  </si>
  <si>
    <t xml:space="preserve">the dad who keeps up, not the one who is always tired</t>
  </si>
  <si>
    <t xml:space="preserve">3.3 Why they will believe it</t>
  </si>
  <si>
    <t xml:space="preserve">Chapter 6, perceived likelihood</t>
  </si>
  <si>
    <t xml:space="preserve">The proof that makes a stranger believe this will work for someone like them. The more it looks like them, the more it counts.</t>
  </si>
  <si>
    <t xml:space="preserve">Kind</t>
  </si>
  <si>
    <t xml:space="preserve">What it is</t>
  </si>
  <si>
    <t xml:space="preserve">A client's result</t>
  </si>
  <si>
    <t xml:space="preserve">Eleven new dads through the pilot; nine added twenty pounds to their carry test in six weeks</t>
  </si>
  <si>
    <t xml:space="preserve">A result I got</t>
  </si>
  <si>
    <t xml:space="preserve">Trained through my own first year on twenty minute sessions</t>
  </si>
  <si>
    <t xml:space="preserve">A credential</t>
  </si>
  <si>
    <t xml:space="preserve">Certified strength coach, eight years coaching</t>
  </si>
  <si>
    <t xml:space="preserve">A guarantee</t>
  </si>
  <si>
    <t xml:space="preserve">A conditional guarantee on the carry test</t>
  </si>
  <si>
    <t xml:space="preserve">Pieces of proof</t>
  </si>
  <si>
    <t xml:space="preserve">3.4 Time to the first win</t>
  </si>
  <si>
    <t xml:space="preserve">Chapter 6, time delay</t>
  </si>
  <si>
    <t xml:space="preserve">The book's fix for a long wait is a fast win: something real inside days, while the big result takes its time.</t>
  </si>
  <si>
    <t xml:space="preserve">The first thing they will notice</t>
  </si>
  <si>
    <t xml:space="preserve">less back pain lifting the car seat</t>
  </si>
  <si>
    <t xml:space="preserve">Days until they notice it</t>
  </si>
  <si>
    <t xml:space="preserve">Weeks to the full result</t>
  </si>
  <si>
    <t xml:space="preserve">Read</t>
  </si>
  <si>
    <t xml:space="preserve">3.5 What it costs them beyond money</t>
  </si>
  <si>
    <t xml:space="preserve">Chapter 6, effort and sacrifice</t>
  </si>
  <si>
    <t xml:space="preserve">Every hour, habit and thing they must give up, and how the offer takes each one off them.</t>
  </si>
  <si>
    <t xml:space="preserve">What they must do or give up</t>
  </si>
  <si>
    <t xml:space="preserve">How the offer removes or softens it</t>
  </si>
  <si>
    <t xml:space="preserve">Finding an hour to train</t>
  </si>
  <si>
    <t xml:space="preserve">Every session is twenty minutes, three a week</t>
  </si>
  <si>
    <t xml:space="preserve">Getting to a gym</t>
  </si>
  <si>
    <t xml:space="preserve">One kettlebell and a doorway, nothing else</t>
  </si>
  <si>
    <t xml:space="preserve">Planning what to do</t>
  </si>
  <si>
    <t xml:space="preserve">The session card tells them, in order, with a timer</t>
  </si>
  <si>
    <t xml:space="preserve">Eating differently</t>
  </si>
  <si>
    <t xml:space="preserve">One rule a week, never a meal plan</t>
  </si>
  <si>
    <t xml:space="preserve">Sacrifices with a fix</t>
  </si>
  <si>
    <t xml:space="preserve">3.6 Tighten the bottom of the equation</t>
  </si>
  <si>
    <t xml:space="preserve">The book's aim for the bottom is zero: no wait, no work. Each mark moves you toward it.</t>
  </si>
  <si>
    <t xml:space="preserve">The offer promises a first win inside the first week, or says exactly when</t>
  </si>
  <si>
    <t xml:space="preserve">Asks the client to learn nothing they do not already use</t>
  </si>
  <si>
    <t xml:space="preserve">Does the hardest step with them or for them</t>
  </si>
  <si>
    <t xml:space="preserve">Has a fix for every sacrifice on the list</t>
  </si>
  <si>
    <t xml:space="preserve">3.7 Rate the new offer</t>
  </si>
  <si>
    <t xml:space="preserve">Score it again, as it stands after the Offer and Enhancers tabs. Be as hard on it as a stranger would be.</t>
  </si>
  <si>
    <t xml:space="preserve">How much it moved</t>
  </si>
  <si>
    <t xml:space="preserve">The after score as a multiple of the before.</t>
  </si>
  <si>
    <t xml:space="preserve">Offer: problems, solutions, trim and stack</t>
  </si>
  <si>
    <t xml:space="preserve">Section III, chapters 8 to 10. Loosen up, list every problem on the way to the dream outcome, turn each into a solution, brainstorm ways to deliver every solution, sort by value and cost, keep the high value ones, drop the rest, then name and price what is left.</t>
  </si>
  <si>
    <t xml:space="preserve">4.1 Warm up: the brick</t>
  </si>
  <si>
    <t xml:space="preserve">Chapter 8, divergent thinking</t>
  </si>
  <si>
    <t xml:space="preserve">Set a two minute timer and list every use you can think of for a brick. Quantity is the point; no judging.</t>
  </si>
  <si>
    <t xml:space="preserve">A use for a brick</t>
  </si>
  <si>
    <t xml:space="preserve">doorstop</t>
  </si>
  <si>
    <t xml:space="preserve">bookend</t>
  </si>
  <si>
    <t xml:space="preserve">kettlebell stand-in</t>
  </si>
  <si>
    <t xml:space="preserve">step for calf raises</t>
  </si>
  <si>
    <t xml:space="preserve">paperweight</t>
  </si>
  <si>
    <t xml:space="preserve">garden edging</t>
  </si>
  <si>
    <t xml:space="preserve">phone stand</t>
  </si>
  <si>
    <t xml:space="preserve">hot water bottle, warmed</t>
  </si>
  <si>
    <t xml:space="preserve">a weight for a pressed flower</t>
  </si>
  <si>
    <t xml:space="preserve">Uses found</t>
  </si>
  <si>
    <t xml:space="preserve">4.2 The trip from here to there</t>
  </si>
  <si>
    <t xml:space="preserve">Chapter 9</t>
  </si>
  <si>
    <t xml:space="preserve">The steps your client goes through, from today to the dream outcome, in order. Three to eight is typical. Every step is a place something goes wrong.</t>
  </si>
  <si>
    <t xml:space="preserve">Decide to start again</t>
  </si>
  <si>
    <t xml:space="preserve">Find a slot in the day</t>
  </si>
  <si>
    <t xml:space="preserve">Do the first session without hurting the back</t>
  </si>
  <si>
    <t xml:space="preserve">Keep going through a bad week of sleep</t>
  </si>
  <si>
    <t xml:space="preserve">Notice the carry gets easier</t>
  </si>
  <si>
    <t xml:space="preserve">Make it a habit that survives teething</t>
  </si>
  <si>
    <t xml:space="preserve">4.3 Every problem, and its solution</t>
  </si>
  <si>
    <t xml:space="preserve">Chapter 9, steps 2 and 3</t>
  </si>
  <si>
    <t xml:space="preserve">For each step: what goes wrong, what they fear, what takes too long, what is a hassle. Aim past ten. Tag each with the part of the value equation it hurts. Then flip it: how to get the outcome even if, or without, the problem.</t>
  </si>
  <si>
    <t xml:space="preserve">The problem, in their words</t>
  </si>
  <si>
    <t xml:space="preserve">It hurts</t>
  </si>
  <si>
    <t xml:space="preserve">How to ... (the solution)</t>
  </si>
  <si>
    <t xml:space="preserve">I do not have an hour</t>
  </si>
  <si>
    <t xml:space="preserve">Effort or sacrifice</t>
  </si>
  <si>
    <t xml:space="preserve">How to get strong in twenty minutes, three times a week</t>
  </si>
  <si>
    <t xml:space="preserve">I will hurt my back</t>
  </si>
  <si>
    <t xml:space="preserve">Belief it will work</t>
  </si>
  <si>
    <t xml:space="preserve">How to train around a sore back with a movement screen first</t>
  </si>
  <si>
    <t xml:space="preserve">I have no gym and no space</t>
  </si>
  <si>
    <t xml:space="preserve">How to do it with one kettlebell in a doorway</t>
  </si>
  <si>
    <t xml:space="preserve">I will stop when the baby stops sleeping</t>
  </si>
  <si>
    <t xml:space="preserve">How to keep going in a bad week with the five minute fallback</t>
  </si>
  <si>
    <t xml:space="preserve">It will take months before anything changes</t>
  </si>
  <si>
    <t xml:space="preserve">Time</t>
  </si>
  <si>
    <t xml:space="preserve">How to feel the first change in five days with the carry test</t>
  </si>
  <si>
    <t xml:space="preserve">I do not know what to do each day</t>
  </si>
  <si>
    <t xml:space="preserve">How to open the card and go, no planning</t>
  </si>
  <si>
    <t xml:space="preserve">Programs are for people who are already fit</t>
  </si>
  <si>
    <t xml:space="preserve">The dream outcome</t>
  </si>
  <si>
    <t xml:space="preserve">How to start from zero with the first two weeks built for tired people</t>
  </si>
  <si>
    <t xml:space="preserve">I will have nobody to ask when it hurts</t>
  </si>
  <si>
    <t xml:space="preserve">How to get an answer the same day from a coach</t>
  </si>
  <si>
    <t xml:space="preserve">Eating right is impossible right now</t>
  </si>
  <si>
    <t xml:space="preserve">How to eat better with one rule a week</t>
  </si>
  <si>
    <t xml:space="preserve">My partner will resent the time</t>
  </si>
  <si>
    <t xml:space="preserve">How to train with the baby in the room</t>
  </si>
  <si>
    <t xml:space="preserve">Problems listed</t>
  </si>
  <si>
    <t xml:space="preserve">Solutions written</t>
  </si>
  <si>
    <t xml:space="preserve">Problems that hurt the dream outcome</t>
  </si>
  <si>
    <t xml:space="preserve">Problems that hurt belief it will work</t>
  </si>
  <si>
    <t xml:space="preserve">Problems that hurt time</t>
  </si>
  <si>
    <t xml:space="preserve">Problems that hurt effort or sacrifice</t>
  </si>
  <si>
    <t xml:space="preserve">4.4 Ways to deliver each solution</t>
  </si>
  <si>
    <t xml:space="preserve">Chapter 10, steps 4 and 5</t>
  </si>
  <si>
    <t xml:space="preserve">For each solution, pick how it could be delivered, then rate its value to the client and its cost to you. Two more questions from the book: if you charged ten times the price, what would you do? If a tenth, what would you have to do? The verdict is the trim: high value and low cost stays, high value and high cost stays if you can afford it, low value goes.</t>
  </si>
  <si>
    <t xml:space="preserve">The solution it delivers</t>
  </si>
  <si>
    <t xml:space="preserve">Group</t>
  </si>
  <si>
    <t xml:space="preserve">Who does the work</t>
  </si>
  <si>
    <t xml:space="preserve">Medium</t>
  </si>
  <si>
    <t xml:space="preserve">Speed</t>
  </si>
  <si>
    <t xml:space="preserve">Value to them</t>
  </si>
  <si>
    <t xml:space="preserve">Cost to you</t>
  </si>
  <si>
    <t xml:space="preserve">Verdict</t>
  </si>
  <si>
    <t xml:space="preserve">Twenty minute sessions on a card</t>
  </si>
  <si>
    <t xml:space="preserve">One to many</t>
  </si>
  <si>
    <t xml:space="preserve">Do it yourself</t>
  </si>
  <si>
    <t xml:space="preserve">Written</t>
  </si>
  <si>
    <t xml:space="preserve">When scheduled</t>
  </si>
  <si>
    <t xml:space="preserve">High</t>
  </si>
  <si>
    <t xml:space="preserve">Low</t>
  </si>
  <si>
    <t xml:space="preserve">Movement screen for the back</t>
  </si>
  <si>
    <t xml:space="preserve">One to one</t>
  </si>
  <si>
    <t xml:space="preserve">Done with you</t>
  </si>
  <si>
    <t xml:space="preserve">Live</t>
  </si>
  <si>
    <t xml:space="preserve">Within a week</t>
  </si>
  <si>
    <t xml:space="preserve">Same day answers from a coach</t>
  </si>
  <si>
    <t xml:space="preserve">Same day</t>
  </si>
  <si>
    <t xml:space="preserve">Five minute fallback session</t>
  </si>
  <si>
    <t xml:space="preserve">Recorded</t>
  </si>
  <si>
    <t xml:space="preserve">Weekly live group call</t>
  </si>
  <si>
    <t xml:space="preserve">Small group</t>
  </si>
  <si>
    <t xml:space="preserve">Carry test tracker</t>
  </si>
  <si>
    <t xml:space="preserve">A tool or template</t>
  </si>
  <si>
    <t xml:space="preserve">Printed poster of the program</t>
  </si>
  <si>
    <t xml:space="preserve">One rule a week nutrition cards</t>
  </si>
  <si>
    <t xml:space="preserve">Keep</t>
  </si>
  <si>
    <t xml:space="preserve">Keep if affordable</t>
  </si>
  <si>
    <t xml:space="preserve">Cut</t>
  </si>
  <si>
    <t xml:space="preserve">4.5 Name and price every piece</t>
  </si>
  <si>
    <t xml:space="preserve">Chapter 10, the stack</t>
  </si>
  <si>
    <t xml:space="preserve">Give each kept piece a name a client would repeat, say what it solves, and the price it would sell for on its own. Your cost per piece is optional and feeds the margin on the Price tab.</t>
  </si>
  <si>
    <t xml:space="preserve">Name</t>
  </si>
  <si>
    <t xml:space="preserve">What it solves</t>
  </si>
  <si>
    <t xml:space="preserve">Worth on its own</t>
  </si>
  <si>
    <t xml:space="preserve">Your cost to deliver (optional)</t>
  </si>
  <si>
    <t xml:space="preserve">The Six Week Dad Strength Cards</t>
  </si>
  <si>
    <t xml:space="preserve">No time, no plan: twenty minutes, told what to do</t>
  </si>
  <si>
    <t xml:space="preserve">The Back Check</t>
  </si>
  <si>
    <t xml:space="preserve">Fear of getting hurt: a movement screen before day one</t>
  </si>
  <si>
    <t xml:space="preserve">Same Day Coach Line</t>
  </si>
  <si>
    <t xml:space="preserve">Nobody to ask: an answer within the day</t>
  </si>
  <si>
    <t xml:space="preserve">The Five Minute Fallback</t>
  </si>
  <si>
    <t xml:space="preserve">Bad weeks: a session you can always do</t>
  </si>
  <si>
    <t xml:space="preserve">The Carry Test Tracker</t>
  </si>
  <si>
    <t xml:space="preserve">Nothing changing: a number that moves in week one</t>
  </si>
  <si>
    <t xml:space="preserve">Your cost, added up (blank if none entered)</t>
  </si>
  <si>
    <t xml:space="preserve">The stack against the price</t>
  </si>
  <si>
    <t xml:space="preserve">Uses the new price when there is one, else today's. 5x or more is the book's kind of gap.</t>
  </si>
  <si>
    <t xml:space="preserve">4.6 The offer checklist</t>
  </si>
  <si>
    <t xml:space="preserve">Chapters 9 and 10</t>
  </si>
  <si>
    <t xml:space="preserve">The book's conditions for a finished core offer.</t>
  </si>
  <si>
    <t xml:space="preserve">Every problem on the list is solved by a piece of the stack or a bonus</t>
  </si>
  <si>
    <t xml:space="preserve">Nothing low value and high cost survived the trim</t>
  </si>
  <si>
    <t xml:space="preserve">The stack adds up to many times the price</t>
  </si>
  <si>
    <t xml:space="preserve">The hardest thing for the client is done for them or with them</t>
  </si>
  <si>
    <t xml:space="preserve">Each piece has a name a client would repeat</t>
  </si>
  <si>
    <t xml:space="preserve">4.7 Show it to someone</t>
  </si>
  <si>
    <t xml:space="preserve">Section V</t>
  </si>
  <si>
    <t xml:space="preserve">Walk two people who fit the niche through the stack. Not friends who will be kind: people who could buy.</t>
  </si>
  <si>
    <t xml:space="preserve">Who</t>
  </si>
  <si>
    <t xml:space="preserve">What they said</t>
  </si>
  <si>
    <t xml:space="preserve">What you changed</t>
  </si>
  <si>
    <t xml:space="preserve">M., pilot client</t>
  </si>
  <si>
    <t xml:space="preserve">The Back Check is the part I would pay for on its own</t>
  </si>
  <si>
    <t xml:space="preserve">Moved it to the top of the stack</t>
  </si>
  <si>
    <t xml:space="preserve">Enhancers: scarcity, urgency, bonuses, guarantees</t>
  </si>
  <si>
    <t xml:space="preserve">Section IV, chapters 11 to 14. Four things make a good offer irresistible without changing the core. All four must be true.</t>
  </si>
  <si>
    <t xml:space="preserve">5.1 What holds them back</t>
  </si>
  <si>
    <t xml:space="preserve">Chapter 13</t>
  </si>
  <si>
    <t xml:space="preserve">The reasons people give for not buying, in their words. Every bonus answers one; the guarantee answers the biggest.</t>
  </si>
  <si>
    <t xml:space="preserve">What if I hurt my back doing it alone?</t>
  </si>
  <si>
    <t xml:space="preserve">What if the baby stops sleeping and I fall off?</t>
  </si>
  <si>
    <t xml:space="preserve">My partner will think I am being selfish with the time</t>
  </si>
  <si>
    <t xml:space="preserve">I have paid for programs before and never used them</t>
  </si>
  <si>
    <t xml:space="preserve">5.2 Scarcity, honestly</t>
  </si>
  <si>
    <t xml:space="preserve">Chapter 11</t>
  </si>
  <si>
    <t xml:space="preserve">A true limit on how many people can have this. Your hours, your capacity and the cohort size are where real limits come from. A false limit costs more trust than it earns.</t>
  </si>
  <si>
    <t xml:space="preserve">The kind</t>
  </si>
  <si>
    <t xml:space="preserve">A limited number of clients or seats each period</t>
  </si>
  <si>
    <t xml:space="preserve">The number</t>
  </si>
  <si>
    <t xml:space="preserve">Why the limit is real</t>
  </si>
  <si>
    <t xml:space="preserve">Twelve is the most Back Checks and same day answers I can give properly in a month alongside the pilot group.</t>
  </si>
  <si>
    <t xml:space="preserve">Your scarcity, in one line</t>
  </si>
  <si>
    <t xml:space="preserve">5.3 Urgency, honestly</t>
  </si>
  <si>
    <t xml:space="preserve">Chapter 12</t>
  </si>
  <si>
    <t xml:space="preserve">A true reason the decision cannot wait. The date must be one you will hold.</t>
  </si>
  <si>
    <t xml:space="preserve">A cohort with a start date</t>
  </si>
  <si>
    <t xml:space="preserve">The date</t>
  </si>
  <si>
    <t xml:space="preserve">Why the date is real</t>
  </si>
  <si>
    <t xml:space="preserve">The group starts together so the weekly rule and the fallback land on the same days for everyone.</t>
  </si>
  <si>
    <t xml:space="preserve">Days left</t>
  </si>
  <si>
    <t xml:space="preserve">Counted from the day the file is opened.</t>
  </si>
  <si>
    <t xml:space="preserve">Your urgency, in one line</t>
  </si>
  <si>
    <t xml:space="preserve">5.4 Bonuses</t>
  </si>
  <si>
    <t xml:space="preserve">Three or more. Each answers one worry, has a price of its own, and something that proves it. Offer them after the core price. Prefer tools, checklists and templates to more training. A partner's product can be a bonus.</t>
  </si>
  <si>
    <t xml:space="preserve">The worry it answers</t>
  </si>
  <si>
    <t xml:space="preserve">Proof, or the picture it paints</t>
  </si>
  <si>
    <t xml:space="preserve">The Partner Page</t>
  </si>
  <si>
    <t xml:space="preserve">My partner will think I am being selfish</t>
  </si>
  <si>
    <t xml:space="preserve">A one page note that shows the twenty minute slot and what it gives back</t>
  </si>
  <si>
    <t xml:space="preserve">The Bad Week Checklist</t>
  </si>
  <si>
    <t xml:space="preserve">What if the baby stops sleeping</t>
  </si>
  <si>
    <t xml:space="preserve">A checklist</t>
  </si>
  <si>
    <t xml:space="preserve">Nine of eleven pilot dads used it in week three</t>
  </si>
  <si>
    <t xml:space="preserve">The Kit Guide</t>
  </si>
  <si>
    <t xml:space="preserve">I do not know what to buy</t>
  </si>
  <si>
    <t xml:space="preserve">One kettlebell, one door, the exact weight for their carry test</t>
  </si>
  <si>
    <t xml:space="preserve">Pediatric Physio Back Session</t>
  </si>
  <si>
    <t xml:space="preserve">What if I hurt my back</t>
  </si>
  <si>
    <t xml:space="preserve">A partner's product</t>
  </si>
  <si>
    <t xml:space="preserve">A recorded session from a physio who works with new parents</t>
  </si>
  <si>
    <t xml:space="preserve">Bonuses add up to</t>
  </si>
  <si>
    <t xml:space="preserve">Stack and bonuses together</t>
  </si>
  <si>
    <t xml:space="preserve">Against the price</t>
  </si>
  <si>
    <t xml:space="preserve">A tool or checklist among them?</t>
  </si>
  <si>
    <t xml:space="preserve">5.5 The bonus checklist</t>
  </si>
  <si>
    <t xml:space="preserve">The book's own list for bonuses.</t>
  </si>
  <si>
    <t xml:space="preserve">Each bonus has a name of its own</t>
  </si>
  <si>
    <t xml:space="preserve">Each bonus answers one specific worry from the list</t>
  </si>
  <si>
    <t xml:space="preserve">Each has a price and one line saying why it is worth that</t>
  </si>
  <si>
    <t xml:space="preserve">Each has proof, or a picture of life with it</t>
  </si>
  <si>
    <t xml:space="preserve">At least one is a tool, checklist or template rather than more training</t>
  </si>
  <si>
    <t xml:space="preserve">They are offered after the core price is named, not folded into it</t>
  </si>
  <si>
    <t xml:space="preserve">5.6 The guarantee</t>
  </si>
  <si>
    <t xml:space="preserve">Chapter 14</t>
  </si>
  <si>
    <t xml:space="preserve">Unconditional: money back, no questions. Conditional: do these steps and get this result, or this happens. Anti guarantee: all sales final, with the reason said out loud. Implied: you pay when it works. The book stacks two where it can, and frames a conditional one as: if you do X, you get Y, or Z.</t>
  </si>
  <si>
    <t xml:space="preserve">Conditional</t>
  </si>
  <si>
    <t xml:space="preserve">The guarantee, word for word</t>
  </si>
  <si>
    <t xml:space="preserve">Do the three sessions a week for six weeks and log your carry test. If it has not gone up by twenty pounds, I keep coaching you for free until it does.</t>
  </si>
  <si>
    <t xml:space="preserve">What the client must do for it to hold (conditional or stacked)</t>
  </si>
  <si>
    <t xml:space="preserve">does three sessions a week and logs the carry test</t>
  </si>
  <si>
    <t xml:space="preserve">5.7 Enhancers you can stand behind</t>
  </si>
  <si>
    <t xml:space="preserve">Chapters 11 to 14</t>
  </si>
  <si>
    <t xml:space="preserve">Every enhancer works only while it is true.</t>
  </si>
  <si>
    <t xml:space="preserve">The scarcity number is true and I would say it to a friend</t>
  </si>
  <si>
    <t xml:space="preserve">The deadline is real and I will hold it</t>
  </si>
  <si>
    <t xml:space="preserve">I can afford the guarantee if one client in ten claims it</t>
  </si>
  <si>
    <t xml:space="preserve">Every bonus can be delivered without extra hours per client, or its cost is in the price</t>
  </si>
  <si>
    <t xml:space="preserve">5.8 Try the guarantee on a real prospect</t>
  </si>
  <si>
    <t xml:space="preserve">Say it to two real prospects and write down how each one reacted.</t>
  </si>
  <si>
    <t xml:space="preserve">Reaction</t>
  </si>
  <si>
    <t xml:space="preserve">Good reactions</t>
  </si>
  <si>
    <t xml:space="preserve">Name: MAGIC and the launch</t>
  </si>
  <si>
    <t xml:space="preserve">Section IV, chapter 15 and Section V. A name is the wrapper, and a wrapper can be refreshed without touching the offer. MAGIC: a Magnetic reason why, Announce the avatar, Give them a goal, Indicate a time interval, Complete with a container word.</t>
  </si>
  <si>
    <t xml:space="preserve">6.1 What it is called today</t>
  </si>
  <si>
    <t xml:space="preserve">Chapter 15</t>
  </si>
  <si>
    <t xml:space="preserve">No name is a fine answer.</t>
  </si>
  <si>
    <t xml:space="preserve">Today</t>
  </si>
  <si>
    <t xml:space="preserve">It has a name</t>
  </si>
  <si>
    <t xml:space="preserve">The name, if it has one</t>
  </si>
  <si>
    <t xml:space="preserve">Strength Coaching</t>
  </si>
  <si>
    <t xml:space="preserve">6.2 The offer in one line</t>
  </si>
  <si>
    <t xml:space="preserve">Who gets what, by when, without what, or else what. A suggestion is built from the other tabs; write your own version in the box.</t>
  </si>
  <si>
    <t xml:space="preserve">Built from the other tabs</t>
  </si>
  <si>
    <t xml:space="preserve">The offer in one line, in your words</t>
  </si>
  <si>
    <t xml:space="preserve">New fathers in their first year get strong enough to carry the baby, the bags and the stroller up the stairs without thinking about it, in six weeks, twenty minutes at a time, without a gym, or I keep coaching them for free until they do.</t>
  </si>
  <si>
    <t xml:space="preserve">6.3 M A G I C</t>
  </si>
  <si>
    <t xml:space="preserve">Fill the five parts; three names are built from them below.</t>
  </si>
  <si>
    <t xml:space="preserve">Magnetic reason why (a season, an event, a milestone, a group)</t>
  </si>
  <si>
    <t xml:space="preserve">First Year</t>
  </si>
  <si>
    <t xml:space="preserve">Announce the avatar (who it is for, short)</t>
  </si>
  <si>
    <t xml:space="preserve">New Dad</t>
  </si>
  <si>
    <t xml:space="preserve">Give them a goal (the result in a few words)</t>
  </si>
  <si>
    <t xml:space="preserve">Carry Anything</t>
  </si>
  <si>
    <t xml:space="preserve">Indicate a time interval (6 Week, 30 Day)</t>
  </si>
  <si>
    <t xml:space="preserve">6 Week</t>
  </si>
  <si>
    <t xml:space="preserve">Complete with a container word</t>
  </si>
  <si>
    <t xml:space="preserve">Challenge</t>
  </si>
  <si>
    <t xml:space="preserve">Name 1</t>
  </si>
  <si>
    <t xml:space="preserve">Name 2</t>
  </si>
  <si>
    <t xml:space="preserve">Name 3</t>
  </si>
  <si>
    <t xml:space="preserve">6.4 Pick the name</t>
  </si>
  <si>
    <t xml:space="preserve">Choose one of the built names or write your own version. Say it out loud three times.</t>
  </si>
  <si>
    <t xml:space="preserve">The name</t>
  </si>
  <si>
    <t xml:space="preserve">The 6 Week New Dad Carry Anything Challenge</t>
  </si>
  <si>
    <t xml:space="preserve">6.5 Name every piece</t>
  </si>
  <si>
    <t xml:space="preserve">The book names the bonuses and the pieces of the stack the same way as the offer.</t>
  </si>
  <si>
    <t xml:space="preserve">The name says who it is for</t>
  </si>
  <si>
    <t xml:space="preserve">The name says the result</t>
  </si>
  <si>
    <t xml:space="preserve">The name says how long</t>
  </si>
  <si>
    <t xml:space="preserve">It ends in a container word</t>
  </si>
  <si>
    <t xml:space="preserve">Each piece of the stack and each bonus has a name that makes sense on its own</t>
  </si>
  <si>
    <t xml:space="preserve">6.6 Beat offer fatigue</t>
  </si>
  <si>
    <t xml:space="preserve">An offer gets tired in the market long before the core stops working. Plan to change the wrapper on a rhythm and leave the core alone.</t>
  </si>
  <si>
    <t xml:space="preserve">What changes</t>
  </si>
  <si>
    <t xml:space="preserve">When, roughly</t>
  </si>
  <si>
    <t xml:space="preserve">The urgency</t>
  </si>
  <si>
    <t xml:space="preserve">every six weeks with each new group</t>
  </si>
  <si>
    <t xml:space="preserve">A bonus</t>
  </si>
  <si>
    <t xml:space="preserve">swap one bonus each quarter</t>
  </si>
  <si>
    <t xml:space="preserve">after the third group, if sign-ups slow</t>
  </si>
  <si>
    <t xml:space="preserve">6.7 Launch</t>
  </si>
  <si>
    <t xml:space="preserve">The last two are the launch itself.</t>
  </si>
  <si>
    <t xml:space="preserve">The offer sheet (last tab) is complete</t>
  </si>
  <si>
    <t xml:space="preserve">The price on it is the new price, said without a discount</t>
  </si>
  <si>
    <t xml:space="preserve">The guarantee, scarcity and urgency are in the exact words I will use</t>
  </si>
  <si>
    <t xml:space="preserve">It went in front of at least ten people who fit the niche</t>
  </si>
  <si>
    <t xml:space="preserve">I wrote down every answer</t>
  </si>
  <si>
    <t xml:space="preserve">6.8 First results</t>
  </si>
  <si>
    <t xml:space="preserve">The close rate at the new price against the old one, and cash per pitch: fewer, better clients, paying more.</t>
  </si>
  <si>
    <t xml:space="preserve">People offered it</t>
  </si>
  <si>
    <t xml:space="preserve">Said yes</t>
  </si>
  <si>
    <t xml:space="preserve">Cash collected</t>
  </si>
  <si>
    <t xml:space="preserve">Close rate before (from the Price tab)</t>
  </si>
  <si>
    <t xml:space="preserve">Cash for every pitch</t>
  </si>
  <si>
    <t xml:space="preserve">WHO IT IS FOR</t>
  </si>
  <si>
    <t xml:space="preserve">THE DREAM OUTCOME</t>
  </si>
  <si>
    <t xml:space="preserve">WHAT YOU GET</t>
  </si>
  <si>
    <t xml:space="preserve">Worth</t>
  </si>
  <si>
    <t xml:space="preserve">BONUSES</t>
  </si>
  <si>
    <t xml:space="preserve">Bonus</t>
  </si>
  <si>
    <t xml:space="preserve">THE PRICE</t>
  </si>
  <si>
    <t xml:space="preserve">THE GUARANTEE</t>
  </si>
  <si>
    <t xml:space="preserve">WHY NOW, AND WHY NOT EVERYONE</t>
  </si>
  <si>
    <t xml:space="preserve">THE VALUE EQUATION</t>
  </si>
</sst>
</file>

<file path=xl/styles.xml><?xml version="1.0" encoding="utf-8"?>
<styleSheet xmlns="http://schemas.openxmlformats.org/spreadsheetml/2006/main">
  <numFmts count="10">
    <numFmt numFmtId="164" formatCode="General"/>
    <numFmt numFmtId="165" formatCode="0%"/>
    <numFmt numFmtId="166" formatCode="General"/>
    <numFmt numFmtId="167" formatCode="0.0\x"/>
    <numFmt numFmtId="168" formatCode="#,##0"/>
    <numFmt numFmtId="169" formatCode="0.00"/>
    <numFmt numFmtId="170" formatCode="0"/>
    <numFmt numFmtId="171" formatCode="\$#,##0;&quot;($&quot;#,##0\);\-"/>
    <numFmt numFmtId="172" formatCode="\$#,##0"/>
    <numFmt numFmtId="173" formatCode="mmm\ d&quot;, &quot;yyyy"/>
  </numFmts>
  <fonts count="21">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1"/>
      <color rgb="FF6B7280"/>
      <name val="Arial"/>
      <family val="0"/>
      <charset val="1"/>
    </font>
    <font>
      <b val="true"/>
      <sz val="13"/>
      <color rgb="FF1F3864"/>
      <name val="Arial"/>
      <family val="0"/>
      <charset val="1"/>
    </font>
    <font>
      <sz val="10"/>
      <color rgb="FF0000FF"/>
      <name val="Arial"/>
      <family val="0"/>
      <charset val="1"/>
    </font>
    <font>
      <sz val="10"/>
      <color rgb="FF222222"/>
      <name val="Arial"/>
      <family val="0"/>
      <charset val="1"/>
    </font>
    <font>
      <b val="true"/>
      <sz val="10"/>
      <color rgb="FF222222"/>
      <name val="Arial"/>
      <family val="0"/>
      <charset val="1"/>
    </font>
    <font>
      <b val="true"/>
      <sz val="11"/>
      <color rgb="FFFFFFFF"/>
      <name val="Arial"/>
      <family val="0"/>
      <charset val="1"/>
    </font>
    <font>
      <u val="single"/>
      <sz val="10"/>
      <color rgb="FF1F3864"/>
      <name val="Arial"/>
      <family val="0"/>
      <charset val="1"/>
    </font>
    <font>
      <sz val="10"/>
      <color rgb="FF008000"/>
      <name val="Arial"/>
      <family val="0"/>
      <charset val="1"/>
    </font>
    <font>
      <b val="true"/>
      <sz val="14"/>
      <color rgb="FF1F3864"/>
      <name val="Arial"/>
      <family val="0"/>
      <charset val="1"/>
    </font>
    <font>
      <i val="true"/>
      <sz val="9"/>
      <color rgb="FF6B728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22"/>
      <color rgb="FF1F3864"/>
      <name val="Arial"/>
      <family val="0"/>
      <charset val="1"/>
    </font>
    <font>
      <sz val="12"/>
      <color rgb="FF222222"/>
      <name val="Arial"/>
      <family val="0"/>
      <charset val="1"/>
    </font>
    <font>
      <b val="true"/>
      <sz val="9"/>
      <color rgb="FF6B7280"/>
      <name val="Arial"/>
      <family val="0"/>
      <charset val="1"/>
    </font>
  </fonts>
  <fills count="6">
    <fill>
      <patternFill patternType="none"/>
    </fill>
    <fill>
      <patternFill patternType="gray125"/>
    </fill>
    <fill>
      <patternFill patternType="solid">
        <fgColor rgb="FFFFF9C4"/>
        <bgColor rgb="FFFEF3C7"/>
      </patternFill>
    </fill>
    <fill>
      <patternFill patternType="solid">
        <fgColor rgb="FFF3F4F6"/>
        <bgColor rgb="FFF9F9F9"/>
      </patternFill>
    </fill>
    <fill>
      <patternFill patternType="solid">
        <fgColor rgb="FFDCFCE7"/>
        <bgColor rgb="FFF3F4F6"/>
      </patternFill>
    </fill>
    <fill>
      <patternFill patternType="solid">
        <fgColor rgb="FF1F3864"/>
        <bgColor rgb="FF333399"/>
      </patternFill>
    </fill>
  </fills>
  <borders count="3">
    <border diagonalUp="false" diagonalDown="false">
      <left/>
      <right/>
      <top/>
      <bottom/>
      <diagonal/>
    </border>
    <border diagonalUp="false" diagonalDown="false">
      <left style="thin">
        <color rgb="FFD9DEE7"/>
      </left>
      <right style="thin">
        <color rgb="FFD9DEE7"/>
      </right>
      <top style="thin">
        <color rgb="FFD9DEE7"/>
      </top>
      <bottom style="thin">
        <color rgb="FFD9DEE7"/>
      </bottom>
      <diagonal/>
    </border>
    <border diagonalUp="false" diagonalDown="false">
      <left/>
      <right/>
      <top style="thin">
        <color rgb="FFD9DEE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right" vertical="bottom" textRotation="0" wrapText="false" indent="0" shrinkToFit="false"/>
      <protection locked="true" hidden="false"/>
    </xf>
    <xf numFmtId="167" fontId="12" fillId="0" borderId="1"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8" fontId="12" fillId="0" borderId="1" xfId="0" applyFont="true" applyBorder="true" applyAlignment="true" applyProtection="false">
      <alignment horizontal="right" vertical="bottom" textRotation="0" wrapText="false" indent="0" shrinkToFit="false"/>
      <protection locked="true" hidden="false"/>
    </xf>
    <xf numFmtId="169" fontId="12"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70" fontId="12" fillId="0" borderId="1" xfId="0" applyFont="true" applyBorder="true" applyAlignment="true" applyProtection="false">
      <alignment horizontal="right" vertical="bottom" textRotation="0" wrapText="false" indent="0" shrinkToFit="false"/>
      <protection locked="true" hidden="false"/>
    </xf>
    <xf numFmtId="171" fontId="12" fillId="0" borderId="1" xfId="0" applyFont="true" applyBorder="true" applyAlignment="true" applyProtection="false">
      <alignment horizontal="right"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center" textRotation="0" wrapText="false" indent="0" shrinkToFit="false"/>
      <protection locked="true" hidden="false"/>
    </xf>
    <xf numFmtId="165" fontId="13" fillId="0" borderId="0" xfId="0" applyFont="true" applyBorder="false" applyAlignment="true" applyProtection="false">
      <alignment horizontal="right"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9" fillId="3"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right" vertical="top"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71" fontId="7" fillId="2"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8" fontId="7" fillId="2"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true" applyProtection="false">
      <alignment horizontal="general" vertical="top" textRotation="0" wrapText="true" indent="0" shrinkToFit="false"/>
      <protection locked="true" hidden="false"/>
    </xf>
    <xf numFmtId="171" fontId="9" fillId="3" borderId="1" xfId="0" applyFont="true" applyBorder="true" applyAlignment="true" applyProtection="false">
      <alignment horizontal="general" vertical="top" textRotation="0" wrapText="true" indent="0" shrinkToFit="false"/>
      <protection locked="true" hidden="false"/>
    </xf>
    <xf numFmtId="165" fontId="7" fillId="2" borderId="1" xfId="0" applyFont="true" applyBorder="true" applyAlignment="true" applyProtection="false">
      <alignment horizontal="general" vertical="top" textRotation="0" wrapText="true" indent="0" shrinkToFit="false"/>
      <protection locked="true" hidden="false"/>
    </xf>
    <xf numFmtId="167" fontId="9" fillId="3" borderId="1" xfId="0" applyFont="true" applyBorder="true" applyAlignment="true" applyProtection="false">
      <alignment horizontal="general" vertical="top" textRotation="0" wrapText="true" indent="0" shrinkToFit="false"/>
      <protection locked="true" hidden="false"/>
    </xf>
    <xf numFmtId="168" fontId="9" fillId="3" borderId="1" xfId="0" applyFont="true" applyBorder="true" applyAlignment="true" applyProtection="false">
      <alignment horizontal="general" vertical="top" textRotation="0" wrapText="tru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71" fontId="9" fillId="3" borderId="1" xfId="0" applyFont="true" applyBorder="true" applyAlignment="false" applyProtection="false">
      <alignment horizontal="general" vertical="bottom" textRotation="0" wrapText="false" indent="0" shrinkToFit="false"/>
      <protection locked="true" hidden="false"/>
    </xf>
    <xf numFmtId="173" fontId="7" fillId="2" borderId="1" xfId="0" applyFont="true" applyBorder="true" applyAlignment="true" applyProtection="false">
      <alignment horizontal="general" vertical="top" textRotation="0" wrapText="true" indent="0" shrinkToFit="false"/>
      <protection locked="true" hidden="false"/>
    </xf>
    <xf numFmtId="170" fontId="9" fillId="3" borderId="1"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71" fontId="8" fillId="0" borderId="0" xfId="0" applyFont="true" applyBorder="true" applyAlignment="true" applyProtection="false">
      <alignment horizontal="right" vertical="bottom" textRotation="0" wrapText="false" indent="0" shrinkToFit="false"/>
      <protection locked="true" hidden="false"/>
    </xf>
    <xf numFmtId="171" fontId="9" fillId="0" borderId="0" xfId="0" applyFont="true" applyBorder="true" applyAlignment="true" applyProtection="false">
      <alignment horizontal="right" vertical="bottom" textRotation="0" wrapText="false" indent="0" shrinkToFit="false"/>
      <protection locked="true" hidden="false"/>
    </xf>
    <xf numFmtId="171" fontId="8" fillId="0" borderId="0" xfId="0" applyFont="true" applyBorder="false" applyAlignment="true" applyProtection="false">
      <alignment horizontal="right" vertical="bottom" textRotation="0" wrapText="false" indent="0" shrinkToFit="false"/>
      <protection locked="true" hidden="false"/>
    </xf>
    <xf numFmtId="171" fontId="9" fillId="0" borderId="0" xfId="0" applyFont="true" applyBorder="false" applyAlignment="true" applyProtection="false">
      <alignment horizontal="right"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DCFCE7"/>
        </patternFill>
      </fill>
    </dxf>
    <dxf>
      <font>
        <name val="Arial"/>
        <charset val="1"/>
        <family val="0"/>
        <b val="1"/>
        <color rgb="FF166534"/>
      </font>
      <fill>
        <patternFill>
          <bgColor rgb="FFDCFCE7"/>
        </patternFill>
      </fill>
    </dxf>
    <dxf>
      <fill>
        <patternFill>
          <bgColor rgb="FFFEF3C7"/>
        </patternFill>
      </fill>
    </dxf>
    <dxf>
      <fill>
        <patternFill>
          <bgColor rgb="FF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6534"/>
      <rgbColor rgb="FFD9D9D9"/>
      <rgbColor rgb="FF878787"/>
      <rgbColor rgb="FF9999FF"/>
      <rgbColor rgb="FF993366"/>
      <rgbColor rgb="FFFFF9C4"/>
      <rgbColor rgb="FFDCFCE7"/>
      <rgbColor rgb="FF660066"/>
      <rgbColor rgb="FFFF8080"/>
      <rgbColor rgb="FF0066CC"/>
      <rgbColor rgb="FFD9DEE7"/>
      <rgbColor rgb="FF000080"/>
      <rgbColor rgb="FFFF00FF"/>
      <rgbColor rgb="FFFFFF00"/>
      <rgbColor rgb="FF00FFFF"/>
      <rgbColor rgb="FF800080"/>
      <rgbColor rgb="FF800000"/>
      <rgbColor rgb="FF008080"/>
      <rgbColor rgb="FF0000FF"/>
      <rgbColor rgb="FF00CCFF"/>
      <rgbColor rgb="FFF3F4F6"/>
      <rgbColor rgb="FFF9F9F9"/>
      <rgbColor rgb="FFFEF3C7"/>
      <rgbColor rgb="FF99CCFF"/>
      <rgbColor rgb="FFFF99CC"/>
      <rgbColor rgb="FFCC99FF"/>
      <rgbColor rgb="FFFEE2E2"/>
      <rgbColor rgb="FF3987E5"/>
      <rgbColor rgb="FF33CCCC"/>
      <rgbColor rgb="FF99CC00"/>
      <rgbColor rgb="FFFFCC00"/>
      <rgbColor rgb="FFFF9900"/>
      <rgbColor rgb="FFFF6600"/>
      <rgbColor rgb="FF6B7280"/>
      <rgbColor rgb="FF9CA3AF"/>
      <rgbColor rgb="FF1F3864"/>
      <rgbColor rgb="FF199E7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four signs of a starving crowd</a:t>
            </a:r>
          </a:p>
        </c:rich>
      </c:tx>
      <c:overlay val="0"/>
      <c:spPr>
        <a:noFill/>
        <a:ln w="0">
          <a:noFill/>
        </a:ln>
      </c:spPr>
    </c:title>
    <c:autoTitleDeleted val="0"/>
    <c:plotArea>
      <c:barChart>
        <c:barDir val="bar"/>
        <c:grouping val="clustered"/>
        <c:varyColors val="0"/>
        <c:ser>
          <c:idx val="0"/>
          <c:order val="0"/>
          <c:tx>
            <c:strRef>
              <c:f>Dashboard!C29</c:f>
              <c:strCache>
                <c:ptCount val="1"/>
                <c:pt idx="0">
                  <c:v>Score of 5</c:v>
                </c:pt>
              </c:strCache>
            </c:strRef>
          </c:tx>
          <c:spPr>
            <a:solidFill>
              <a:srgbClr val="3987e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Dashboard!$B$30:$B$33</c:f>
              <c:strCache>
                <c:ptCount val="4"/>
                <c:pt idx="0">
                  <c:v>Massive pain</c:v>
                </c:pt>
                <c:pt idx="1">
                  <c:v>Purchasing power</c:v>
                </c:pt>
                <c:pt idx="2">
                  <c:v>Easy to target</c:v>
                </c:pt>
                <c:pt idx="3">
                  <c:v>Growing</c:v>
                </c:pt>
              </c:strCache>
            </c:strRef>
          </c:cat>
          <c:val>
            <c:numRef>
              <c:f>Dashboard!$C$30:$C$33</c:f>
              <c:numCache>
                <c:formatCode>General</c:formatCode>
                <c:ptCount val="4"/>
                <c:pt idx="0">
                  <c:v>4</c:v>
                </c:pt>
                <c:pt idx="1">
                  <c:v>4</c:v>
                </c:pt>
                <c:pt idx="2">
                  <c:v>3</c:v>
                </c:pt>
                <c:pt idx="3">
                  <c:v>4</c:v>
                </c:pt>
              </c:numCache>
            </c:numRef>
          </c:val>
        </c:ser>
        <c:gapWidth val="150"/>
        <c:overlap val="0"/>
        <c:axId val="69705312"/>
        <c:axId val="42898238"/>
      </c:barChart>
      <c:catAx>
        <c:axId val="697053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898238"/>
        <c:crosses val="autoZero"/>
        <c:auto val="1"/>
        <c:lblAlgn val="ctr"/>
        <c:lblOffset val="100"/>
        <c:noMultiLvlLbl val="0"/>
      </c:catAx>
      <c:valAx>
        <c:axId val="42898238"/>
        <c:scaling>
          <c:orientation val="minMax"/>
          <c:max val="5"/>
          <c:min val="0"/>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Score of 5</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70531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The value equation, before and after</a:t>
            </a:r>
          </a:p>
        </c:rich>
      </c:tx>
      <c:overlay val="0"/>
      <c:spPr>
        <a:noFill/>
        <a:ln w="0">
          <a:noFill/>
        </a:ln>
      </c:spPr>
    </c:title>
    <c:autoTitleDeleted val="0"/>
    <c:plotArea>
      <c:barChart>
        <c:barDir val="bar"/>
        <c:grouping val="clustered"/>
        <c:varyColors val="0"/>
        <c:ser>
          <c:idx val="0"/>
          <c:order val="0"/>
          <c:tx>
            <c:strRef>
              <c:f>Dashboard!C35</c:f>
              <c:strCache>
                <c:ptCount val="1"/>
                <c:pt idx="0">
                  <c:v>Before</c:v>
                </c:pt>
              </c:strCache>
            </c:strRef>
          </c:tx>
          <c:spPr>
            <a:solidFill>
              <a:srgbClr val="9ca3af"/>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Dashboard!$B$36:$B$39</c:f>
              <c:strCache>
                <c:ptCount val="4"/>
                <c:pt idx="0">
                  <c:v>Dream outcome</c:v>
                </c:pt>
                <c:pt idx="1">
                  <c:v>Likelihood</c:v>
                </c:pt>
                <c:pt idx="2">
                  <c:v>Time delay</c:v>
                </c:pt>
                <c:pt idx="3">
                  <c:v>Effort</c:v>
                </c:pt>
              </c:strCache>
            </c:strRef>
          </c:cat>
          <c:val>
            <c:numRef>
              <c:f>Dashboard!$C$36:$C$39</c:f>
              <c:numCache>
                <c:formatCode>General</c:formatCode>
                <c:ptCount val="4"/>
                <c:pt idx="0">
                  <c:v>6</c:v>
                </c:pt>
                <c:pt idx="1">
                  <c:v>4</c:v>
                </c:pt>
                <c:pt idx="2">
                  <c:v>6</c:v>
                </c:pt>
                <c:pt idx="3">
                  <c:v>7</c:v>
                </c:pt>
              </c:numCache>
            </c:numRef>
          </c:val>
        </c:ser>
        <c:ser>
          <c:idx val="1"/>
          <c:order val="1"/>
          <c:tx>
            <c:strRef>
              <c:f>Dashboard!D35</c:f>
              <c:strCache>
                <c:ptCount val="1"/>
                <c:pt idx="0">
                  <c:v>After</c:v>
                </c:pt>
              </c:strCache>
            </c:strRef>
          </c:tx>
          <c:spPr>
            <a:solidFill>
              <a:srgbClr val="3987e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Dashboard!$B$36:$B$39</c:f>
              <c:strCache>
                <c:ptCount val="4"/>
                <c:pt idx="0">
                  <c:v>Dream outcome</c:v>
                </c:pt>
                <c:pt idx="1">
                  <c:v>Likelihood</c:v>
                </c:pt>
                <c:pt idx="2">
                  <c:v>Time delay</c:v>
                </c:pt>
                <c:pt idx="3">
                  <c:v>Effort</c:v>
                </c:pt>
              </c:strCache>
            </c:strRef>
          </c:cat>
          <c:val>
            <c:numRef>
              <c:f>Dashboard!$D$36:$D$39</c:f>
              <c:numCache>
                <c:formatCode>General</c:formatCode>
                <c:ptCount val="4"/>
                <c:pt idx="0">
                  <c:v>8</c:v>
                </c:pt>
                <c:pt idx="1">
                  <c:v>8</c:v>
                </c:pt>
                <c:pt idx="2">
                  <c:v>3</c:v>
                </c:pt>
                <c:pt idx="3">
                  <c:v>3</c:v>
                </c:pt>
              </c:numCache>
            </c:numRef>
          </c:val>
        </c:ser>
        <c:gapWidth val="150"/>
        <c:overlap val="0"/>
        <c:axId val="85572464"/>
        <c:axId val="13894169"/>
      </c:barChart>
      <c:catAx>
        <c:axId val="855724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894169"/>
        <c:crosses val="autoZero"/>
        <c:auto val="1"/>
        <c:lblAlgn val="ctr"/>
        <c:lblOffset val="100"/>
        <c:noMultiLvlLbl val="0"/>
      </c:catAx>
      <c:valAx>
        <c:axId val="13894169"/>
        <c:scaling>
          <c:orientation val="minMax"/>
          <c:max val="10"/>
          <c:min val="0"/>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724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Clients needed a year, at each price</a:t>
            </a:r>
          </a:p>
        </c:rich>
      </c:tx>
      <c:overlay val="0"/>
      <c:spPr>
        <a:noFill/>
        <a:ln w="0">
          <a:noFill/>
        </a:ln>
      </c:spPr>
    </c:title>
    <c:autoTitleDeleted val="0"/>
    <c:plotArea>
      <c:lineChart>
        <c:grouping val="standard"/>
        <c:varyColors val="0"/>
        <c:ser>
          <c:idx val="0"/>
          <c:order val="0"/>
          <c:tx>
            <c:strRef>
              <c:f>Dashboard!C41</c:f>
              <c:strCache>
                <c:ptCount val="1"/>
                <c:pt idx="0">
                  <c:v>Clients a year</c:v>
                </c:pt>
              </c:strCache>
            </c:strRef>
          </c:tx>
          <c:spPr>
            <a:solidFill>
              <a:srgbClr val="3987e5"/>
            </a:solidFill>
            <a:ln w="28080">
              <a:solidFill>
                <a:srgbClr val="3987e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Dashboard!$B$42:$B$49</c:f>
              <c:strCache>
                <c:ptCount val="8"/>
                <c:pt idx="0">
                  <c:v>$50</c:v>
                </c:pt>
                <c:pt idx="1">
                  <c:v>$74</c:v>
                </c:pt>
                <c:pt idx="2">
                  <c:v>$99</c:v>
                </c:pt>
                <c:pt idx="3">
                  <c:v>$124</c:v>
                </c:pt>
                <c:pt idx="4">
                  <c:v>$149</c:v>
                </c:pt>
                <c:pt idx="5">
                  <c:v>$198</c:v>
                </c:pt>
                <c:pt idx="6">
                  <c:v>$248</c:v>
                </c:pt>
                <c:pt idx="7">
                  <c:v>$297</c:v>
                </c:pt>
              </c:strCache>
            </c:strRef>
          </c:cat>
          <c:val>
            <c:numRef>
              <c:f>Dashboard!$C$42:$C$49</c:f>
              <c:numCache>
                <c:formatCode>#,##0</c:formatCode>
                <c:ptCount val="8"/>
                <c:pt idx="0">
                  <c:v>203</c:v>
                </c:pt>
                <c:pt idx="1">
                  <c:v>135</c:v>
                </c:pt>
                <c:pt idx="2">
                  <c:v>102</c:v>
                </c:pt>
                <c:pt idx="3">
                  <c:v>81</c:v>
                </c:pt>
                <c:pt idx="4">
                  <c:v>68</c:v>
                </c:pt>
                <c:pt idx="5">
                  <c:v>51</c:v>
                </c:pt>
                <c:pt idx="6">
                  <c:v>41</c:v>
                </c:pt>
                <c:pt idx="7">
                  <c:v>34</c:v>
                </c:pt>
              </c:numCache>
            </c:numRef>
          </c:val>
          <c:smooth val="0"/>
        </c:ser>
        <c:hiLowLines>
          <c:spPr>
            <a:ln w="0">
              <a:noFill/>
            </a:ln>
          </c:spPr>
        </c:hiLowLines>
        <c:marker val="0"/>
        <c:axId val="81755166"/>
        <c:axId val="15707962"/>
      </c:lineChart>
      <c:catAx>
        <c:axId val="8175516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Price</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707962"/>
        <c:crosses val="autoZero"/>
        <c:auto val="1"/>
        <c:lblAlgn val="ctr"/>
        <c:lblOffset val="100"/>
        <c:noMultiLvlLbl val="0"/>
      </c:catAx>
      <c:valAx>
        <c:axId val="157079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Clients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7551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it adds up to, against the price</a:t>
            </a:r>
          </a:p>
        </c:rich>
      </c:tx>
      <c:overlay val="0"/>
      <c:spPr>
        <a:noFill/>
        <a:ln w="0">
          <a:noFill/>
        </a:ln>
      </c:spPr>
    </c:title>
    <c:autoTitleDeleted val="0"/>
    <c:plotArea>
      <c:barChart>
        <c:barDir val="bar"/>
        <c:grouping val="clustered"/>
        <c:varyColors val="0"/>
        <c:ser>
          <c:idx val="0"/>
          <c:order val="0"/>
          <c:tx>
            <c:strRef>
              <c:f>Dashboard!C51</c:f>
              <c:strCache>
                <c:ptCount val="1"/>
                <c:pt idx="0">
                  <c:v>Amount</c:v>
                </c:pt>
              </c:strCache>
            </c:strRef>
          </c:tx>
          <c:spPr>
            <a:solidFill>
              <a:srgbClr val="199e70"/>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Dashboard!$B$52:$B$55</c:f>
              <c:strCache>
                <c:ptCount val="4"/>
                <c:pt idx="0">
                  <c:v>The stack</c:v>
                </c:pt>
                <c:pt idx="1">
                  <c:v>The bonuses</c:v>
                </c:pt>
                <c:pt idx="2">
                  <c:v>Your price</c:v>
                </c:pt>
                <c:pt idx="3">
                  <c:v>Worth to them, a year</c:v>
                </c:pt>
              </c:strCache>
            </c:strRef>
          </c:cat>
          <c:val>
            <c:numRef>
              <c:f>Dashboard!$C$52:$C$55</c:f>
              <c:numCache>
                <c:formatCode>\$#,##0;"($"#,##0\);\-</c:formatCode>
                <c:ptCount val="4"/>
                <c:pt idx="0">
                  <c:v>732</c:v>
                </c:pt>
                <c:pt idx="1">
                  <c:v>153</c:v>
                </c:pt>
                <c:pt idx="2">
                  <c:v>297</c:v>
                </c:pt>
                <c:pt idx="3">
                  <c:v>4800</c:v>
                </c:pt>
              </c:numCache>
            </c:numRef>
          </c:val>
        </c:ser>
        <c:gapWidth val="150"/>
        <c:overlap val="0"/>
        <c:axId val="97366958"/>
        <c:axId val="11010840"/>
      </c:barChart>
      <c:catAx>
        <c:axId val="973669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010840"/>
        <c:crosses val="autoZero"/>
        <c:auto val="1"/>
        <c:lblAlgn val="ctr"/>
        <c:lblOffset val="100"/>
        <c:noMultiLvlLbl val="0"/>
      </c:catAx>
      <c:valAx>
        <c:axId val="11010840"/>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3669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27</xdr:row>
      <xdr:rowOff>41040</xdr:rowOff>
    </xdr:from>
    <xdr:to>
      <xdr:col>7</xdr:col>
      <xdr:colOff>416880</xdr:colOff>
      <xdr:row>40</xdr:row>
      <xdr:rowOff>69840</xdr:rowOff>
    </xdr:to>
    <xdr:graphicFrame>
      <xdr:nvGraphicFramePr>
        <xdr:cNvPr id="0" name="Chart 1"/>
        <xdr:cNvGraphicFramePr/>
      </xdr:nvGraphicFramePr>
      <xdr:xfrm>
        <a:off x="5600880" y="5676840"/>
        <a:ext cx="503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42</xdr:row>
      <xdr:rowOff>26640</xdr:rowOff>
    </xdr:from>
    <xdr:to>
      <xdr:col>7</xdr:col>
      <xdr:colOff>416880</xdr:colOff>
      <xdr:row>55</xdr:row>
      <xdr:rowOff>69840</xdr:rowOff>
    </xdr:to>
    <xdr:graphicFrame>
      <xdr:nvGraphicFramePr>
        <xdr:cNvPr id="1" name="Chart 2"/>
        <xdr:cNvGraphicFramePr/>
      </xdr:nvGraphicFramePr>
      <xdr:xfrm>
        <a:off x="5600880" y="8534520"/>
        <a:ext cx="5039640" cy="25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51</xdr:row>
      <xdr:rowOff>26640</xdr:rowOff>
    </xdr:from>
    <xdr:to>
      <xdr:col>7</xdr:col>
      <xdr:colOff>416880</xdr:colOff>
      <xdr:row>64</xdr:row>
      <xdr:rowOff>69840</xdr:rowOff>
    </xdr:to>
    <xdr:graphicFrame>
      <xdr:nvGraphicFramePr>
        <xdr:cNvPr id="2" name="Chart 3"/>
        <xdr:cNvGraphicFramePr/>
      </xdr:nvGraphicFramePr>
      <xdr:xfrm>
        <a:off x="5600880" y="10248840"/>
        <a:ext cx="5039640" cy="251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0</xdr:colOff>
      <xdr:row>64</xdr:row>
      <xdr:rowOff>26640</xdr:rowOff>
    </xdr:from>
    <xdr:to>
      <xdr:col>7</xdr:col>
      <xdr:colOff>416880</xdr:colOff>
      <xdr:row>77</xdr:row>
      <xdr:rowOff>69840</xdr:rowOff>
    </xdr:to>
    <xdr:graphicFrame>
      <xdr:nvGraphicFramePr>
        <xdr:cNvPr id="3" name="Chart 4"/>
        <xdr:cNvGraphicFramePr/>
      </xdr:nvGraphicFramePr>
      <xdr:xfrm>
        <a:off x="5600880" y="12725280"/>
        <a:ext cx="5039640" cy="251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Offer%20Builder%20(example).xlsx" TargetMode="External"/><Relationship Id="rId2" Type="http://schemas.openxmlformats.org/officeDocument/2006/relationships/hyperlink" Target="Offer%20Builder%20(example).xlsx" TargetMode="External"/><Relationship Id="rId3" Type="http://schemas.openxmlformats.org/officeDocument/2006/relationships/hyperlink" Target="Offer%20Builder%20(example).xlsx" TargetMode="External"/><Relationship Id="rId4" Type="http://schemas.openxmlformats.org/officeDocument/2006/relationships/hyperlink" Target="Offer%20Builder%20(example).xlsx" TargetMode="External"/><Relationship Id="rId5" Type="http://schemas.openxmlformats.org/officeDocument/2006/relationships/hyperlink" Target="Offer%20Builder%20(example).xlsx" TargetMode="External"/><Relationship Id="rId6" Type="http://schemas.openxmlformats.org/officeDocument/2006/relationships/hyperlink" Target="Offer%20Builder%20(example).xlsx" TargetMode="External"/><Relationship Id="rId7"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8"/>
    <col collapsed="false" customWidth="true" hidden="false" outlineLevel="0" max="4" min="4" style="0" width="12"/>
    <col collapsed="false" customWidth="true" hidden="false" outlineLevel="0" max="5" min="5" style="0" width="30"/>
    <col collapsed="false" customWidth="true" hidden="false" outlineLevel="0" max="6" min="6" style="0" width="18"/>
    <col collapsed="false" customWidth="true" hidden="false" outlineLevel="0" max="7" min="7" style="0" width="4"/>
    <col collapsed="false" customWidth="true" hidden="false" outlineLevel="0" max="8" min="8" style="0" width="30"/>
    <col collapsed="false" customWidth="true" hidden="false" outlineLevel="0" max="9" min="9" style="0" width="18"/>
  </cols>
  <sheetData>
    <row r="1" customFormat="false" ht="24.45" hidden="false" customHeight="false" outlineLevel="0" collapsed="false">
      <c r="B1" s="1" t="s">
        <v>0</v>
      </c>
    </row>
    <row r="2" customFormat="false" ht="42" hidden="false" customHeight="true" outlineLevel="0" collapsed="false">
      <c r="B2" s="2" t="s">
        <v>1</v>
      </c>
      <c r="C2" s="2"/>
      <c r="D2" s="2"/>
      <c r="E2" s="2"/>
      <c r="F2" s="2"/>
      <c r="G2" s="2"/>
      <c r="H2" s="2"/>
      <c r="I2" s="2"/>
    </row>
    <row r="4" customFormat="false" ht="16.15" hidden="false" customHeight="false" outlineLevel="0" collapsed="false">
      <c r="B4" s="3" t="s">
        <v>2</v>
      </c>
    </row>
    <row r="5" customFormat="false" ht="15" hidden="false" customHeight="false" outlineLevel="0" collapsed="false">
      <c r="B5" s="4" t="s">
        <v>3</v>
      </c>
      <c r="C5" s="5" t="s">
        <v>4</v>
      </c>
      <c r="D5" s="5"/>
      <c r="E5" s="5"/>
      <c r="F5" s="5"/>
      <c r="G5" s="5"/>
      <c r="H5" s="5"/>
      <c r="I5" s="5"/>
    </row>
    <row r="6" customFormat="false" ht="15" hidden="false" customHeight="false" outlineLevel="0" collapsed="false">
      <c r="B6" s="6" t="s">
        <v>3</v>
      </c>
      <c r="C6" s="5" t="s">
        <v>5</v>
      </c>
      <c r="D6" s="5"/>
      <c r="E6" s="5"/>
      <c r="F6" s="5"/>
      <c r="G6" s="5"/>
      <c r="H6" s="5"/>
      <c r="I6" s="5"/>
    </row>
    <row r="7" customFormat="false" ht="15" hidden="false" customHeight="false" outlineLevel="0" collapsed="false">
      <c r="B7" s="7" t="s">
        <v>3</v>
      </c>
      <c r="C7" s="5" t="s">
        <v>6</v>
      </c>
      <c r="D7" s="5"/>
      <c r="E7" s="5"/>
      <c r="F7" s="5"/>
      <c r="G7" s="5"/>
      <c r="H7" s="5"/>
      <c r="I7" s="5"/>
    </row>
    <row r="8" customFormat="false" ht="15" hidden="false" customHeight="false" outlineLevel="0" collapsed="false">
      <c r="B8" s="5" t="s">
        <v>7</v>
      </c>
      <c r="C8" s="5"/>
      <c r="D8" s="5"/>
      <c r="E8" s="5"/>
      <c r="F8" s="5"/>
      <c r="G8" s="5"/>
      <c r="H8" s="5"/>
      <c r="I8" s="5"/>
    </row>
    <row r="10" customFormat="false" ht="16.15" hidden="false" customHeight="false" outlineLevel="0" collapsed="false">
      <c r="B10" s="3" t="s">
        <v>8</v>
      </c>
    </row>
    <row r="11" customFormat="false" ht="15" hidden="false" customHeight="false" outlineLevel="0" collapsed="false">
      <c r="B11" s="8" t="s">
        <v>9</v>
      </c>
      <c r="C11" s="8" t="s">
        <v>10</v>
      </c>
      <c r="E11" s="8" t="s">
        <v>11</v>
      </c>
      <c r="F11" s="8" t="s">
        <v>12</v>
      </c>
    </row>
    <row r="12" customFormat="false" ht="15" hidden="false" customHeight="false" outlineLevel="0" collapsed="false">
      <c r="B12" s="9" t="s">
        <v>13</v>
      </c>
      <c r="C12" s="10" t="n">
        <f aca="false">Progress_Crowd</f>
        <v>1</v>
      </c>
      <c r="E12" s="11" t="s">
        <v>14</v>
      </c>
      <c r="F12" s="12" t="n">
        <f aca="false">IF(MarketScore="","not yet",MarketScore)</f>
        <v>15</v>
      </c>
      <c r="H12" s="13" t="s">
        <v>15</v>
      </c>
      <c r="I12" s="13"/>
    </row>
    <row r="13" customFormat="false" ht="15" hidden="false" customHeight="false" outlineLevel="0" collapsed="false">
      <c r="B13" s="9" t="s">
        <v>16</v>
      </c>
      <c r="C13" s="10" t="n">
        <f aca="false">Progress_Price</f>
        <v>1</v>
      </c>
      <c r="E13" s="11" t="s">
        <v>17</v>
      </c>
      <c r="F13" s="12" t="str">
        <f aca="false">IF(WeakestSign="","not yet",WeakestSign)</f>
        <v>Easy to target</v>
      </c>
      <c r="H13" s="14" t="str">
        <f aca="false">IF(NameChosen="","Unnamed, so far",NameChosen)</f>
        <v>The 6 Week New Dad Carry Anything Challenge</v>
      </c>
      <c r="I13" s="14"/>
    </row>
    <row r="14" customFormat="false" ht="15" hidden="false" customHeight="false" outlineLevel="0" collapsed="false">
      <c r="B14" s="9" t="s">
        <v>18</v>
      </c>
      <c r="C14" s="10" t="n">
        <f aca="false">Progress_Value</f>
        <v>1</v>
      </c>
      <c r="E14" s="11" t="s">
        <v>19</v>
      </c>
      <c r="F14" s="15" t="n">
        <f aca="false">IF(MarginNow="","not yet",MarginNow)</f>
        <v>0.575757575757576</v>
      </c>
      <c r="H14" s="14"/>
      <c r="I14" s="14"/>
    </row>
    <row r="15" customFormat="false" ht="15" hidden="false" customHeight="false" outlineLevel="0" collapsed="false">
      <c r="B15" s="9" t="s">
        <v>20</v>
      </c>
      <c r="C15" s="10" t="n">
        <f aca="false">Progress_Offer</f>
        <v>1</v>
      </c>
      <c r="E15" s="11" t="s">
        <v>21</v>
      </c>
      <c r="F15" s="16" t="n">
        <f aca="false">IF(GapNow="","not yet",GapNow)</f>
        <v>48.4848484848485</v>
      </c>
      <c r="H15" s="17" t="str">
        <f aca="false">IF(OneLine="","The one-line offer is written on the Name tab, 6.2.",OneLine)</f>
        <v>New fathers in their first year get strong enough to carry the baby, the bags and the stroller up the stairs without thinking about it, in six weeks, twenty minutes at a time, without a gym, or I keep coaching them for free until they do.</v>
      </c>
      <c r="I15" s="17"/>
    </row>
    <row r="16" customFormat="false" ht="15" hidden="false" customHeight="false" outlineLevel="0" collapsed="false">
      <c r="B16" s="9" t="s">
        <v>22</v>
      </c>
      <c r="C16" s="10" t="n">
        <f aca="false">Progress_Enhancers</f>
        <v>0.923076923076923</v>
      </c>
      <c r="E16" s="11" t="s">
        <v>23</v>
      </c>
      <c r="F16" s="18" t="n">
        <f aca="false">IF(ClientsNew="","not yet",ClientsNew)</f>
        <v>34</v>
      </c>
      <c r="H16" s="17"/>
      <c r="I16" s="17"/>
    </row>
    <row r="17" customFormat="false" ht="15" hidden="false" customHeight="false" outlineLevel="0" collapsed="false">
      <c r="B17" s="9" t="s">
        <v>24</v>
      </c>
      <c r="C17" s="10" t="n">
        <f aca="false">Progress_Name</f>
        <v>0.785714285714286</v>
      </c>
      <c r="E17" s="11" t="s">
        <v>25</v>
      </c>
      <c r="F17" s="19" t="n">
        <f aca="false">IF(ValueNow="","not yet",ValueNow)</f>
        <v>0.571428571428571</v>
      </c>
      <c r="H17" s="17"/>
      <c r="I17" s="17"/>
    </row>
    <row r="18" customFormat="false" ht="15" hidden="false" customHeight="false" outlineLevel="0" collapsed="false">
      <c r="B18" s="20" t="s">
        <v>26</v>
      </c>
      <c r="C18" s="21" t="n">
        <f aca="false">AVERAGE(C12:C17)</f>
        <v>0.951465201465202</v>
      </c>
      <c r="E18" s="11" t="s">
        <v>27</v>
      </c>
      <c r="F18" s="19" t="n">
        <f aca="false">IF(ValueNew="","not yet",ValueNew)</f>
        <v>7.11111111111111</v>
      </c>
      <c r="H18" s="17"/>
      <c r="I18" s="17"/>
    </row>
    <row r="19" customFormat="false" ht="15" hidden="false" customHeight="false" outlineLevel="0" collapsed="false">
      <c r="E19" s="11" t="s">
        <v>28</v>
      </c>
      <c r="F19" s="22" t="n">
        <f aca="false">IF(COUNTA(SolutionsRange)=0,"not yet",KeepCount+KeepSomeCount)</f>
        <v>6</v>
      </c>
      <c r="H19" s="17"/>
      <c r="I19" s="17"/>
    </row>
    <row r="20" customFormat="false" ht="15" hidden="false" customHeight="false" outlineLevel="0" collapsed="false">
      <c r="E20" s="11" t="s">
        <v>29</v>
      </c>
      <c r="F20" s="23" t="n">
        <f aca="false">IF(StackTotal="","not yet",StackTotal)</f>
        <v>732</v>
      </c>
      <c r="H20" s="17"/>
      <c r="I20" s="17"/>
    </row>
    <row r="21" customFormat="false" ht="15" hidden="false" customHeight="false" outlineLevel="0" collapsed="false">
      <c r="E21" s="11" t="s">
        <v>30</v>
      </c>
      <c r="F21" s="16" t="n">
        <f aca="false">IF(OfferMultiple="","not yet",OfferMultiple)</f>
        <v>2.97979797979798</v>
      </c>
      <c r="H21" s="24" t="str">
        <f aca="false">IF(GuaranteeText="","",GuaranteeText)</f>
        <v>Do the three sessions a week for six weeks and log your carry test. If it has not gone up by twenty pounds, I keep coaching you for free until it does.</v>
      </c>
      <c r="I21" s="24"/>
    </row>
    <row r="22" customFormat="false" ht="15" hidden="false" customHeight="false" outlineLevel="0" collapsed="false">
      <c r="E22" s="11" t="s">
        <v>31</v>
      </c>
      <c r="F22" s="12" t="str">
        <f aca="false">EnhancersInPlay</f>
        <v>4 of 4</v>
      </c>
      <c r="H22" s="24"/>
      <c r="I22" s="24"/>
    </row>
    <row r="23" customFormat="false" ht="15" hidden="false" customHeight="false" outlineLevel="0" collapsed="false">
      <c r="E23" s="11" t="s">
        <v>32</v>
      </c>
      <c r="F23" s="15" t="n">
        <f aca="false">IF(MarginNew="","not yet",MarginNew)</f>
        <v>0.646464646464647</v>
      </c>
      <c r="H23" s="24"/>
      <c r="I23" s="24"/>
    </row>
    <row r="24" customFormat="false" ht="15" hidden="false" customHeight="false" outlineLevel="0" collapsed="false">
      <c r="E24" s="11" t="s">
        <v>33</v>
      </c>
      <c r="F24" s="15" t="n">
        <f aca="false">IF(CloseRateNow="","not yet",CloseRateNow)</f>
        <v>0.2</v>
      </c>
      <c r="H24" s="24"/>
      <c r="I24" s="24"/>
    </row>
    <row r="25" customFormat="false" ht="15" hidden="false" customHeight="false" outlineLevel="0" collapsed="false">
      <c r="E25" s="11" t="s">
        <v>34</v>
      </c>
      <c r="F25" s="15" t="str">
        <f aca="false">IF(CloseRateNew="","not yet",CloseRateNew)</f>
        <v>not yet</v>
      </c>
      <c r="H25" s="24"/>
      <c r="I25" s="24"/>
    </row>
    <row r="28" customFormat="false" ht="16.15" hidden="false" customHeight="false" outlineLevel="0" collapsed="false">
      <c r="B28" s="3" t="s">
        <v>35</v>
      </c>
    </row>
    <row r="29" customFormat="false" ht="15" hidden="false" customHeight="false" outlineLevel="0" collapsed="false">
      <c r="B29" s="25" t="s">
        <v>36</v>
      </c>
      <c r="C29" s="25" t="s">
        <v>37</v>
      </c>
    </row>
    <row r="30" customFormat="false" ht="15" hidden="false" customHeight="false" outlineLevel="0" collapsed="false">
      <c r="B30" s="26" t="str">
        <f aca="false">INDEX(SignLabels,1)</f>
        <v>Massive pain</v>
      </c>
      <c r="C30" s="27" t="n">
        <f aca="false">IF(INDEX(SignScores,1)="",0,INDEX(SignScores,1))</f>
        <v>4</v>
      </c>
    </row>
    <row r="31" customFormat="false" ht="15" hidden="false" customHeight="false" outlineLevel="0" collapsed="false">
      <c r="B31" s="26" t="str">
        <f aca="false">INDEX(SignLabels,2)</f>
        <v>Purchasing power</v>
      </c>
      <c r="C31" s="27" t="n">
        <f aca="false">IF(INDEX(SignScores,2)="",0,INDEX(SignScores,2))</f>
        <v>4</v>
      </c>
    </row>
    <row r="32" customFormat="false" ht="15" hidden="false" customHeight="false" outlineLevel="0" collapsed="false">
      <c r="B32" s="26" t="str">
        <f aca="false">INDEX(SignLabels,3)</f>
        <v>Easy to target</v>
      </c>
      <c r="C32" s="27" t="n">
        <f aca="false">IF(INDEX(SignScores,3)="",0,INDEX(SignScores,3))</f>
        <v>3</v>
      </c>
    </row>
    <row r="33" customFormat="false" ht="15" hidden="false" customHeight="false" outlineLevel="0" collapsed="false">
      <c r="B33" s="26" t="str">
        <f aca="false">INDEX(SignLabels,4)</f>
        <v>Growing</v>
      </c>
      <c r="C33" s="27" t="n">
        <f aca="false">IF(INDEX(SignScores,4)="",0,INDEX(SignScores,4))</f>
        <v>4</v>
      </c>
    </row>
    <row r="35" customFormat="false" ht="15" hidden="false" customHeight="false" outlineLevel="0" collapsed="false">
      <c r="B35" s="25" t="s">
        <v>38</v>
      </c>
      <c r="C35" s="25" t="s">
        <v>39</v>
      </c>
      <c r="D35" s="25" t="s">
        <v>40</v>
      </c>
    </row>
    <row r="36" customFormat="false" ht="15" hidden="false" customHeight="false" outlineLevel="0" collapsed="false">
      <c r="B36" s="26" t="s">
        <v>41</v>
      </c>
      <c r="C36" s="27" t="n">
        <f aca="false">IF(INDEX(RatingsNow,1)="",0,INDEX(RatingsNow,1))</f>
        <v>6</v>
      </c>
      <c r="D36" s="27" t="n">
        <f aca="false">IF(INDEX(RatingsNew,1)="",0,INDEX(RatingsNew,1))</f>
        <v>8</v>
      </c>
    </row>
    <row r="37" customFormat="false" ht="15" hidden="false" customHeight="false" outlineLevel="0" collapsed="false">
      <c r="B37" s="26" t="s">
        <v>42</v>
      </c>
      <c r="C37" s="27" t="n">
        <f aca="false">IF(INDEX(RatingsNow,2)="",0,INDEX(RatingsNow,2))</f>
        <v>4</v>
      </c>
      <c r="D37" s="27" t="n">
        <f aca="false">IF(INDEX(RatingsNew,2)="",0,INDEX(RatingsNew,2))</f>
        <v>8</v>
      </c>
    </row>
    <row r="38" customFormat="false" ht="15" hidden="false" customHeight="false" outlineLevel="0" collapsed="false">
      <c r="B38" s="26" t="s">
        <v>43</v>
      </c>
      <c r="C38" s="27" t="n">
        <f aca="false">IF(INDEX(RatingsNow,3)="",0,INDEX(RatingsNow,3))</f>
        <v>6</v>
      </c>
      <c r="D38" s="27" t="n">
        <f aca="false">IF(INDEX(RatingsNew,3)="",0,INDEX(RatingsNew,3))</f>
        <v>3</v>
      </c>
    </row>
    <row r="39" customFormat="false" ht="15" hidden="false" customHeight="false" outlineLevel="0" collapsed="false">
      <c r="B39" s="26" t="s">
        <v>44</v>
      </c>
      <c r="C39" s="27" t="n">
        <f aca="false">IF(INDEX(RatingsNow,4)="",0,INDEX(RatingsNow,4))</f>
        <v>7</v>
      </c>
      <c r="D39" s="27" t="n">
        <f aca="false">IF(INDEX(RatingsNew,4)="",0,INDEX(RatingsNew,4))</f>
        <v>3</v>
      </c>
    </row>
    <row r="41" customFormat="false" ht="15" hidden="false" customHeight="false" outlineLevel="0" collapsed="false">
      <c r="B41" s="25" t="s">
        <v>45</v>
      </c>
      <c r="C41" s="25" t="s">
        <v>46</v>
      </c>
    </row>
    <row r="42" customFormat="false" ht="15" hidden="false" customHeight="false" outlineLevel="0" collapsed="false">
      <c r="B42" s="28" t="n">
        <f aca="false">IF(INDEX(CurvePrices,1)="","",INDEX(CurvePrices,1))</f>
        <v>49.5</v>
      </c>
      <c r="C42" s="29" t="n">
        <f aca="false">IF(INDEX(CurveClients,1)="",0,INDEX(CurveClients,1))</f>
        <v>203</v>
      </c>
    </row>
    <row r="43" customFormat="false" ht="15" hidden="false" customHeight="false" outlineLevel="0" collapsed="false">
      <c r="B43" s="28" t="n">
        <f aca="false">IF(INDEX(CurvePrices,2)="","",INDEX(CurvePrices,2))</f>
        <v>74.25</v>
      </c>
      <c r="C43" s="29" t="n">
        <f aca="false">IF(INDEX(CurveClients,2)="",0,INDEX(CurveClients,2))</f>
        <v>135</v>
      </c>
    </row>
    <row r="44" customFormat="false" ht="15" hidden="false" customHeight="false" outlineLevel="0" collapsed="false">
      <c r="B44" s="28" t="n">
        <f aca="false">IF(INDEX(CurvePrices,3)="","",INDEX(CurvePrices,3))</f>
        <v>99</v>
      </c>
      <c r="C44" s="29" t="n">
        <f aca="false">IF(INDEX(CurveClients,3)="",0,INDEX(CurveClients,3))</f>
        <v>102</v>
      </c>
    </row>
    <row r="45" customFormat="false" ht="15" hidden="false" customHeight="false" outlineLevel="0" collapsed="false">
      <c r="B45" s="28" t="n">
        <f aca="false">IF(INDEX(CurvePrices,4)="","",INDEX(CurvePrices,4))</f>
        <v>123.75</v>
      </c>
      <c r="C45" s="29" t="n">
        <f aca="false">IF(INDEX(CurveClients,4)="",0,INDEX(CurveClients,4))</f>
        <v>81</v>
      </c>
    </row>
    <row r="46" customFormat="false" ht="15" hidden="false" customHeight="false" outlineLevel="0" collapsed="false">
      <c r="B46" s="28" t="n">
        <f aca="false">IF(INDEX(CurvePrices,5)="","",INDEX(CurvePrices,5))</f>
        <v>148.5</v>
      </c>
      <c r="C46" s="29" t="n">
        <f aca="false">IF(INDEX(CurveClients,5)="",0,INDEX(CurveClients,5))</f>
        <v>68</v>
      </c>
    </row>
    <row r="47" customFormat="false" ht="15" hidden="false" customHeight="false" outlineLevel="0" collapsed="false">
      <c r="B47" s="28" t="n">
        <f aca="false">IF(INDEX(CurvePrices,6)="","",INDEX(CurvePrices,6))</f>
        <v>198</v>
      </c>
      <c r="C47" s="29" t="n">
        <f aca="false">IF(INDEX(CurveClients,6)="",0,INDEX(CurveClients,6))</f>
        <v>51</v>
      </c>
    </row>
    <row r="48" customFormat="false" ht="15" hidden="false" customHeight="false" outlineLevel="0" collapsed="false">
      <c r="B48" s="28" t="n">
        <f aca="false">IF(INDEX(CurvePrices,7)="","",INDEX(CurvePrices,7))</f>
        <v>247.5</v>
      </c>
      <c r="C48" s="29" t="n">
        <f aca="false">IF(INDEX(CurveClients,7)="",0,INDEX(CurveClients,7))</f>
        <v>41</v>
      </c>
    </row>
    <row r="49" customFormat="false" ht="15" hidden="false" customHeight="false" outlineLevel="0" collapsed="false">
      <c r="B49" s="28" t="n">
        <f aca="false">IF(INDEX(CurvePrices,8)="","",INDEX(CurvePrices,8))</f>
        <v>297</v>
      </c>
      <c r="C49" s="29" t="n">
        <f aca="false">IF(INDEX(CurveClients,8)="",0,INDEX(CurveClients,8))</f>
        <v>34</v>
      </c>
    </row>
    <row r="51" customFormat="false" ht="15" hidden="false" customHeight="false" outlineLevel="0" collapsed="false">
      <c r="B51" s="25" t="s">
        <v>47</v>
      </c>
      <c r="C51" s="25" t="s">
        <v>48</v>
      </c>
    </row>
    <row r="52" customFormat="false" ht="15" hidden="false" customHeight="false" outlineLevel="0" collapsed="false">
      <c r="B52" s="26" t="s">
        <v>49</v>
      </c>
      <c r="C52" s="28" t="n">
        <f aca="false">IF(StackTotal="",0,StackTotal)</f>
        <v>732</v>
      </c>
    </row>
    <row r="53" customFormat="false" ht="15" hidden="false" customHeight="false" outlineLevel="0" collapsed="false">
      <c r="B53" s="26" t="s">
        <v>50</v>
      </c>
      <c r="C53" s="28" t="n">
        <f aca="false">IF(BonusTotal="",0,BonusTotal)</f>
        <v>153</v>
      </c>
    </row>
    <row r="54" customFormat="false" ht="15" hidden="false" customHeight="false" outlineLevel="0" collapsed="false">
      <c r="B54" s="26" t="s">
        <v>51</v>
      </c>
      <c r="C54" s="28" t="n">
        <f aca="false">IF(PriceUsed="",0,PriceUsed)</f>
        <v>297</v>
      </c>
    </row>
    <row r="55" customFormat="false" ht="15" hidden="false" customHeight="false" outlineLevel="0" collapsed="false">
      <c r="B55" s="26" t="s">
        <v>52</v>
      </c>
      <c r="C55" s="28" t="n">
        <f aca="false">IF(OutcomeWorth="",0,OutcomeWorth)</f>
        <v>4800</v>
      </c>
    </row>
  </sheetData>
  <mergeCells count="9">
    <mergeCell ref="B2:I2"/>
    <mergeCell ref="C5:I5"/>
    <mergeCell ref="C6:I6"/>
    <mergeCell ref="C7:I7"/>
    <mergeCell ref="B8:I8"/>
    <mergeCell ref="H12:I12"/>
    <mergeCell ref="H13:I14"/>
    <mergeCell ref="H15:I20"/>
    <mergeCell ref="H21:I25"/>
  </mergeCells>
  <conditionalFormatting sqref="C12:C17">
    <cfRule type="cellIs" priority="2" operator="equal" aboveAverage="0" equalAverage="0" bottom="0" percent="0" rank="0" text="" dxfId="0">
      <formula>1</formula>
    </cfRule>
  </conditionalFormatting>
  <hyperlinks>
    <hyperlink ref="B12" r:id="rId1" location="'1%20Crowd'!A1" display="1 Crowd: the starving crowd"/>
    <hyperlink ref="B13" r:id="rId2" location="'2%20Price'!A1" display="2 Price: charge what it is worth"/>
    <hyperlink ref="B14" r:id="rId3" location="'3%20Value'!A1" display="3 Value: the value equation"/>
    <hyperlink ref="B15" r:id="rId4" location="'4%20Offer'!A1" display="4 Offer: problems, solutions, the stack"/>
    <hyperlink ref="B16" r:id="rId5" location="'5%20Enhancers'!A1" display="5 Enhancers: scarcity, urgency, bonuses, guarantee"/>
    <hyperlink ref="B17" r:id="rId6" location="'6%20Name'!A1" display="6 Name: MAGIC and the launch"/>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53</v>
      </c>
      <c r="G1" s="30" t="s">
        <v>10</v>
      </c>
      <c r="H1" s="31" t="n">
        <f aca="false">(IF('1 Crowd'!$C$7="",0,1)+IF('1 Crowd'!$C$8="",0,1)+IF('1 Crowd'!$C$13="",0,1)+IF('1 Crowd'!$C$14="",0,1)+IF('1 Crowd'!$C$18="",0,1)+IF('1 Crowd'!$C$19="",0,1)+IF('1 Crowd'!$C$20="",0,1)+IF('1 Crowd'!$C$21="",0,1)+IF('1 Crowd'!$B$29="",0,1)+IF('1 Crowd'!$B$39="",0,1)+IF('1 Crowd'!$C$48="",0,1)+IF('1 Crowd'!$H$50="",0,1)+IF('1 Crowd'!$B$59="",0,1)+IF('1 Crowd'!$H$69="",0,1))/14</f>
        <v>1</v>
      </c>
    </row>
    <row r="2" customFormat="false" ht="30" hidden="false" customHeight="true" outlineLevel="0" collapsed="false">
      <c r="B2" s="2" t="s">
        <v>54</v>
      </c>
      <c r="C2" s="2"/>
      <c r="D2" s="2"/>
      <c r="E2" s="2"/>
      <c r="F2" s="2"/>
      <c r="G2" s="2"/>
      <c r="H2" s="2"/>
    </row>
    <row r="5" customFormat="false" ht="16.15" hidden="false" customHeight="false" outlineLevel="0" collapsed="false">
      <c r="B5" s="3" t="s">
        <v>55</v>
      </c>
      <c r="H5" s="32" t="s">
        <v>56</v>
      </c>
    </row>
    <row r="6" customFormat="false" ht="18" hidden="false" customHeight="true" outlineLevel="0" collapsed="false">
      <c r="B6" s="17" t="s">
        <v>57</v>
      </c>
      <c r="C6" s="17"/>
      <c r="D6" s="17"/>
      <c r="E6" s="17"/>
      <c r="F6" s="17"/>
      <c r="G6" s="17"/>
      <c r="H6" s="17"/>
    </row>
    <row r="7" customFormat="false" ht="45" hidden="false" customHeight="true" outlineLevel="0" collapsed="false">
      <c r="B7" s="33" t="s">
        <v>58</v>
      </c>
      <c r="C7" s="34" t="s">
        <v>59</v>
      </c>
      <c r="D7" s="34"/>
      <c r="E7" s="34"/>
    </row>
    <row r="8" customFormat="false" ht="21.75" hidden="false" customHeight="true" outlineLevel="0" collapsed="false">
      <c r="B8" s="33" t="s">
        <v>60</v>
      </c>
      <c r="C8" s="34" t="s">
        <v>61</v>
      </c>
      <c r="D8" s="34"/>
      <c r="E8" s="34"/>
      <c r="F8" s="24" t="s">
        <v>62</v>
      </c>
      <c r="G8" s="24"/>
      <c r="H8" s="24"/>
    </row>
    <row r="9" customFormat="false" ht="30" hidden="false" customHeight="true" outlineLevel="0" collapsed="false">
      <c r="B9" s="33" t="s">
        <v>63</v>
      </c>
      <c r="C9" s="35" t="str">
        <f aca="false">IF(C8="","",IF(C8="Price. Cheapest wins.","A commodity today. Buyers pick on price.",IF(C8="Mostly price, with a bit of trust.","Mostly a commodity. Trust helps a little, price decides.",IF(C8="Mostly what they get, price second.","Mostly differentiated. Price comes second.","A category of one. Price barely comes up."))))</f>
        <v>Mostly a commodity. Trust helps a little, price decides.</v>
      </c>
      <c r="D9" s="35"/>
      <c r="E9" s="35"/>
      <c r="F9" s="35"/>
      <c r="G9" s="35"/>
      <c r="H9" s="35"/>
    </row>
    <row r="11" customFormat="false" ht="16.15" hidden="false" customHeight="false" outlineLevel="0" collapsed="false">
      <c r="B11" s="3" t="s">
        <v>64</v>
      </c>
      <c r="H11" s="32" t="s">
        <v>65</v>
      </c>
    </row>
    <row r="12" customFormat="false" ht="18" hidden="false" customHeight="true" outlineLevel="0" collapsed="false">
      <c r="B12" s="17" t="s">
        <v>66</v>
      </c>
      <c r="C12" s="17"/>
      <c r="D12" s="17"/>
      <c r="E12" s="17"/>
      <c r="F12" s="17"/>
      <c r="G12" s="17"/>
      <c r="H12" s="17"/>
    </row>
    <row r="13" customFormat="false" ht="21.75" hidden="false" customHeight="true" outlineLevel="0" collapsed="false">
      <c r="B13" s="33" t="s">
        <v>67</v>
      </c>
      <c r="C13" s="34" t="s">
        <v>68</v>
      </c>
      <c r="D13" s="34"/>
      <c r="E13" s="34"/>
    </row>
    <row r="14" customFormat="false" ht="21.75" hidden="false" customHeight="true" outlineLevel="0" collapsed="false">
      <c r="B14" s="33" t="s">
        <v>69</v>
      </c>
      <c r="C14" s="34" t="s">
        <v>70</v>
      </c>
      <c r="D14" s="34"/>
      <c r="E14" s="34"/>
    </row>
    <row r="16" customFormat="false" ht="16.15" hidden="false" customHeight="false" outlineLevel="0" collapsed="false">
      <c r="B16" s="3" t="s">
        <v>71</v>
      </c>
      <c r="H16" s="32" t="s">
        <v>65</v>
      </c>
    </row>
    <row r="17" customFormat="false" ht="30" hidden="false" customHeight="true" outlineLevel="0" collapsed="false">
      <c r="B17" s="17" t="s">
        <v>72</v>
      </c>
      <c r="C17" s="17"/>
      <c r="D17" s="17"/>
      <c r="E17" s="17"/>
      <c r="F17" s="17"/>
      <c r="G17" s="17"/>
      <c r="H17" s="17"/>
    </row>
    <row r="18" customFormat="false" ht="21.75" hidden="false" customHeight="true" outlineLevel="0" collapsed="false">
      <c r="B18" s="33" t="s">
        <v>73</v>
      </c>
      <c r="C18" s="4" t="n">
        <v>4</v>
      </c>
      <c r="F18" s="24" t="s">
        <v>74</v>
      </c>
      <c r="G18" s="24"/>
      <c r="H18" s="24"/>
    </row>
    <row r="19" customFormat="false" ht="21.75" hidden="false" customHeight="true" outlineLevel="0" collapsed="false">
      <c r="B19" s="33" t="s">
        <v>75</v>
      </c>
      <c r="C19" s="4" t="n">
        <v>4</v>
      </c>
      <c r="F19" s="24" t="s">
        <v>76</v>
      </c>
      <c r="G19" s="24"/>
      <c r="H19" s="24"/>
    </row>
    <row r="20" customFormat="false" ht="21.75" hidden="false" customHeight="true" outlineLevel="0" collapsed="false">
      <c r="B20" s="33" t="s">
        <v>77</v>
      </c>
      <c r="C20" s="4" t="n">
        <v>3</v>
      </c>
      <c r="F20" s="24" t="s">
        <v>78</v>
      </c>
      <c r="G20" s="24"/>
      <c r="H20" s="24"/>
    </row>
    <row r="21" customFormat="false" ht="21.75" hidden="false" customHeight="true" outlineLevel="0" collapsed="false">
      <c r="B21" s="33" t="s">
        <v>79</v>
      </c>
      <c r="C21" s="4" t="n">
        <v>4</v>
      </c>
      <c r="F21" s="24" t="s">
        <v>80</v>
      </c>
      <c r="G21" s="24"/>
      <c r="H21" s="24"/>
    </row>
    <row r="22" customFormat="false" ht="21.75" hidden="false" customHeight="true" outlineLevel="0" collapsed="false">
      <c r="B22" s="33" t="s">
        <v>14</v>
      </c>
      <c r="C22" s="36" t="n">
        <f aca="false">IF(COUNT(C18:C21)&lt;4,"",SUM(C18:C21))</f>
        <v>15</v>
      </c>
      <c r="F22" s="24" t="s">
        <v>81</v>
      </c>
      <c r="G22" s="24"/>
      <c r="H22" s="24"/>
    </row>
    <row r="23" customFormat="false" ht="21.75" hidden="false" customHeight="true" outlineLevel="0" collapsed="false">
      <c r="B23" s="33" t="s">
        <v>82</v>
      </c>
      <c r="C23" s="36" t="str">
        <f aca="false">IF(COUNT(C18:C21)&lt;4,"",INDEX(B18:B21,MATCH(MIN(C18:C21),C18:C21,0)))</f>
        <v>Easy to target</v>
      </c>
    </row>
    <row r="24" customFormat="false" ht="30" hidden="false" customHeight="true" outlineLevel="0" collapsed="false">
      <c r="B24" s="33" t="s">
        <v>83</v>
      </c>
      <c r="C24" s="35" t="str">
        <f aca="false">IF(COUNT(C18:C21)&lt;4,"",IF(SUM(C18:C21)&gt;=16,"A starving crowd.",IF(SUM(C18:C21)&gt;=12,"A decent market.","A thin market. Find a hungrier crowd before building more.")))</f>
        <v>A decent market.</v>
      </c>
      <c r="D24" s="35"/>
      <c r="E24" s="35"/>
      <c r="F24" s="35"/>
      <c r="G24" s="35"/>
      <c r="H24" s="35"/>
    </row>
    <row r="26" customFormat="false" ht="16.15" hidden="false" customHeight="false" outlineLevel="0" collapsed="false">
      <c r="B26" s="3" t="s">
        <v>84</v>
      </c>
      <c r="H26" s="32" t="s">
        <v>65</v>
      </c>
    </row>
    <row r="27" customFormat="false" ht="30" hidden="false" customHeight="true" outlineLevel="0" collapsed="false">
      <c r="B27" s="17" t="s">
        <v>85</v>
      </c>
      <c r="C27" s="17"/>
      <c r="D27" s="17"/>
      <c r="E27" s="17"/>
      <c r="F27" s="17"/>
      <c r="G27" s="17"/>
      <c r="H27" s="17"/>
    </row>
    <row r="28" customFormat="false" ht="30" hidden="false" customHeight="true" outlineLevel="0" collapsed="false">
      <c r="B28" s="8" t="s">
        <v>86</v>
      </c>
      <c r="C28" s="8"/>
      <c r="D28" s="8"/>
      <c r="E28" s="8"/>
      <c r="F28" s="8"/>
    </row>
    <row r="29" customFormat="false" ht="30" hidden="false" customHeight="true" outlineLevel="0" collapsed="false">
      <c r="A29" s="37" t="n">
        <v>1</v>
      </c>
      <c r="B29" s="34" t="s">
        <v>87</v>
      </c>
      <c r="C29" s="34"/>
      <c r="D29" s="34"/>
      <c r="E29" s="34"/>
      <c r="F29" s="34"/>
    </row>
    <row r="30" customFormat="false" ht="30" hidden="false" customHeight="true" outlineLevel="0" collapsed="false">
      <c r="A30" s="37" t="n">
        <v>2</v>
      </c>
      <c r="B30" s="34" t="s">
        <v>88</v>
      </c>
      <c r="C30" s="34"/>
      <c r="D30" s="34"/>
      <c r="E30" s="34"/>
      <c r="F30" s="34"/>
    </row>
    <row r="31" customFormat="false" ht="30" hidden="false" customHeight="true" outlineLevel="0" collapsed="false">
      <c r="A31" s="37" t="n">
        <v>3</v>
      </c>
      <c r="B31" s="34" t="s">
        <v>89</v>
      </c>
      <c r="C31" s="34"/>
      <c r="D31" s="34"/>
      <c r="E31" s="34"/>
      <c r="F31" s="34"/>
    </row>
    <row r="32" customFormat="false" ht="30" hidden="false" customHeight="true" outlineLevel="0" collapsed="false">
      <c r="A32" s="37" t="n">
        <v>4</v>
      </c>
      <c r="B32" s="34"/>
      <c r="C32" s="34"/>
      <c r="D32" s="34"/>
      <c r="E32" s="34"/>
      <c r="F32" s="34"/>
    </row>
    <row r="33" customFormat="false" ht="30" hidden="false" customHeight="true" outlineLevel="0" collapsed="false">
      <c r="A33" s="37" t="n">
        <v>5</v>
      </c>
      <c r="B33" s="34"/>
      <c r="C33" s="34"/>
      <c r="D33" s="34"/>
      <c r="E33" s="34"/>
      <c r="F33" s="34"/>
    </row>
    <row r="34" customFormat="false" ht="15" hidden="false" customHeight="false" outlineLevel="0" collapsed="false">
      <c r="B34" s="25" t="s">
        <v>90</v>
      </c>
      <c r="C34" s="38" t="str">
        <f aca="false">IF(COUNTA(B29:B33)=0,"",COUNTA(B29:B33)&amp;" of 3 or more")</f>
        <v>3 of 3 or more</v>
      </c>
    </row>
    <row r="36" customFormat="false" ht="16.15" hidden="false" customHeight="false" outlineLevel="0" collapsed="false">
      <c r="B36" s="3" t="s">
        <v>91</v>
      </c>
      <c r="H36" s="32" t="s">
        <v>92</v>
      </c>
    </row>
    <row r="37" customFormat="false" ht="45" hidden="false" customHeight="true" outlineLevel="0" collapsed="false">
      <c r="B37" s="17" t="s">
        <v>93</v>
      </c>
      <c r="C37" s="17"/>
      <c r="D37" s="17"/>
      <c r="E37" s="17"/>
      <c r="F37" s="17"/>
      <c r="G37" s="17"/>
      <c r="H37" s="17"/>
    </row>
    <row r="38" customFormat="false" ht="30" hidden="false" customHeight="true" outlineLevel="0" collapsed="false">
      <c r="B38" s="8" t="s">
        <v>94</v>
      </c>
      <c r="C38" s="8"/>
      <c r="D38" s="8"/>
      <c r="E38" s="8" t="s">
        <v>95</v>
      </c>
    </row>
    <row r="39" customFormat="false" ht="30" hidden="false" customHeight="true" outlineLevel="0" collapsed="false">
      <c r="A39" s="37" t="n">
        <v>1</v>
      </c>
      <c r="B39" s="34" t="s">
        <v>96</v>
      </c>
      <c r="C39" s="34"/>
      <c r="D39" s="34"/>
      <c r="E39" s="39" t="n">
        <v>29</v>
      </c>
    </row>
    <row r="40" customFormat="false" ht="30" hidden="false" customHeight="true" outlineLevel="0" collapsed="false">
      <c r="A40" s="37" t="n">
        <v>2</v>
      </c>
      <c r="B40" s="34" t="s">
        <v>97</v>
      </c>
      <c r="C40" s="34"/>
      <c r="D40" s="34"/>
      <c r="E40" s="39" t="n">
        <v>99</v>
      </c>
    </row>
    <row r="41" customFormat="false" ht="30" hidden="false" customHeight="true" outlineLevel="0" collapsed="false">
      <c r="A41" s="37" t="n">
        <v>3</v>
      </c>
      <c r="B41" s="34" t="s">
        <v>98</v>
      </c>
      <c r="C41" s="34"/>
      <c r="D41" s="34"/>
      <c r="E41" s="39" t="n">
        <v>399</v>
      </c>
    </row>
    <row r="42" customFormat="false" ht="30" hidden="false" customHeight="true" outlineLevel="0" collapsed="false">
      <c r="A42" s="37" t="n">
        <v>4</v>
      </c>
      <c r="B42" s="34" t="s">
        <v>99</v>
      </c>
      <c r="C42" s="34"/>
      <c r="D42" s="34"/>
      <c r="E42" s="39" t="n">
        <v>997</v>
      </c>
    </row>
    <row r="43" customFormat="false" ht="30" hidden="false" customHeight="true" outlineLevel="0" collapsed="false">
      <c r="A43" s="37" t="n">
        <v>5</v>
      </c>
      <c r="B43" s="34"/>
      <c r="C43" s="34"/>
      <c r="D43" s="34"/>
      <c r="E43" s="39"/>
    </row>
    <row r="44" customFormat="false" ht="15" hidden="false" customHeight="false" outlineLevel="0" collapsed="false">
      <c r="B44" s="25" t="s">
        <v>100</v>
      </c>
      <c r="C44" s="40" t="n">
        <f aca="false">IF(OR(COUNT(E39:E43)&lt;2,E39=0),"",INDEX(E39:E43,COUNT(E39:E43))/E39)</f>
        <v>34.3793103448276</v>
      </c>
      <c r="D44" s="41" t="s">
        <v>101</v>
      </c>
    </row>
    <row r="46" customFormat="false" ht="16.15" hidden="false" customHeight="false" outlineLevel="0" collapsed="false">
      <c r="B46" s="3" t="s">
        <v>102</v>
      </c>
      <c r="H46" s="32" t="s">
        <v>65</v>
      </c>
    </row>
    <row r="47" customFormat="false" ht="18" hidden="false" customHeight="true" outlineLevel="0" collapsed="false">
      <c r="B47" s="17" t="s">
        <v>103</v>
      </c>
      <c r="C47" s="17"/>
      <c r="D47" s="17"/>
      <c r="E47" s="17"/>
      <c r="F47" s="17"/>
      <c r="G47" s="17"/>
      <c r="H47" s="17"/>
    </row>
    <row r="48" customFormat="false" ht="21.75" hidden="false" customHeight="true" outlineLevel="0" collapsed="false">
      <c r="B48" s="33" t="s">
        <v>104</v>
      </c>
      <c r="C48" s="34" t="s">
        <v>105</v>
      </c>
      <c r="D48" s="34"/>
      <c r="E48" s="34"/>
    </row>
    <row r="49" customFormat="false" ht="15" hidden="false" customHeight="false" outlineLevel="0" collapsed="false">
      <c r="B49" s="13" t="s">
        <v>106</v>
      </c>
      <c r="C49" s="13"/>
      <c r="D49" s="13"/>
      <c r="E49" s="13"/>
      <c r="F49" s="13"/>
      <c r="G49" s="13"/>
      <c r="H49" s="8" t="s">
        <v>107</v>
      </c>
    </row>
    <row r="50" customFormat="false" ht="30" hidden="false" customHeight="true" outlineLevel="0" collapsed="false">
      <c r="B50" s="42" t="s">
        <v>108</v>
      </c>
      <c r="C50" s="42"/>
      <c r="D50" s="42"/>
      <c r="E50" s="42"/>
      <c r="F50" s="42"/>
      <c r="G50" s="42"/>
      <c r="H50" s="4" t="s">
        <v>109</v>
      </c>
    </row>
    <row r="51" customFormat="false" ht="30" hidden="false" customHeight="true" outlineLevel="0" collapsed="false">
      <c r="B51" s="42" t="s">
        <v>110</v>
      </c>
      <c r="C51" s="42"/>
      <c r="D51" s="42"/>
      <c r="E51" s="42"/>
      <c r="F51" s="42"/>
      <c r="G51" s="42"/>
      <c r="H51" s="4" t="s">
        <v>109</v>
      </c>
    </row>
    <row r="52" customFormat="false" ht="30" hidden="false" customHeight="true" outlineLevel="0" collapsed="false">
      <c r="B52" s="42" t="s">
        <v>111</v>
      </c>
      <c r="C52" s="42"/>
      <c r="D52" s="42"/>
      <c r="E52" s="42"/>
      <c r="F52" s="42"/>
      <c r="G52" s="42"/>
      <c r="H52" s="4" t="s">
        <v>109</v>
      </c>
    </row>
    <row r="53" customFormat="false" ht="30" hidden="false" customHeight="true" outlineLevel="0" collapsed="false">
      <c r="B53" s="42" t="s">
        <v>112</v>
      </c>
      <c r="C53" s="42"/>
      <c r="D53" s="42"/>
      <c r="E53" s="42"/>
      <c r="F53" s="42"/>
      <c r="G53" s="42"/>
      <c r="H53" s="4" t="s">
        <v>109</v>
      </c>
    </row>
    <row r="54" customFormat="false" ht="15" hidden="false" customHeight="false" outlineLevel="0" collapsed="false">
      <c r="G54" s="25" t="s">
        <v>113</v>
      </c>
      <c r="H54" s="38" t="str">
        <f aca="false">COUNTIF(H50:H53,"Yes")&amp;" of 4"</f>
        <v>4 of 4</v>
      </c>
    </row>
    <row r="56" customFormat="false" ht="16.15" hidden="false" customHeight="false" outlineLevel="0" collapsed="false">
      <c r="B56" s="3" t="s">
        <v>114</v>
      </c>
      <c r="H56" s="32" t="s">
        <v>115</v>
      </c>
    </row>
    <row r="57" customFormat="false" ht="18" hidden="false" customHeight="true" outlineLevel="0" collapsed="false">
      <c r="B57" s="17" t="s">
        <v>116</v>
      </c>
      <c r="C57" s="17"/>
      <c r="D57" s="17"/>
      <c r="E57" s="17"/>
      <c r="F57" s="17"/>
      <c r="G57" s="17"/>
      <c r="H57" s="17"/>
    </row>
    <row r="58" customFormat="false" ht="30" hidden="false" customHeight="true" outlineLevel="0" collapsed="false">
      <c r="B58" s="8" t="s">
        <v>117</v>
      </c>
      <c r="C58" s="8"/>
      <c r="D58" s="8"/>
      <c r="E58" s="8" t="s">
        <v>118</v>
      </c>
    </row>
    <row r="59" customFormat="false" ht="30" hidden="false" customHeight="true" outlineLevel="0" collapsed="false">
      <c r="A59" s="37" t="n">
        <v>1</v>
      </c>
      <c r="B59" s="34" t="s">
        <v>119</v>
      </c>
      <c r="C59" s="34"/>
      <c r="D59" s="34"/>
      <c r="E59" s="43" t="n">
        <v>18000</v>
      </c>
    </row>
    <row r="60" customFormat="false" ht="30" hidden="false" customHeight="true" outlineLevel="0" collapsed="false">
      <c r="A60" s="37" t="n">
        <v>2</v>
      </c>
      <c r="B60" s="34" t="s">
        <v>120</v>
      </c>
      <c r="C60" s="34"/>
      <c r="D60" s="34"/>
      <c r="E60" s="43" t="n">
        <v>2400</v>
      </c>
    </row>
    <row r="61" customFormat="false" ht="30" hidden="false" customHeight="true" outlineLevel="0" collapsed="false">
      <c r="A61" s="37" t="n">
        <v>3</v>
      </c>
      <c r="B61" s="34" t="s">
        <v>121</v>
      </c>
      <c r="C61" s="34"/>
      <c r="D61" s="34"/>
      <c r="E61" s="43" t="n">
        <v>9000</v>
      </c>
    </row>
    <row r="62" customFormat="false" ht="30" hidden="false" customHeight="true" outlineLevel="0" collapsed="false">
      <c r="A62" s="37" t="n">
        <v>4</v>
      </c>
      <c r="B62" s="34"/>
      <c r="C62" s="34"/>
      <c r="D62" s="34"/>
      <c r="E62" s="43"/>
    </row>
    <row r="63" customFormat="false" ht="30" hidden="false" customHeight="true" outlineLevel="0" collapsed="false">
      <c r="A63" s="37" t="n">
        <v>5</v>
      </c>
      <c r="B63" s="34"/>
      <c r="C63" s="34"/>
      <c r="D63" s="34"/>
      <c r="E63" s="43"/>
    </row>
    <row r="64" customFormat="false" ht="15" hidden="false" customHeight="false" outlineLevel="0" collapsed="false">
      <c r="B64" s="25" t="s">
        <v>122</v>
      </c>
      <c r="C64" s="44" t="n">
        <f aca="false">IF(COUNT(E59:E63)=0,"",SUM(E59:E63))</f>
        <v>29400</v>
      </c>
    </row>
    <row r="66" customFormat="false" ht="16.15" hidden="false" customHeight="false" outlineLevel="0" collapsed="false">
      <c r="B66" s="3" t="s">
        <v>123</v>
      </c>
      <c r="H66" s="32" t="s">
        <v>65</v>
      </c>
    </row>
    <row r="67" customFormat="false" ht="18" hidden="false" customHeight="true" outlineLevel="0" collapsed="false">
      <c r="B67" s="17" t="s">
        <v>124</v>
      </c>
      <c r="C67" s="17"/>
      <c r="D67" s="17"/>
      <c r="E67" s="17"/>
      <c r="F67" s="17"/>
      <c r="G67" s="17"/>
      <c r="H67" s="17"/>
    </row>
    <row r="68" customFormat="false" ht="15" hidden="false" customHeight="false" outlineLevel="0" collapsed="false">
      <c r="B68" s="13" t="s">
        <v>106</v>
      </c>
      <c r="C68" s="13"/>
      <c r="D68" s="13"/>
      <c r="E68" s="13"/>
      <c r="F68" s="13"/>
      <c r="G68" s="13"/>
      <c r="H68" s="8" t="s">
        <v>107</v>
      </c>
    </row>
    <row r="69" customFormat="false" ht="30" hidden="false" customHeight="true" outlineLevel="0" collapsed="false">
      <c r="B69" s="42" t="s">
        <v>125</v>
      </c>
      <c r="C69" s="42"/>
      <c r="D69" s="42"/>
      <c r="E69" s="42"/>
      <c r="F69" s="42"/>
      <c r="G69" s="42"/>
      <c r="H69" s="4" t="s">
        <v>109</v>
      </c>
    </row>
    <row r="70" customFormat="false" ht="30" hidden="false" customHeight="true" outlineLevel="0" collapsed="false">
      <c r="B70" s="42" t="s">
        <v>126</v>
      </c>
      <c r="C70" s="42"/>
      <c r="D70" s="42"/>
      <c r="E70" s="42"/>
      <c r="F70" s="42"/>
      <c r="G70" s="42"/>
      <c r="H70" s="4" t="s">
        <v>109</v>
      </c>
    </row>
    <row r="71" customFormat="false" ht="30" hidden="false" customHeight="true" outlineLevel="0" collapsed="false">
      <c r="B71" s="42" t="s">
        <v>127</v>
      </c>
      <c r="C71" s="42"/>
      <c r="D71" s="42"/>
      <c r="E71" s="42"/>
      <c r="F71" s="42"/>
      <c r="G71" s="42"/>
      <c r="H71" s="4"/>
    </row>
    <row r="72" customFormat="false" ht="30" hidden="false" customHeight="true" outlineLevel="0" collapsed="false">
      <c r="B72" s="42" t="s">
        <v>128</v>
      </c>
      <c r="C72" s="42"/>
      <c r="D72" s="42"/>
      <c r="E72" s="42"/>
      <c r="F72" s="42"/>
      <c r="G72" s="42"/>
      <c r="H72" s="4"/>
    </row>
    <row r="73" customFormat="false" ht="15" hidden="false" customHeight="false" outlineLevel="0" collapsed="false">
      <c r="G73" s="25" t="s">
        <v>113</v>
      </c>
      <c r="H73" s="38" t="str">
        <f aca="false">COUNTIF(H69:H72,"Yes")&amp;" of 4"</f>
        <v>2 of 4</v>
      </c>
    </row>
  </sheetData>
  <mergeCells count="50">
    <mergeCell ref="B2:H2"/>
    <mergeCell ref="B6:H6"/>
    <mergeCell ref="C7:E7"/>
    <mergeCell ref="C8:E8"/>
    <mergeCell ref="F8:H8"/>
    <mergeCell ref="C9:H9"/>
    <mergeCell ref="B12:H12"/>
    <mergeCell ref="C13:E13"/>
    <mergeCell ref="C14:E14"/>
    <mergeCell ref="B17:H17"/>
    <mergeCell ref="F18:H18"/>
    <mergeCell ref="F19:H19"/>
    <mergeCell ref="F20:H20"/>
    <mergeCell ref="F21:H21"/>
    <mergeCell ref="F22:H22"/>
    <mergeCell ref="C24:H24"/>
    <mergeCell ref="B27:H27"/>
    <mergeCell ref="B28:F28"/>
    <mergeCell ref="B29:F29"/>
    <mergeCell ref="B30:F30"/>
    <mergeCell ref="B31:F31"/>
    <mergeCell ref="B32:F32"/>
    <mergeCell ref="B33:F33"/>
    <mergeCell ref="B37:H37"/>
    <mergeCell ref="B38:D38"/>
    <mergeCell ref="B39:D39"/>
    <mergeCell ref="B40:D40"/>
    <mergeCell ref="B41:D41"/>
    <mergeCell ref="B42:D42"/>
    <mergeCell ref="B43:D43"/>
    <mergeCell ref="B47:H47"/>
    <mergeCell ref="C48:E48"/>
    <mergeCell ref="B49:G49"/>
    <mergeCell ref="B50:G50"/>
    <mergeCell ref="B51:G51"/>
    <mergeCell ref="B52:G52"/>
    <mergeCell ref="B53:G53"/>
    <mergeCell ref="B57:H57"/>
    <mergeCell ref="B58:D58"/>
    <mergeCell ref="B59:D59"/>
    <mergeCell ref="B60:D60"/>
    <mergeCell ref="B61:D61"/>
    <mergeCell ref="B62:D62"/>
    <mergeCell ref="B63:D63"/>
    <mergeCell ref="B67:H67"/>
    <mergeCell ref="B68:G68"/>
    <mergeCell ref="B69:G69"/>
    <mergeCell ref="B70:G70"/>
    <mergeCell ref="B71:G71"/>
    <mergeCell ref="B72:G72"/>
  </mergeCells>
  <conditionalFormatting sqref="H50:H53">
    <cfRule type="cellIs" priority="2" operator="equal" aboveAverage="0" equalAverage="0" bottom="0" percent="0" rank="0" text="" dxfId="1">
      <formula>"Yes"</formula>
    </cfRule>
  </conditionalFormatting>
  <conditionalFormatting sqref="H69:H72">
    <cfRule type="cellIs" priority="3" operator="equal" aboveAverage="0" equalAverage="0" bottom="0" percent="0" rank="0" text="" dxfId="1">
      <formula>"Yes"</formula>
    </cfRule>
  </conditionalFormatting>
  <dataValidations count="4">
    <dataValidation allowBlank="true" errorStyle="stop" operator="between" showDropDown="false" showErrorMessage="false" showInputMessage="false" sqref="C8" type="list">
      <formula1>"Price. Cheapest wins.,Mostly price,with a bit of trust.,Mostly what they get,price second.,Something only I offer."</formula1>
      <formula2>0</formula2>
    </dataValidation>
    <dataValidation allowBlank="true" errorStyle="stop" operator="between" showDropDown="false" showErrorMessage="false" showInputMessage="false" sqref="C13" type="list">
      <formula1>"Health,Wealth,Relationships,Something else"</formula1>
      <formula2>0</formula2>
    </dataValidation>
    <dataValidation allowBlank="true" error="A whole number from 1 to 5." errorStyle="stop" errorTitle="Score" operator="between" showDropDown="false" showErrorMessage="false" showInputMessage="false" sqref="C18:C21" type="whole">
      <formula1>1</formula1>
      <formula2>5</formula2>
    </dataValidation>
    <dataValidation allowBlank="true" errorStyle="stop" operator="between" showDropDown="false" showErrorMessage="false" showInputMessage="false" sqref="H50:H53 H69:H72" type="list">
      <formula1>"Yes,Not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129</v>
      </c>
      <c r="G1" s="30" t="s">
        <v>10</v>
      </c>
      <c r="H1" s="31" t="n">
        <f aca="false">(IF('2 Price'!$C$7="",0,1)+IF('2 Price'!$C$8="",0,1)+IF('2 Price'!$C$9="",0,1)+IF('2 Price'!$C$15="",0,1)+IF('2 Price'!$C$16="",0,1)+IF('2 Price'!$H$21="",0,1)+IF('2 Price'!$H$30="",0,1)+IF('2 Price'!$C$41="",0,1)+IF('2 Price'!$C$42="",0,1)+IF('2 Price'!$C$47="",0,1)+IF('2 Price'!$C$48="",0,1)+IF('2 Price'!$H$66="",0,1)+IF('2 Price'!$B$75="",0,1))/13</f>
        <v>1</v>
      </c>
    </row>
    <row r="2" customFormat="false" ht="30" hidden="false" customHeight="true" outlineLevel="0" collapsed="false">
      <c r="B2" s="2" t="s">
        <v>130</v>
      </c>
      <c r="C2" s="2"/>
      <c r="D2" s="2"/>
      <c r="E2" s="2"/>
      <c r="F2" s="2"/>
      <c r="G2" s="2"/>
      <c r="H2" s="2"/>
    </row>
    <row r="5" customFormat="false" ht="16.15" hidden="false" customHeight="false" outlineLevel="0" collapsed="false">
      <c r="B5" s="3" t="s">
        <v>131</v>
      </c>
      <c r="H5" s="32" t="s">
        <v>132</v>
      </c>
    </row>
    <row r="6" customFormat="false" ht="18" hidden="false" customHeight="true" outlineLevel="0" collapsed="false">
      <c r="B6" s="17" t="s">
        <v>133</v>
      </c>
      <c r="C6" s="17"/>
      <c r="D6" s="17"/>
      <c r="E6" s="17"/>
      <c r="F6" s="17"/>
      <c r="G6" s="17"/>
      <c r="H6" s="17"/>
    </row>
    <row r="7" customFormat="false" ht="21.75" hidden="false" customHeight="true" outlineLevel="0" collapsed="false">
      <c r="B7" s="33" t="s">
        <v>134</v>
      </c>
      <c r="C7" s="39" t="n">
        <v>99</v>
      </c>
    </row>
    <row r="8" customFormat="false" ht="21.75" hidden="false" customHeight="true" outlineLevel="0" collapsed="false">
      <c r="B8" s="33" t="s">
        <v>135</v>
      </c>
      <c r="C8" s="34" t="s">
        <v>136</v>
      </c>
      <c r="D8" s="34"/>
      <c r="E8" s="34"/>
    </row>
    <row r="9" customFormat="false" ht="21.75" hidden="false" customHeight="true" outlineLevel="0" collapsed="false">
      <c r="B9" s="33" t="s">
        <v>137</v>
      </c>
      <c r="C9" s="39" t="n">
        <v>42</v>
      </c>
    </row>
    <row r="10" customFormat="false" ht="21.75" hidden="false" customHeight="true" outlineLevel="0" collapsed="false">
      <c r="B10" s="33" t="s">
        <v>138</v>
      </c>
      <c r="C10" s="45" t="n">
        <f aca="false">IF(OR(C7="",C9="",C7=0),"",(C7-C9)/C7)</f>
        <v>0.575757575757576</v>
      </c>
      <c r="F10" s="24" t="s">
        <v>139</v>
      </c>
      <c r="G10" s="24"/>
      <c r="H10" s="24"/>
    </row>
    <row r="11" customFormat="false" ht="21.75" hidden="false" customHeight="true" outlineLevel="0" collapsed="false">
      <c r="B11" s="33" t="s">
        <v>140</v>
      </c>
      <c r="C11" s="46" t="n">
        <f aca="false">IF(OR(C7="",C9=""),"",C7-C9)</f>
        <v>57</v>
      </c>
    </row>
    <row r="13" customFormat="false" ht="16.15" hidden="false" customHeight="false" outlineLevel="0" collapsed="false">
      <c r="B13" s="3" t="s">
        <v>141</v>
      </c>
      <c r="H13" s="32" t="s">
        <v>132</v>
      </c>
    </row>
    <row r="14" customFormat="false" ht="18" hidden="false" customHeight="true" outlineLevel="0" collapsed="false">
      <c r="B14" s="17" t="s">
        <v>142</v>
      </c>
      <c r="C14" s="17"/>
      <c r="D14" s="17"/>
      <c r="E14" s="17"/>
      <c r="F14" s="17"/>
      <c r="G14" s="17"/>
      <c r="H14" s="17"/>
    </row>
    <row r="15" customFormat="false" ht="21.75" hidden="false" customHeight="true" outlineLevel="0" collapsed="false">
      <c r="B15" s="33" t="s">
        <v>143</v>
      </c>
      <c r="C15" s="34" t="s">
        <v>144</v>
      </c>
      <c r="D15" s="34"/>
      <c r="E15" s="34"/>
    </row>
    <row r="16" customFormat="false" ht="21.75" hidden="false" customHeight="true" outlineLevel="0" collapsed="false">
      <c r="B16" s="33" t="s">
        <v>145</v>
      </c>
      <c r="C16" s="47" t="n">
        <v>0.2</v>
      </c>
      <c r="F16" s="24" t="s">
        <v>146</v>
      </c>
      <c r="G16" s="24"/>
      <c r="H16" s="24"/>
    </row>
    <row r="18" customFormat="false" ht="16.15" hidden="false" customHeight="false" outlineLevel="0" collapsed="false">
      <c r="B18" s="3" t="s">
        <v>147</v>
      </c>
      <c r="H18" s="32" t="s">
        <v>148</v>
      </c>
    </row>
    <row r="19" customFormat="false" ht="18" hidden="false" customHeight="true" outlineLevel="0" collapsed="false">
      <c r="B19" s="17" t="s">
        <v>149</v>
      </c>
      <c r="C19" s="17"/>
      <c r="D19" s="17"/>
      <c r="E19" s="17"/>
      <c r="F19" s="17"/>
      <c r="G19" s="17"/>
      <c r="H19" s="17"/>
    </row>
    <row r="20" customFormat="false" ht="15" hidden="false" customHeight="false" outlineLevel="0" collapsed="false">
      <c r="B20" s="13" t="s">
        <v>106</v>
      </c>
      <c r="C20" s="13"/>
      <c r="D20" s="13"/>
      <c r="E20" s="13"/>
      <c r="F20" s="13"/>
      <c r="G20" s="13"/>
      <c r="H20" s="8" t="s">
        <v>107</v>
      </c>
    </row>
    <row r="21" customFormat="false" ht="30" hidden="false" customHeight="true" outlineLevel="0" collapsed="false">
      <c r="B21" s="42" t="s">
        <v>150</v>
      </c>
      <c r="C21" s="42"/>
      <c r="D21" s="42"/>
      <c r="E21" s="42"/>
      <c r="F21" s="42"/>
      <c r="G21" s="42"/>
      <c r="H21" s="4" t="s">
        <v>109</v>
      </c>
    </row>
    <row r="22" customFormat="false" ht="30" hidden="false" customHeight="true" outlineLevel="0" collapsed="false">
      <c r="B22" s="42" t="s">
        <v>151</v>
      </c>
      <c r="C22" s="42"/>
      <c r="D22" s="42"/>
      <c r="E22" s="42"/>
      <c r="F22" s="42"/>
      <c r="G22" s="42"/>
      <c r="H22" s="4"/>
    </row>
    <row r="23" customFormat="false" ht="30" hidden="false" customHeight="true" outlineLevel="0" collapsed="false">
      <c r="B23" s="42" t="s">
        <v>152</v>
      </c>
      <c r="C23" s="42"/>
      <c r="D23" s="42"/>
      <c r="E23" s="42"/>
      <c r="F23" s="42"/>
      <c r="G23" s="42"/>
      <c r="H23" s="4" t="s">
        <v>109</v>
      </c>
    </row>
    <row r="24" customFormat="false" ht="30" hidden="false" customHeight="true" outlineLevel="0" collapsed="false">
      <c r="B24" s="42" t="s">
        <v>153</v>
      </c>
      <c r="C24" s="42"/>
      <c r="D24" s="42"/>
      <c r="E24" s="42"/>
      <c r="F24" s="42"/>
      <c r="G24" s="42"/>
      <c r="H24" s="4"/>
    </row>
    <row r="25" customFormat="false" ht="30" hidden="false" customHeight="true" outlineLevel="0" collapsed="false">
      <c r="B25" s="42" t="s">
        <v>154</v>
      </c>
      <c r="C25" s="42"/>
      <c r="D25" s="42"/>
      <c r="E25" s="42"/>
      <c r="F25" s="42"/>
      <c r="G25" s="42"/>
      <c r="H25" s="4" t="s">
        <v>109</v>
      </c>
    </row>
    <row r="26" customFormat="false" ht="30" hidden="false" customHeight="true" outlineLevel="0" collapsed="false">
      <c r="B26" s="42" t="s">
        <v>155</v>
      </c>
      <c r="C26" s="42"/>
      <c r="D26" s="42"/>
      <c r="E26" s="42"/>
      <c r="F26" s="42"/>
      <c r="G26" s="42"/>
      <c r="H26" s="4"/>
    </row>
    <row r="27" customFormat="false" ht="15" hidden="false" customHeight="false" outlineLevel="0" collapsed="false">
      <c r="G27" s="25" t="s">
        <v>113</v>
      </c>
      <c r="H27" s="38" t="str">
        <f aca="false">COUNTIF(H21:H26,"Yes")&amp;" of 6"</f>
        <v>3 of 6</v>
      </c>
    </row>
    <row r="29" customFormat="false" ht="15" hidden="false" customHeight="false" outlineLevel="0" collapsed="false">
      <c r="B29" s="13" t="s">
        <v>106</v>
      </c>
      <c r="C29" s="13"/>
      <c r="D29" s="13"/>
      <c r="E29" s="13"/>
      <c r="F29" s="13"/>
      <c r="G29" s="13"/>
      <c r="H29" s="8" t="s">
        <v>107</v>
      </c>
    </row>
    <row r="30" customFormat="false" ht="30" hidden="false" customHeight="true" outlineLevel="0" collapsed="false">
      <c r="B30" s="42" t="s">
        <v>156</v>
      </c>
      <c r="C30" s="42"/>
      <c r="D30" s="42"/>
      <c r="E30" s="42"/>
      <c r="F30" s="42"/>
      <c r="G30" s="42"/>
      <c r="H30" s="4" t="s">
        <v>109</v>
      </c>
    </row>
    <row r="31" customFormat="false" ht="30" hidden="false" customHeight="true" outlineLevel="0" collapsed="false">
      <c r="B31" s="42" t="s">
        <v>157</v>
      </c>
      <c r="C31" s="42"/>
      <c r="D31" s="42"/>
      <c r="E31" s="42"/>
      <c r="F31" s="42"/>
      <c r="G31" s="42"/>
      <c r="H31" s="4"/>
    </row>
    <row r="32" customFormat="false" ht="30" hidden="false" customHeight="true" outlineLevel="0" collapsed="false">
      <c r="B32" s="42" t="s">
        <v>158</v>
      </c>
      <c r="C32" s="42"/>
      <c r="D32" s="42"/>
      <c r="E32" s="42"/>
      <c r="F32" s="42"/>
      <c r="G32" s="42"/>
      <c r="H32" s="4"/>
    </row>
    <row r="33" customFormat="false" ht="30" hidden="false" customHeight="true" outlineLevel="0" collapsed="false">
      <c r="B33" s="42" t="s">
        <v>159</v>
      </c>
      <c r="C33" s="42"/>
      <c r="D33" s="42"/>
      <c r="E33" s="42"/>
      <c r="F33" s="42"/>
      <c r="G33" s="42"/>
      <c r="H33" s="4"/>
    </row>
    <row r="34" customFormat="false" ht="30" hidden="false" customHeight="true" outlineLevel="0" collapsed="false">
      <c r="B34" s="42" t="s">
        <v>160</v>
      </c>
      <c r="C34" s="42"/>
      <c r="D34" s="42"/>
      <c r="E34" s="42"/>
      <c r="F34" s="42"/>
      <c r="G34" s="42"/>
      <c r="H34" s="4"/>
    </row>
    <row r="35" customFormat="false" ht="30" hidden="false" customHeight="true" outlineLevel="0" collapsed="false">
      <c r="B35" s="42" t="s">
        <v>161</v>
      </c>
      <c r="C35" s="42"/>
      <c r="D35" s="42"/>
      <c r="E35" s="42"/>
      <c r="F35" s="42"/>
      <c r="G35" s="42"/>
      <c r="H35" s="4"/>
    </row>
    <row r="36" customFormat="false" ht="15" hidden="false" customHeight="false" outlineLevel="0" collapsed="false">
      <c r="G36" s="25" t="s">
        <v>113</v>
      </c>
      <c r="H36" s="38" t="str">
        <f aca="false">COUNTIF(H30:H35,"Yes")&amp;" of 6"</f>
        <v>1 of 6</v>
      </c>
    </row>
    <row r="37" customFormat="false" ht="30" hidden="false" customHeight="true" outlineLevel="0" collapsed="false">
      <c r="B37" s="33" t="s">
        <v>162</v>
      </c>
      <c r="C37" s="35" t="str">
        <f aca="false">IF(COUNTIF(H21:H26,"Yes")+COUNTIF(H30:H35,"Yes")=0,"",IF(COUNTIF(H21:H26,"Yes")&gt;COUNTIF(H30:H35,"Yes"),"The vicious cycle: "&amp;COUNTIF(H21:H26,"Yes")&amp;" of its six signs are true. The way out is the price, not the hours.",IF(COUNTIF(H30:H35,"Yes")&gt;COUNTIF(H21:H26,"Yes"),"The virtuous cycle: "&amp;COUNTIF(H30:H35,"Yes")&amp;" of its six signs are true. Keep the price where it belongs.","A foot in each loop. The next price move decides.")))</f>
        <v>The vicious cycle: 3 of its six signs are true. The way out is the price, not the hours.</v>
      </c>
      <c r="D37" s="35"/>
      <c r="E37" s="35"/>
      <c r="F37" s="35"/>
      <c r="G37" s="35"/>
      <c r="H37" s="35"/>
    </row>
    <row r="39" customFormat="false" ht="16.15" hidden="false" customHeight="false" outlineLevel="0" collapsed="false">
      <c r="B39" s="3" t="s">
        <v>163</v>
      </c>
      <c r="H39" s="32" t="s">
        <v>132</v>
      </c>
    </row>
    <row r="40" customFormat="false" ht="30" hidden="false" customHeight="true" outlineLevel="0" collapsed="false">
      <c r="B40" s="17" t="s">
        <v>164</v>
      </c>
      <c r="C40" s="17"/>
      <c r="D40" s="17"/>
      <c r="E40" s="17"/>
      <c r="F40" s="17"/>
      <c r="G40" s="17"/>
      <c r="H40" s="17"/>
    </row>
    <row r="41" customFormat="false" ht="21.75" hidden="false" customHeight="true" outlineLevel="0" collapsed="false">
      <c r="B41" s="33" t="s">
        <v>165</v>
      </c>
      <c r="C41" s="39" t="n">
        <v>4800</v>
      </c>
    </row>
    <row r="42" customFormat="false" ht="45" hidden="false" customHeight="true" outlineLevel="0" collapsed="false">
      <c r="B42" s="33" t="s">
        <v>166</v>
      </c>
      <c r="C42" s="34" t="s">
        <v>167</v>
      </c>
      <c r="D42" s="34"/>
      <c r="E42" s="34"/>
    </row>
    <row r="43" customFormat="false" ht="21.75" hidden="false" customHeight="true" outlineLevel="0" collapsed="false">
      <c r="B43" s="33" t="s">
        <v>21</v>
      </c>
      <c r="C43" s="48" t="n">
        <f aca="false">IF(OR(C41="",C7="",C7=0),"",C41/C7)</f>
        <v>48.4848484848485</v>
      </c>
      <c r="F43" s="24" t="s">
        <v>168</v>
      </c>
      <c r="G43" s="24"/>
      <c r="H43" s="24"/>
    </row>
    <row r="45" customFormat="false" ht="16.15" hidden="false" customHeight="false" outlineLevel="0" collapsed="false">
      <c r="B45" s="3" t="s">
        <v>169</v>
      </c>
      <c r="H45" s="32" t="s">
        <v>132</v>
      </c>
    </row>
    <row r="46" customFormat="false" ht="30" hidden="false" customHeight="true" outlineLevel="0" collapsed="false">
      <c r="B46" s="17" t="s">
        <v>170</v>
      </c>
      <c r="C46" s="17"/>
      <c r="D46" s="17"/>
      <c r="E46" s="17"/>
      <c r="F46" s="17"/>
      <c r="G46" s="17"/>
      <c r="H46" s="17"/>
    </row>
    <row r="47" customFormat="false" ht="21.75" hidden="false" customHeight="true" outlineLevel="0" collapsed="false">
      <c r="B47" s="33" t="s">
        <v>171</v>
      </c>
      <c r="C47" s="39" t="n">
        <v>297</v>
      </c>
    </row>
    <row r="48" customFormat="false" ht="21.75" hidden="false" customHeight="true" outlineLevel="0" collapsed="false">
      <c r="B48" s="33" t="s">
        <v>172</v>
      </c>
      <c r="C48" s="39" t="n">
        <v>120000</v>
      </c>
    </row>
    <row r="49" customFormat="false" ht="21.75" hidden="false" customHeight="true" outlineLevel="0" collapsed="false">
      <c r="B49" s="33" t="s">
        <v>173</v>
      </c>
      <c r="C49" s="49" t="n">
        <f aca="false">IF(OR(C48="",C7="",C7=0,C8=""),"",ROUNDUP(C48/(C7*IF(C8="Per month",12,1)),0))</f>
        <v>102</v>
      </c>
    </row>
    <row r="50" customFormat="false" ht="21.75" hidden="false" customHeight="true" outlineLevel="0" collapsed="false">
      <c r="B50" s="33" t="s">
        <v>174</v>
      </c>
      <c r="C50" s="49" t="n">
        <f aca="false">IF(OR(C48="",C47="",C47=0,C8=""),"",ROUNDUP(C48/(C47*IF(C8="Per month",12,1)),0))</f>
        <v>34</v>
      </c>
      <c r="F50" s="24" t="s">
        <v>175</v>
      </c>
      <c r="G50" s="24"/>
      <c r="H50" s="24"/>
    </row>
    <row r="51" customFormat="false" ht="21.75" hidden="false" customHeight="true" outlineLevel="0" collapsed="false">
      <c r="B51" s="33" t="s">
        <v>176</v>
      </c>
      <c r="C51" s="48" t="n">
        <f aca="false">IF(OR(C41="",C47="",C47=0),"",C41/C47)</f>
        <v>16.1616161616162</v>
      </c>
    </row>
    <row r="53" customFormat="false" ht="15" hidden="false" customHeight="false" outlineLevel="0" collapsed="false">
      <c r="B53" s="8" t="s">
        <v>45</v>
      </c>
      <c r="C53" s="8" t="s">
        <v>177</v>
      </c>
      <c r="D53" s="8" t="s">
        <v>178</v>
      </c>
    </row>
    <row r="54" customFormat="false" ht="15" hidden="false" customHeight="false" outlineLevel="0" collapsed="false">
      <c r="B54" s="50" t="n">
        <f aca="false">IF(C7="","",C7*0.5)</f>
        <v>49.5</v>
      </c>
      <c r="C54" s="51" t="n">
        <f aca="false">IF(OR(C48="",C7="",C8=""),"",ROUNDUP(C48/(C7*0.5*IF(C8="Per month",12,1)),0))</f>
        <v>203</v>
      </c>
      <c r="D54" s="52" t="n">
        <f aca="false">IF(OR(C7="",C9=""),"",(C7*0.5-C9)/(C7*0.5))</f>
        <v>0.151515151515152</v>
      </c>
      <c r="E54" s="41" t="s">
        <v>179</v>
      </c>
    </row>
    <row r="55" customFormat="false" ht="15" hidden="false" customHeight="false" outlineLevel="0" collapsed="false">
      <c r="B55" s="50" t="n">
        <f aca="false">IF(C7="","",C7*0.75)</f>
        <v>74.25</v>
      </c>
      <c r="C55" s="51" t="n">
        <f aca="false">IF(OR(C48="",C7="",C8=""),"",ROUNDUP(C48/(C7*0.75*IF(C8="Per month",12,1)),0))</f>
        <v>135</v>
      </c>
      <c r="D55" s="52" t="n">
        <f aca="false">IF(OR(C7="",C9=""),"",(C7*0.75-C9)/(C7*0.75))</f>
        <v>0.434343434343434</v>
      </c>
      <c r="E55" s="41" t="s">
        <v>180</v>
      </c>
    </row>
    <row r="56" customFormat="false" ht="15" hidden="false" customHeight="false" outlineLevel="0" collapsed="false">
      <c r="B56" s="50" t="n">
        <f aca="false">IF(C7="","",C7*1)</f>
        <v>99</v>
      </c>
      <c r="C56" s="51" t="n">
        <f aca="false">IF(OR(C48="",C7="",C8=""),"",ROUNDUP(C48/(C7*1*IF(C8="Per month",12,1)),0))</f>
        <v>102</v>
      </c>
      <c r="D56" s="52" t="n">
        <f aca="false">IF(OR(C7="",C9=""),"",(C7*1-C9)/(C7*1))</f>
        <v>0.575757575757576</v>
      </c>
      <c r="E56" s="41" t="s">
        <v>181</v>
      </c>
    </row>
    <row r="57" customFormat="false" ht="15" hidden="false" customHeight="false" outlineLevel="0" collapsed="false">
      <c r="B57" s="50" t="n">
        <f aca="false">IF(C7="","",C7*1.25)</f>
        <v>123.75</v>
      </c>
      <c r="C57" s="51" t="n">
        <f aca="false">IF(OR(C48="",C7="",C8=""),"",ROUNDUP(C48/(C7*1.25*IF(C8="Per month",12,1)),0))</f>
        <v>81</v>
      </c>
      <c r="D57" s="52" t="n">
        <f aca="false">IF(OR(C7="",C9=""),"",(C7*1.25-C9)/(C7*1.25))</f>
        <v>0.660606060606061</v>
      </c>
      <c r="E57" s="41" t="s">
        <v>182</v>
      </c>
    </row>
    <row r="58" customFormat="false" ht="15" hidden="false" customHeight="false" outlineLevel="0" collapsed="false">
      <c r="B58" s="50" t="n">
        <f aca="false">IF(C7="","",C7*1.5)</f>
        <v>148.5</v>
      </c>
      <c r="C58" s="51" t="n">
        <f aca="false">IF(OR(C48="",C7="",C8=""),"",ROUNDUP(C48/(C7*1.5*IF(C8="Per month",12,1)),0))</f>
        <v>68</v>
      </c>
      <c r="D58" s="52" t="n">
        <f aca="false">IF(OR(C7="",C9=""),"",(C7*1.5-C9)/(C7*1.5))</f>
        <v>0.717171717171717</v>
      </c>
      <c r="E58" s="41" t="s">
        <v>183</v>
      </c>
    </row>
    <row r="59" customFormat="false" ht="15" hidden="false" customHeight="false" outlineLevel="0" collapsed="false">
      <c r="B59" s="50" t="n">
        <f aca="false">IF(C7="","",C7*2)</f>
        <v>198</v>
      </c>
      <c r="C59" s="51" t="n">
        <f aca="false">IF(OR(C48="",C7="",C8=""),"",ROUNDUP(C48/(C7*2*IF(C8="Per month",12,1)),0))</f>
        <v>51</v>
      </c>
      <c r="D59" s="52" t="n">
        <f aca="false">IF(OR(C7="",C9=""),"",(C7*2-C9)/(C7*2))</f>
        <v>0.787878787878788</v>
      </c>
      <c r="E59" s="41" t="s">
        <v>184</v>
      </c>
    </row>
    <row r="60" customFormat="false" ht="15" hidden="false" customHeight="false" outlineLevel="0" collapsed="false">
      <c r="B60" s="50" t="n">
        <f aca="false">IF(C7="","",C7*2.5)</f>
        <v>247.5</v>
      </c>
      <c r="C60" s="51" t="n">
        <f aca="false">IF(OR(C48="",C7="",C8=""),"",ROUNDUP(C48/(C7*2.5*IF(C8="Per month",12,1)),0))</f>
        <v>41</v>
      </c>
      <c r="D60" s="52" t="n">
        <f aca="false">IF(OR(C7="",C9=""),"",(C7*2.5-C9)/(C7*2.5))</f>
        <v>0.83030303030303</v>
      </c>
      <c r="E60" s="41" t="s">
        <v>185</v>
      </c>
    </row>
    <row r="61" customFormat="false" ht="15" hidden="false" customHeight="false" outlineLevel="0" collapsed="false">
      <c r="B61" s="50" t="n">
        <f aca="false">IF(C7="","",C7*3)</f>
        <v>297</v>
      </c>
      <c r="C61" s="51" t="n">
        <f aca="false">IF(OR(C48="",C7="",C8=""),"",ROUNDUP(C48/(C7*3*IF(C8="Per month",12,1)),0))</f>
        <v>34</v>
      </c>
      <c r="D61" s="52" t="n">
        <f aca="false">IF(OR(C7="",C9=""),"",(C7*3-C9)/(C7*3))</f>
        <v>0.858585858585859</v>
      </c>
      <c r="E61" s="41" t="s">
        <v>186</v>
      </c>
    </row>
    <row r="63" customFormat="false" ht="16.15" hidden="false" customHeight="false" outlineLevel="0" collapsed="false">
      <c r="B63" s="3" t="s">
        <v>187</v>
      </c>
      <c r="H63" s="32" t="s">
        <v>132</v>
      </c>
    </row>
    <row r="64" customFormat="false" ht="18" hidden="false" customHeight="true" outlineLevel="0" collapsed="false">
      <c r="B64" s="17" t="s">
        <v>188</v>
      </c>
      <c r="C64" s="17"/>
      <c r="D64" s="17"/>
      <c r="E64" s="17"/>
      <c r="F64" s="17"/>
      <c r="G64" s="17"/>
      <c r="H64" s="17"/>
    </row>
    <row r="65" customFormat="false" ht="15" hidden="false" customHeight="false" outlineLevel="0" collapsed="false">
      <c r="B65" s="13" t="s">
        <v>106</v>
      </c>
      <c r="C65" s="13"/>
      <c r="D65" s="13"/>
      <c r="E65" s="13"/>
      <c r="F65" s="13"/>
      <c r="G65" s="13"/>
      <c r="H65" s="8" t="s">
        <v>107</v>
      </c>
    </row>
    <row r="66" customFormat="false" ht="30" hidden="false" customHeight="true" outlineLevel="0" collapsed="false">
      <c r="B66" s="42" t="s">
        <v>189</v>
      </c>
      <c r="C66" s="42"/>
      <c r="D66" s="42"/>
      <c r="E66" s="42"/>
      <c r="F66" s="42"/>
      <c r="G66" s="42"/>
      <c r="H66" s="4" t="s">
        <v>109</v>
      </c>
    </row>
    <row r="67" customFormat="false" ht="30" hidden="false" customHeight="true" outlineLevel="0" collapsed="false">
      <c r="B67" s="42" t="s">
        <v>190</v>
      </c>
      <c r="C67" s="42"/>
      <c r="D67" s="42"/>
      <c r="E67" s="42"/>
      <c r="F67" s="42"/>
      <c r="G67" s="42"/>
      <c r="H67" s="4" t="s">
        <v>109</v>
      </c>
    </row>
    <row r="68" customFormat="false" ht="30" hidden="false" customHeight="true" outlineLevel="0" collapsed="false">
      <c r="B68" s="42" t="s">
        <v>191</v>
      </c>
      <c r="C68" s="42"/>
      <c r="D68" s="42"/>
      <c r="E68" s="42"/>
      <c r="F68" s="42"/>
      <c r="G68" s="42"/>
      <c r="H68" s="4" t="s">
        <v>109</v>
      </c>
    </row>
    <row r="69" customFormat="false" ht="30" hidden="false" customHeight="true" outlineLevel="0" collapsed="false">
      <c r="B69" s="42" t="s">
        <v>192</v>
      </c>
      <c r="C69" s="42"/>
      <c r="D69" s="42"/>
      <c r="E69" s="42"/>
      <c r="F69" s="42"/>
      <c r="G69" s="42"/>
      <c r="H69" s="4" t="s">
        <v>109</v>
      </c>
    </row>
    <row r="70" customFormat="false" ht="15" hidden="false" customHeight="false" outlineLevel="0" collapsed="false">
      <c r="G70" s="25" t="s">
        <v>113</v>
      </c>
      <c r="H70" s="38" t="str">
        <f aca="false">COUNTIF(H66:H69,"Yes")&amp;" of 4"</f>
        <v>4 of 4</v>
      </c>
    </row>
    <row r="72" customFormat="false" ht="16.15" hidden="false" customHeight="false" outlineLevel="0" collapsed="false">
      <c r="B72" s="3" t="s">
        <v>193</v>
      </c>
      <c r="H72" s="32" t="s">
        <v>132</v>
      </c>
    </row>
    <row r="73" customFormat="false" ht="30" hidden="false" customHeight="true" outlineLevel="0" collapsed="false">
      <c r="B73" s="17" t="s">
        <v>194</v>
      </c>
      <c r="C73" s="17"/>
      <c r="D73" s="17"/>
      <c r="E73" s="17"/>
      <c r="F73" s="17"/>
      <c r="G73" s="17"/>
      <c r="H73" s="17"/>
    </row>
    <row r="74" customFormat="false" ht="30" hidden="false" customHeight="true" outlineLevel="0" collapsed="false">
      <c r="B74" s="8" t="s">
        <v>195</v>
      </c>
      <c r="C74" s="8"/>
      <c r="D74" s="8"/>
      <c r="E74" s="8" t="s">
        <v>196</v>
      </c>
    </row>
    <row r="75" customFormat="false" ht="30" hidden="false" customHeight="true" outlineLevel="0" collapsed="false">
      <c r="A75" s="37" t="n">
        <v>1</v>
      </c>
      <c r="B75" s="34" t="s">
        <v>197</v>
      </c>
      <c r="C75" s="34"/>
      <c r="D75" s="34"/>
      <c r="E75" s="34" t="s">
        <v>109</v>
      </c>
    </row>
    <row r="76" customFormat="false" ht="30" hidden="false" customHeight="true" outlineLevel="0" collapsed="false">
      <c r="A76" s="37" t="n">
        <v>2</v>
      </c>
      <c r="B76" s="34" t="s">
        <v>198</v>
      </c>
      <c r="C76" s="34"/>
      <c r="D76" s="34"/>
      <c r="E76" s="34" t="s">
        <v>199</v>
      </c>
    </row>
    <row r="77" customFormat="false" ht="30" hidden="false" customHeight="true" outlineLevel="0" collapsed="false">
      <c r="A77" s="37" t="n">
        <v>3</v>
      </c>
      <c r="B77" s="34" t="s">
        <v>200</v>
      </c>
      <c r="C77" s="34"/>
      <c r="D77" s="34"/>
      <c r="E77" s="34" t="s">
        <v>109</v>
      </c>
    </row>
    <row r="78" customFormat="false" ht="30" hidden="false" customHeight="true" outlineLevel="0" collapsed="false">
      <c r="A78" s="37" t="n">
        <v>4</v>
      </c>
      <c r="B78" s="34"/>
      <c r="C78" s="34"/>
      <c r="D78" s="34"/>
      <c r="E78" s="34"/>
    </row>
    <row r="79" customFormat="false" ht="30" hidden="false" customHeight="true" outlineLevel="0" collapsed="false">
      <c r="A79" s="37" t="n">
        <v>5</v>
      </c>
      <c r="B79" s="34"/>
      <c r="C79" s="34"/>
      <c r="D79" s="34"/>
      <c r="E79" s="34"/>
    </row>
    <row r="80" customFormat="false" ht="30" hidden="false" customHeight="true" outlineLevel="0" collapsed="false">
      <c r="A80" s="37" t="n">
        <v>6</v>
      </c>
      <c r="B80" s="34"/>
      <c r="C80" s="34"/>
      <c r="D80" s="34"/>
      <c r="E80" s="34"/>
    </row>
    <row r="81" customFormat="false" ht="15" hidden="false" customHeight="false" outlineLevel="0" collapsed="false">
      <c r="B81" s="25" t="s">
        <v>34</v>
      </c>
      <c r="C81" s="53" t="n">
        <f aca="false">IF(COUNTA(E75:E80)=0,"",COUNTIF(E75:E80,"Yes")/COUNTA(E75:E80))</f>
        <v>0.666666666666667</v>
      </c>
    </row>
    <row r="83" customFormat="false" ht="16.15" hidden="false" customHeight="false" outlineLevel="0" collapsed="false">
      <c r="B83" s="3" t="s">
        <v>201</v>
      </c>
      <c r="H83" s="32" t="s">
        <v>132</v>
      </c>
    </row>
    <row r="84" customFormat="false" ht="18" hidden="false" customHeight="true" outlineLevel="0" collapsed="false">
      <c r="B84" s="17" t="s">
        <v>202</v>
      </c>
      <c r="C84" s="17"/>
      <c r="D84" s="17"/>
      <c r="E84" s="17"/>
      <c r="F84" s="17"/>
      <c r="G84" s="17"/>
      <c r="H84" s="17"/>
    </row>
    <row r="85" customFormat="false" ht="21.75" hidden="false" customHeight="true" outlineLevel="0" collapsed="false">
      <c r="B85" s="33" t="s">
        <v>203</v>
      </c>
      <c r="C85" s="46" t="n">
        <f aca="false">IF(StackCost&lt;&gt;"",StackCost,IF(CostNow="","",CostNow))</f>
        <v>105</v>
      </c>
      <c r="F85" s="24" t="s">
        <v>204</v>
      </c>
      <c r="G85" s="24"/>
      <c r="H85" s="24"/>
    </row>
    <row r="86" customFormat="false" ht="21.75" hidden="false" customHeight="true" outlineLevel="0" collapsed="false">
      <c r="B86" s="33" t="s">
        <v>32</v>
      </c>
      <c r="C86" s="45" t="n">
        <f aca="false">IF(OR(PriceNew="",CostUsed="",PriceNew=0),"",(PriceNew-CostUsed)/PriceNew)</f>
        <v>0.646464646464647</v>
      </c>
    </row>
    <row r="87" customFormat="false" ht="21.75" hidden="false" customHeight="true" outlineLevel="0" collapsed="false">
      <c r="B87" s="33" t="s">
        <v>205</v>
      </c>
      <c r="C87" s="46" t="n">
        <f aca="false">IF(OR(PriceNew="",CostUsed=""),"",PriceNew-CostUsed)</f>
        <v>192</v>
      </c>
    </row>
  </sheetData>
  <mergeCells count="44">
    <mergeCell ref="B2:H2"/>
    <mergeCell ref="B6:H6"/>
    <mergeCell ref="C8:E8"/>
    <mergeCell ref="F10:H10"/>
    <mergeCell ref="B14:H14"/>
    <mergeCell ref="C15:E15"/>
    <mergeCell ref="F16:H16"/>
    <mergeCell ref="B19:H19"/>
    <mergeCell ref="B20:G20"/>
    <mergeCell ref="B21:G21"/>
    <mergeCell ref="B22:G22"/>
    <mergeCell ref="B23:G23"/>
    <mergeCell ref="B24:G24"/>
    <mergeCell ref="B25:G25"/>
    <mergeCell ref="B26:G26"/>
    <mergeCell ref="B29:G29"/>
    <mergeCell ref="B30:G30"/>
    <mergeCell ref="B31:G31"/>
    <mergeCell ref="B32:G32"/>
    <mergeCell ref="B33:G33"/>
    <mergeCell ref="B34:G34"/>
    <mergeCell ref="B35:G35"/>
    <mergeCell ref="C37:H37"/>
    <mergeCell ref="B40:H40"/>
    <mergeCell ref="C42:E42"/>
    <mergeCell ref="F43:H43"/>
    <mergeCell ref="B46:H46"/>
    <mergeCell ref="F50:H50"/>
    <mergeCell ref="B64:H64"/>
    <mergeCell ref="B65:G65"/>
    <mergeCell ref="B66:G66"/>
    <mergeCell ref="B67:G67"/>
    <mergeCell ref="B68:G68"/>
    <mergeCell ref="B69:G69"/>
    <mergeCell ref="B73:H73"/>
    <mergeCell ref="B74:D74"/>
    <mergeCell ref="B75:D75"/>
    <mergeCell ref="B76:D76"/>
    <mergeCell ref="B77:D77"/>
    <mergeCell ref="B78:D78"/>
    <mergeCell ref="B79:D79"/>
    <mergeCell ref="B80:D80"/>
    <mergeCell ref="B84:H84"/>
    <mergeCell ref="F85:H85"/>
  </mergeCells>
  <conditionalFormatting sqref="H21:H26">
    <cfRule type="cellIs" priority="2" operator="equal" aboveAverage="0" equalAverage="0" bottom="0" percent="0" rank="0" text="" dxfId="1">
      <formula>"Yes"</formula>
    </cfRule>
  </conditionalFormatting>
  <conditionalFormatting sqref="H30:H35">
    <cfRule type="cellIs" priority="3" operator="equal" aboveAverage="0" equalAverage="0" bottom="0" percent="0" rank="0" text="" dxfId="1">
      <formula>"Yes"</formula>
    </cfRule>
  </conditionalFormatting>
  <conditionalFormatting sqref="H66:H69">
    <cfRule type="cellIs" priority="4" operator="equal" aboveAverage="0" equalAverage="0" bottom="0" percent="0" rank="0" text="" dxfId="1">
      <formula>"Yes"</formula>
    </cfRule>
  </conditionalFormatting>
  <dataValidations count="4">
    <dataValidation allowBlank="true" errorStyle="stop" operator="between" showDropDown="false" showErrorMessage="false" showInputMessage="false" sqref="C8" type="list">
      <formula1>"One time,Per month,Per year"</formula1>
      <formula2>0</formula2>
    </dataValidation>
    <dataValidation allowBlank="true" errorStyle="stop" operator="between" showDropDown="false" showErrorMessage="false" showInputMessage="false" sqref="C15" type="list">
      <formula1>"The cheapest around,Below the middle,About the middle,Above the middle,The most expensive"</formula1>
      <formula2>0</formula2>
    </dataValidation>
    <dataValidation allowBlank="true" errorStyle="stop" operator="between" showDropDown="false" showErrorMessage="false" showInputMessage="false" sqref="H21:H26 H30:H35 H66:H69" type="list">
      <formula1>"Yes,Not yet"</formula1>
      <formula2>0</formula2>
    </dataValidation>
    <dataValidation allowBlank="true" errorStyle="stop" operator="between" showDropDown="false" showErrorMessage="false" showInputMessage="false" sqref="E75:E80" type="list">
      <formula1>"Yes,Not now,Too much,No answer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206</v>
      </c>
      <c r="G1" s="30" t="s">
        <v>10</v>
      </c>
      <c r="H1" s="31" t="n">
        <f aca="false">(IF('3 Value'!$C$7="",0,1)+IF('3 Value'!$C$8="",0,1)+IF('3 Value'!$C$9="",0,1)+IF('3 Value'!$C$10="",0,1)+IF('3 Value'!$C$16="",0,1)+IF('3 Value'!$C$17="",0,1)+IF('3 Value'!$B$22="",0,1)+IF('3 Value'!$C$32="",0,1)+IF('3 Value'!$C$33="",0,1)+IF('3 Value'!$C$34="",0,1)+IF('3 Value'!$B$40="",0,1)+IF('3 Value'!$H$51="",0,1)+IF('3 Value'!$C$59="",0,1)+IF('3 Value'!$C$60="",0,1)+IF('3 Value'!$C$61="",0,1)+IF('3 Value'!$C$62="",0,1))/16</f>
        <v>1</v>
      </c>
    </row>
    <row r="2" customFormat="false" ht="30" hidden="false" customHeight="true" outlineLevel="0" collapsed="false">
      <c r="B2" s="2" t="s">
        <v>207</v>
      </c>
      <c r="C2" s="2"/>
      <c r="D2" s="2"/>
      <c r="E2" s="2"/>
      <c r="F2" s="2"/>
      <c r="G2" s="2"/>
      <c r="H2" s="2"/>
    </row>
    <row r="5" customFormat="false" ht="16.15" hidden="false" customHeight="false" outlineLevel="0" collapsed="false">
      <c r="B5" s="3" t="s">
        <v>208</v>
      </c>
      <c r="H5" s="32" t="s">
        <v>209</v>
      </c>
    </row>
    <row r="6" customFormat="false" ht="45" hidden="false" customHeight="true" outlineLevel="0" collapsed="false">
      <c r="B6" s="17" t="s">
        <v>210</v>
      </c>
      <c r="C6" s="17"/>
      <c r="D6" s="17"/>
      <c r="E6" s="17"/>
      <c r="F6" s="17"/>
      <c r="G6" s="17"/>
      <c r="H6" s="17"/>
    </row>
    <row r="7" customFormat="false" ht="21.75" hidden="false" customHeight="true" outlineLevel="0" collapsed="false">
      <c r="B7" s="33" t="s">
        <v>211</v>
      </c>
      <c r="C7" s="4" t="n">
        <v>6</v>
      </c>
    </row>
    <row r="8" customFormat="false" ht="21.75" hidden="false" customHeight="true" outlineLevel="0" collapsed="false">
      <c r="B8" s="33" t="s">
        <v>212</v>
      </c>
      <c r="C8" s="4" t="n">
        <v>4</v>
      </c>
    </row>
    <row r="9" customFormat="false" ht="21.75" hidden="false" customHeight="true" outlineLevel="0" collapsed="false">
      <c r="B9" s="33" t="s">
        <v>213</v>
      </c>
      <c r="C9" s="4" t="n">
        <v>6</v>
      </c>
    </row>
    <row r="10" customFormat="false" ht="21.75" hidden="false" customHeight="true" outlineLevel="0" collapsed="false">
      <c r="B10" s="33" t="s">
        <v>214</v>
      </c>
      <c r="C10" s="4" t="n">
        <v>7</v>
      </c>
    </row>
    <row r="11" customFormat="false" ht="21.75" hidden="false" customHeight="true" outlineLevel="0" collapsed="false">
      <c r="B11" s="33" t="s">
        <v>25</v>
      </c>
      <c r="C11" s="54" t="n">
        <f aca="false">IF(COUNT(C7:C10)&lt;4,"",(C7*C8)/(C9*C10))</f>
        <v>0.571428571428571</v>
      </c>
      <c r="F11" s="24" t="s">
        <v>215</v>
      </c>
      <c r="G11" s="24"/>
      <c r="H11" s="24"/>
    </row>
    <row r="12" customFormat="false" ht="30" hidden="false" customHeight="true" outlineLevel="0" collapsed="false">
      <c r="B12" s="33" t="s">
        <v>216</v>
      </c>
      <c r="C12" s="35" t="str">
        <f aca="false">IF(COUNT(C7:C10)&lt;4,"",IF(C9*C10&gt;=25,"The bottom is heavy: time and effort are where this offer loses value.",IF(C7*C8&lt;=25,"The top is light: a bigger promise or more proof would lift it.","Both halves are working; the bottom still has room.")))</f>
        <v>The bottom is heavy: time and effort are where this offer loses value.</v>
      </c>
      <c r="D12" s="35"/>
      <c r="E12" s="35"/>
      <c r="F12" s="35"/>
      <c r="G12" s="35"/>
      <c r="H12" s="35"/>
    </row>
    <row r="14" customFormat="false" ht="16.15" hidden="false" customHeight="false" outlineLevel="0" collapsed="false">
      <c r="B14" s="3" t="s">
        <v>217</v>
      </c>
      <c r="H14" s="32" t="s">
        <v>209</v>
      </c>
    </row>
    <row r="15" customFormat="false" ht="18" hidden="false" customHeight="true" outlineLevel="0" collapsed="false">
      <c r="B15" s="17" t="s">
        <v>218</v>
      </c>
      <c r="C15" s="17"/>
      <c r="D15" s="17"/>
      <c r="E15" s="17"/>
      <c r="F15" s="17"/>
      <c r="G15" s="17"/>
      <c r="H15" s="17"/>
    </row>
    <row r="16" customFormat="false" ht="45" hidden="false" customHeight="true" outlineLevel="0" collapsed="false">
      <c r="B16" s="33" t="s">
        <v>219</v>
      </c>
      <c r="C16" s="34" t="s">
        <v>220</v>
      </c>
      <c r="D16" s="34"/>
      <c r="E16" s="34"/>
    </row>
    <row r="17" customFormat="false" ht="21.75" hidden="false" customHeight="true" outlineLevel="0" collapsed="false">
      <c r="B17" s="33" t="s">
        <v>221</v>
      </c>
      <c r="C17" s="34" t="s">
        <v>222</v>
      </c>
      <c r="D17" s="34"/>
      <c r="E17" s="34"/>
    </row>
    <row r="19" customFormat="false" ht="16.15" hidden="false" customHeight="false" outlineLevel="0" collapsed="false">
      <c r="B19" s="3" t="s">
        <v>223</v>
      </c>
      <c r="H19" s="32" t="s">
        <v>224</v>
      </c>
    </row>
    <row r="20" customFormat="false" ht="30" hidden="false" customHeight="true" outlineLevel="0" collapsed="false">
      <c r="B20" s="17" t="s">
        <v>225</v>
      </c>
      <c r="C20" s="17"/>
      <c r="D20" s="17"/>
      <c r="E20" s="17"/>
      <c r="F20" s="17"/>
      <c r="G20" s="17"/>
      <c r="H20" s="17"/>
    </row>
    <row r="21" customFormat="false" ht="30" hidden="false" customHeight="true" outlineLevel="0" collapsed="false">
      <c r="B21" s="8" t="s">
        <v>226</v>
      </c>
      <c r="C21" s="8" t="s">
        <v>227</v>
      </c>
      <c r="D21" s="8"/>
      <c r="E21" s="8"/>
      <c r="F21" s="8"/>
      <c r="G21" s="8"/>
    </row>
    <row r="22" customFormat="false" ht="30" hidden="false" customHeight="true" outlineLevel="0" collapsed="false">
      <c r="A22" s="37" t="n">
        <v>1</v>
      </c>
      <c r="B22" s="34" t="s">
        <v>228</v>
      </c>
      <c r="C22" s="34" t="s">
        <v>229</v>
      </c>
      <c r="D22" s="34"/>
      <c r="E22" s="34"/>
      <c r="F22" s="34"/>
      <c r="G22" s="34"/>
    </row>
    <row r="23" customFormat="false" ht="30" hidden="false" customHeight="true" outlineLevel="0" collapsed="false">
      <c r="A23" s="37" t="n">
        <v>2</v>
      </c>
      <c r="B23" s="34" t="s">
        <v>230</v>
      </c>
      <c r="C23" s="34" t="s">
        <v>231</v>
      </c>
      <c r="D23" s="34"/>
      <c r="E23" s="34"/>
      <c r="F23" s="34"/>
      <c r="G23" s="34"/>
    </row>
    <row r="24" customFormat="false" ht="30" hidden="false" customHeight="true" outlineLevel="0" collapsed="false">
      <c r="A24" s="37" t="n">
        <v>3</v>
      </c>
      <c r="B24" s="34" t="s">
        <v>232</v>
      </c>
      <c r="C24" s="34" t="s">
        <v>233</v>
      </c>
      <c r="D24" s="34"/>
      <c r="E24" s="34"/>
      <c r="F24" s="34"/>
      <c r="G24" s="34"/>
    </row>
    <row r="25" customFormat="false" ht="30" hidden="false" customHeight="true" outlineLevel="0" collapsed="false">
      <c r="A25" s="37" t="n">
        <v>4</v>
      </c>
      <c r="B25" s="34" t="s">
        <v>234</v>
      </c>
      <c r="C25" s="34" t="s">
        <v>235</v>
      </c>
      <c r="D25" s="34"/>
      <c r="E25" s="34"/>
      <c r="F25" s="34"/>
      <c r="G25" s="34"/>
    </row>
    <row r="26" customFormat="false" ht="30" hidden="false" customHeight="true" outlineLevel="0" collapsed="false">
      <c r="A26" s="37" t="n">
        <v>5</v>
      </c>
      <c r="B26" s="34"/>
      <c r="C26" s="34"/>
      <c r="D26" s="34"/>
      <c r="E26" s="34"/>
      <c r="F26" s="34"/>
      <c r="G26" s="34"/>
    </row>
    <row r="27" customFormat="false" ht="30" hidden="false" customHeight="true" outlineLevel="0" collapsed="false">
      <c r="A27" s="37" t="n">
        <v>6</v>
      </c>
      <c r="B27" s="34"/>
      <c r="C27" s="34"/>
      <c r="D27" s="34"/>
      <c r="E27" s="34"/>
      <c r="F27" s="34"/>
      <c r="G27" s="34"/>
    </row>
    <row r="28" customFormat="false" ht="15" hidden="false" customHeight="false" outlineLevel="0" collapsed="false">
      <c r="B28" s="25" t="s">
        <v>236</v>
      </c>
      <c r="C28" s="38" t="str">
        <f aca="false">IF(COUNTA(B22:B27)=0,"",COUNTA(B22:B27)&amp;IF(COUNTIF(B22:B27,"A client's result")=0,", none yet a client result (the kind that raises belief most)",", including a client result"))</f>
        <v>4, including a client result</v>
      </c>
    </row>
    <row r="30" customFormat="false" ht="16.15" hidden="false" customHeight="false" outlineLevel="0" collapsed="false">
      <c r="B30" s="3" t="s">
        <v>237</v>
      </c>
      <c r="H30" s="32" t="s">
        <v>238</v>
      </c>
    </row>
    <row r="31" customFormat="false" ht="18" hidden="false" customHeight="true" outlineLevel="0" collapsed="false">
      <c r="B31" s="17" t="s">
        <v>239</v>
      </c>
      <c r="C31" s="17"/>
      <c r="D31" s="17"/>
      <c r="E31" s="17"/>
      <c r="F31" s="17"/>
      <c r="G31" s="17"/>
      <c r="H31" s="17"/>
    </row>
    <row r="32" customFormat="false" ht="21.75" hidden="false" customHeight="true" outlineLevel="0" collapsed="false">
      <c r="B32" s="33" t="s">
        <v>240</v>
      </c>
      <c r="C32" s="34" t="s">
        <v>241</v>
      </c>
      <c r="D32" s="34"/>
      <c r="E32" s="34"/>
    </row>
    <row r="33" customFormat="false" ht="21.75" hidden="false" customHeight="true" outlineLevel="0" collapsed="false">
      <c r="B33" s="33" t="s">
        <v>242</v>
      </c>
      <c r="C33" s="43" t="n">
        <v>5</v>
      </c>
    </row>
    <row r="34" customFormat="false" ht="21.75" hidden="false" customHeight="true" outlineLevel="0" collapsed="false">
      <c r="B34" s="33" t="s">
        <v>243</v>
      </c>
      <c r="C34" s="43" t="n">
        <v>6</v>
      </c>
    </row>
    <row r="35" customFormat="false" ht="30" hidden="false" customHeight="true" outlineLevel="0" collapsed="false">
      <c r="B35" s="33" t="s">
        <v>244</v>
      </c>
      <c r="C35" s="35" t="str">
        <f aca="false">IF(OR(C33="",C34=""),"",IF(C33&lt;=7,"A first win inside a week, which is what the book asks for. Full result in "&amp;C34&amp;" weeks.","The book would look for something they can feel inside the first week. Full result in "&amp;C34&amp;" weeks."))</f>
        <v>A first win inside a week, which is what the book asks for. Full result in 6 weeks.</v>
      </c>
      <c r="D35" s="35"/>
      <c r="E35" s="35"/>
      <c r="F35" s="35"/>
      <c r="G35" s="35"/>
      <c r="H35" s="35"/>
    </row>
    <row r="37" customFormat="false" ht="16.15" hidden="false" customHeight="false" outlineLevel="0" collapsed="false">
      <c r="B37" s="3" t="s">
        <v>245</v>
      </c>
      <c r="H37" s="32" t="s">
        <v>246</v>
      </c>
    </row>
    <row r="38" customFormat="false" ht="18" hidden="false" customHeight="true" outlineLevel="0" collapsed="false">
      <c r="B38" s="17" t="s">
        <v>247</v>
      </c>
      <c r="C38" s="17"/>
      <c r="D38" s="17"/>
      <c r="E38" s="17"/>
      <c r="F38" s="17"/>
      <c r="G38" s="17"/>
      <c r="H38" s="17"/>
    </row>
    <row r="39" customFormat="false" ht="30" hidden="false" customHeight="true" outlineLevel="0" collapsed="false">
      <c r="B39" s="8" t="s">
        <v>248</v>
      </c>
      <c r="C39" s="8"/>
      <c r="D39" s="8"/>
      <c r="E39" s="8" t="s">
        <v>249</v>
      </c>
      <c r="F39" s="8"/>
      <c r="G39" s="8"/>
    </row>
    <row r="40" customFormat="false" ht="30" hidden="false" customHeight="true" outlineLevel="0" collapsed="false">
      <c r="A40" s="37" t="n">
        <v>1</v>
      </c>
      <c r="B40" s="34" t="s">
        <v>250</v>
      </c>
      <c r="C40" s="34"/>
      <c r="D40" s="34"/>
      <c r="E40" s="34" t="s">
        <v>251</v>
      </c>
      <c r="F40" s="34"/>
      <c r="G40" s="34"/>
    </row>
    <row r="41" customFormat="false" ht="30" hidden="false" customHeight="true" outlineLevel="0" collapsed="false">
      <c r="A41" s="37" t="n">
        <v>2</v>
      </c>
      <c r="B41" s="34" t="s">
        <v>252</v>
      </c>
      <c r="C41" s="34"/>
      <c r="D41" s="34"/>
      <c r="E41" s="34" t="s">
        <v>253</v>
      </c>
      <c r="F41" s="34"/>
      <c r="G41" s="34"/>
    </row>
    <row r="42" customFormat="false" ht="30" hidden="false" customHeight="true" outlineLevel="0" collapsed="false">
      <c r="A42" s="37" t="n">
        <v>3</v>
      </c>
      <c r="B42" s="34" t="s">
        <v>254</v>
      </c>
      <c r="C42" s="34"/>
      <c r="D42" s="34"/>
      <c r="E42" s="34" t="s">
        <v>255</v>
      </c>
      <c r="F42" s="34"/>
      <c r="G42" s="34"/>
    </row>
    <row r="43" customFormat="false" ht="30" hidden="false" customHeight="true" outlineLevel="0" collapsed="false">
      <c r="A43" s="37" t="n">
        <v>4</v>
      </c>
      <c r="B43" s="34" t="s">
        <v>256</v>
      </c>
      <c r="C43" s="34"/>
      <c r="D43" s="34"/>
      <c r="E43" s="34" t="s">
        <v>257</v>
      </c>
      <c r="F43" s="34"/>
      <c r="G43" s="34"/>
    </row>
    <row r="44" customFormat="false" ht="30" hidden="false" customHeight="true" outlineLevel="0" collapsed="false">
      <c r="A44" s="37" t="n">
        <v>5</v>
      </c>
      <c r="B44" s="34"/>
      <c r="C44" s="34"/>
      <c r="D44" s="34"/>
      <c r="E44" s="34"/>
      <c r="F44" s="34"/>
      <c r="G44" s="34"/>
    </row>
    <row r="45" customFormat="false" ht="30" hidden="false" customHeight="true" outlineLevel="0" collapsed="false">
      <c r="A45" s="37" t="n">
        <v>6</v>
      </c>
      <c r="B45" s="34"/>
      <c r="C45" s="34"/>
      <c r="D45" s="34"/>
      <c r="E45" s="34"/>
      <c r="F45" s="34"/>
      <c r="G45" s="34"/>
    </row>
    <row r="46" customFormat="false" ht="15" hidden="false" customHeight="false" outlineLevel="0" collapsed="false">
      <c r="B46" s="25" t="s">
        <v>258</v>
      </c>
      <c r="C46" s="38" t="str">
        <f aca="false">IF(COUNTA(B40:B45)=0,"",COUNTA(E40:E45)&amp;" of "&amp;COUNTA(B40:B45))</f>
        <v>4 of 4</v>
      </c>
    </row>
    <row r="48" customFormat="false" ht="16.15" hidden="false" customHeight="false" outlineLevel="0" collapsed="false">
      <c r="B48" s="3" t="s">
        <v>259</v>
      </c>
      <c r="H48" s="32" t="s">
        <v>209</v>
      </c>
    </row>
    <row r="49" customFormat="false" ht="18" hidden="false" customHeight="true" outlineLevel="0" collapsed="false">
      <c r="B49" s="17" t="s">
        <v>260</v>
      </c>
      <c r="C49" s="17"/>
      <c r="D49" s="17"/>
      <c r="E49" s="17"/>
      <c r="F49" s="17"/>
      <c r="G49" s="17"/>
      <c r="H49" s="17"/>
    </row>
    <row r="50" customFormat="false" ht="15" hidden="false" customHeight="false" outlineLevel="0" collapsed="false">
      <c r="B50" s="13" t="s">
        <v>106</v>
      </c>
      <c r="C50" s="13"/>
      <c r="D50" s="13"/>
      <c r="E50" s="13"/>
      <c r="F50" s="13"/>
      <c r="G50" s="13"/>
      <c r="H50" s="8" t="s">
        <v>107</v>
      </c>
    </row>
    <row r="51" customFormat="false" ht="30" hidden="false" customHeight="true" outlineLevel="0" collapsed="false">
      <c r="B51" s="42" t="s">
        <v>261</v>
      </c>
      <c r="C51" s="42"/>
      <c r="D51" s="42"/>
      <c r="E51" s="42"/>
      <c r="F51" s="42"/>
      <c r="G51" s="42"/>
      <c r="H51" s="4" t="s">
        <v>109</v>
      </c>
    </row>
    <row r="52" customFormat="false" ht="30" hidden="false" customHeight="true" outlineLevel="0" collapsed="false">
      <c r="B52" s="42" t="s">
        <v>262</v>
      </c>
      <c r="C52" s="42"/>
      <c r="D52" s="42"/>
      <c r="E52" s="42"/>
      <c r="F52" s="42"/>
      <c r="G52" s="42"/>
      <c r="H52" s="4" t="s">
        <v>109</v>
      </c>
    </row>
    <row r="53" customFormat="false" ht="30" hidden="false" customHeight="true" outlineLevel="0" collapsed="false">
      <c r="B53" s="42" t="s">
        <v>263</v>
      </c>
      <c r="C53" s="42"/>
      <c r="D53" s="42"/>
      <c r="E53" s="42"/>
      <c r="F53" s="42"/>
      <c r="G53" s="42"/>
      <c r="H53" s="4" t="s">
        <v>109</v>
      </c>
    </row>
    <row r="54" customFormat="false" ht="30" hidden="false" customHeight="true" outlineLevel="0" collapsed="false">
      <c r="B54" s="42" t="s">
        <v>264</v>
      </c>
      <c r="C54" s="42"/>
      <c r="D54" s="42"/>
      <c r="E54" s="42"/>
      <c r="F54" s="42"/>
      <c r="G54" s="42"/>
      <c r="H54" s="4" t="s">
        <v>109</v>
      </c>
    </row>
    <row r="55" customFormat="false" ht="15" hidden="false" customHeight="false" outlineLevel="0" collapsed="false">
      <c r="G55" s="25" t="s">
        <v>113</v>
      </c>
      <c r="H55" s="38" t="str">
        <f aca="false">COUNTIF(H51:H54,"Yes")&amp;" of 4"</f>
        <v>4 of 4</v>
      </c>
    </row>
    <row r="57" customFormat="false" ht="16.15" hidden="false" customHeight="false" outlineLevel="0" collapsed="false">
      <c r="B57" s="3" t="s">
        <v>265</v>
      </c>
      <c r="H57" s="32" t="s">
        <v>209</v>
      </c>
    </row>
    <row r="58" customFormat="false" ht="18" hidden="false" customHeight="true" outlineLevel="0" collapsed="false">
      <c r="B58" s="17" t="s">
        <v>266</v>
      </c>
      <c r="C58" s="17"/>
      <c r="D58" s="17"/>
      <c r="E58" s="17"/>
      <c r="F58" s="17"/>
      <c r="G58" s="17"/>
      <c r="H58" s="17"/>
    </row>
    <row r="59" customFormat="false" ht="21.75" hidden="false" customHeight="true" outlineLevel="0" collapsed="false">
      <c r="B59" s="33" t="s">
        <v>211</v>
      </c>
      <c r="C59" s="4" t="n">
        <v>8</v>
      </c>
    </row>
    <row r="60" customFormat="false" ht="21.75" hidden="false" customHeight="true" outlineLevel="0" collapsed="false">
      <c r="B60" s="33" t="s">
        <v>212</v>
      </c>
      <c r="C60" s="4" t="n">
        <v>8</v>
      </c>
    </row>
    <row r="61" customFormat="false" ht="21.75" hidden="false" customHeight="true" outlineLevel="0" collapsed="false">
      <c r="B61" s="33" t="s">
        <v>213</v>
      </c>
      <c r="C61" s="4" t="n">
        <v>3</v>
      </c>
    </row>
    <row r="62" customFormat="false" ht="21.75" hidden="false" customHeight="true" outlineLevel="0" collapsed="false">
      <c r="B62" s="33" t="s">
        <v>214</v>
      </c>
      <c r="C62" s="4" t="n">
        <v>3</v>
      </c>
    </row>
    <row r="63" customFormat="false" ht="21.75" hidden="false" customHeight="true" outlineLevel="0" collapsed="false">
      <c r="B63" s="33" t="s">
        <v>27</v>
      </c>
      <c r="C63" s="54" t="n">
        <f aca="false">IF(COUNT(C59:C62)&lt;4,"",(C59*C60)/(C61*C62))</f>
        <v>7.11111111111111</v>
      </c>
    </row>
    <row r="64" customFormat="false" ht="21.75" hidden="false" customHeight="true" outlineLevel="0" collapsed="false">
      <c r="B64" s="33" t="s">
        <v>267</v>
      </c>
      <c r="C64" s="48" t="n">
        <f aca="false">IF(OR(ValueNow="",ValueNew=""),"",ValueNew/ValueNow)</f>
        <v>12.4444444444444</v>
      </c>
      <c r="F64" s="24" t="s">
        <v>268</v>
      </c>
      <c r="G64" s="24"/>
      <c r="H64" s="24"/>
    </row>
  </sheetData>
  <mergeCells count="41">
    <mergeCell ref="B2:H2"/>
    <mergeCell ref="B6:H6"/>
    <mergeCell ref="F11:H11"/>
    <mergeCell ref="C12:H12"/>
    <mergeCell ref="B15:H15"/>
    <mergeCell ref="C16:E16"/>
    <mergeCell ref="C17:E17"/>
    <mergeCell ref="B20:H20"/>
    <mergeCell ref="C21:G21"/>
    <mergeCell ref="C22:G22"/>
    <mergeCell ref="C23:G23"/>
    <mergeCell ref="C24:G24"/>
    <mergeCell ref="C25:G25"/>
    <mergeCell ref="C26:G26"/>
    <mergeCell ref="C27:G27"/>
    <mergeCell ref="B31:H31"/>
    <mergeCell ref="C32:E32"/>
    <mergeCell ref="C35:H35"/>
    <mergeCell ref="B38:H38"/>
    <mergeCell ref="B39:D39"/>
    <mergeCell ref="E39:G39"/>
    <mergeCell ref="B40:D40"/>
    <mergeCell ref="E40:G40"/>
    <mergeCell ref="B41:D41"/>
    <mergeCell ref="E41:G41"/>
    <mergeCell ref="B42:D42"/>
    <mergeCell ref="E42:G42"/>
    <mergeCell ref="B43:D43"/>
    <mergeCell ref="E43:G43"/>
    <mergeCell ref="B44:D44"/>
    <mergeCell ref="E44:G44"/>
    <mergeCell ref="B45:D45"/>
    <mergeCell ref="E45:G45"/>
    <mergeCell ref="B49:H49"/>
    <mergeCell ref="B50:G50"/>
    <mergeCell ref="B51:G51"/>
    <mergeCell ref="B52:G52"/>
    <mergeCell ref="B53:G53"/>
    <mergeCell ref="B54:G54"/>
    <mergeCell ref="B58:H58"/>
    <mergeCell ref="F64:H64"/>
  </mergeCells>
  <conditionalFormatting sqref="H51:H54">
    <cfRule type="cellIs" priority="2" operator="equal" aboveAverage="0" equalAverage="0" bottom="0" percent="0" rank="0" text="" dxfId="1">
      <formula>"Yes"</formula>
    </cfRule>
  </conditionalFormatting>
  <dataValidations count="3">
    <dataValidation allowBlank="true" error="A whole number from 1 to 10." errorStyle="stop" errorTitle="Score" operator="between" showDropDown="false" showErrorMessage="false" showInputMessage="false" sqref="C7:C10 C59:C62" type="whole">
      <formula1>1</formula1>
      <formula2>10</formula2>
    </dataValidation>
    <dataValidation allowBlank="true" errorStyle="stop" operator="between" showDropDown="false" showErrorMessage="false" showInputMessage="false" sqref="B22:B27" type="list">
      <formula1>"A result I got,A client's result,A credential,A guarantee,A sample or demo,Numbers"</formula1>
      <formula2>0</formula2>
    </dataValidation>
    <dataValidation allowBlank="true" errorStyle="stop" operator="between" showDropDown="false" showErrorMessage="false" showInputMessage="false" sqref="H51:H54" type="list">
      <formula1>"Yes,Not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269</v>
      </c>
      <c r="G1" s="30" t="s">
        <v>10</v>
      </c>
      <c r="H1" s="31" t="n">
        <f aca="false">(IF('4 Offer'!$B$8="",0,1)+IF('4 Offer'!$B$28="",0,1)+IF('4 Offer'!$B$40="",0,1)+IF('4 Offer'!$B$65="",0,1)+IF('4 Offer'!$B$87="",0,1)+IF('4 Offer'!$H$102="",0,1)+IF('4 Offer'!$B$112="",0,1))/7</f>
        <v>1</v>
      </c>
    </row>
    <row r="2" customFormat="false" ht="30" hidden="false" customHeight="true" outlineLevel="0" collapsed="false">
      <c r="B2" s="2" t="s">
        <v>270</v>
      </c>
      <c r="C2" s="2"/>
      <c r="D2" s="2"/>
      <c r="E2" s="2"/>
      <c r="F2" s="2"/>
      <c r="G2" s="2"/>
      <c r="H2" s="2"/>
    </row>
    <row r="5" customFormat="false" ht="16.15" hidden="false" customHeight="false" outlineLevel="0" collapsed="false">
      <c r="B5" s="3" t="s">
        <v>271</v>
      </c>
      <c r="H5" s="32" t="s">
        <v>272</v>
      </c>
    </row>
    <row r="6" customFormat="false" ht="18" hidden="false" customHeight="true" outlineLevel="0" collapsed="false">
      <c r="B6" s="17" t="s">
        <v>273</v>
      </c>
      <c r="C6" s="17"/>
      <c r="D6" s="17"/>
      <c r="E6" s="17"/>
      <c r="F6" s="17"/>
      <c r="G6" s="17"/>
      <c r="H6" s="17"/>
    </row>
    <row r="7" customFormat="false" ht="30" hidden="false" customHeight="true" outlineLevel="0" collapsed="false">
      <c r="B7" s="8" t="s">
        <v>274</v>
      </c>
      <c r="C7" s="8"/>
      <c r="D7" s="8"/>
    </row>
    <row r="8" customFormat="false" ht="30" hidden="false" customHeight="true" outlineLevel="0" collapsed="false">
      <c r="A8" s="37" t="n">
        <v>1</v>
      </c>
      <c r="B8" s="34" t="s">
        <v>275</v>
      </c>
      <c r="C8" s="34"/>
      <c r="D8" s="34"/>
    </row>
    <row r="9" customFormat="false" ht="30" hidden="false" customHeight="true" outlineLevel="0" collapsed="false">
      <c r="A9" s="37" t="n">
        <v>2</v>
      </c>
      <c r="B9" s="34" t="s">
        <v>276</v>
      </c>
      <c r="C9" s="34"/>
      <c r="D9" s="34"/>
    </row>
    <row r="10" customFormat="false" ht="30" hidden="false" customHeight="true" outlineLevel="0" collapsed="false">
      <c r="A10" s="37" t="n">
        <v>3</v>
      </c>
      <c r="B10" s="34" t="s">
        <v>277</v>
      </c>
      <c r="C10" s="34"/>
      <c r="D10" s="34"/>
    </row>
    <row r="11" customFormat="false" ht="30" hidden="false" customHeight="true" outlineLevel="0" collapsed="false">
      <c r="A11" s="37" t="n">
        <v>4</v>
      </c>
      <c r="B11" s="34" t="s">
        <v>278</v>
      </c>
      <c r="C11" s="34"/>
      <c r="D11" s="34"/>
    </row>
    <row r="12" customFormat="false" ht="30" hidden="false" customHeight="true" outlineLevel="0" collapsed="false">
      <c r="A12" s="37" t="n">
        <v>5</v>
      </c>
      <c r="B12" s="34" t="s">
        <v>279</v>
      </c>
      <c r="C12" s="34"/>
      <c r="D12" s="34"/>
    </row>
    <row r="13" customFormat="false" ht="30" hidden="false" customHeight="true" outlineLevel="0" collapsed="false">
      <c r="A13" s="37" t="n">
        <v>6</v>
      </c>
      <c r="B13" s="34" t="s">
        <v>280</v>
      </c>
      <c r="C13" s="34"/>
      <c r="D13" s="34"/>
    </row>
    <row r="14" customFormat="false" ht="30" hidden="false" customHeight="true" outlineLevel="0" collapsed="false">
      <c r="A14" s="37" t="n">
        <v>7</v>
      </c>
      <c r="B14" s="34" t="s">
        <v>281</v>
      </c>
      <c r="C14" s="34"/>
      <c r="D14" s="34"/>
    </row>
    <row r="15" customFormat="false" ht="30" hidden="false" customHeight="true" outlineLevel="0" collapsed="false">
      <c r="A15" s="37" t="n">
        <v>8</v>
      </c>
      <c r="B15" s="34" t="s">
        <v>282</v>
      </c>
      <c r="C15" s="34"/>
      <c r="D15" s="34"/>
    </row>
    <row r="16" customFormat="false" ht="30" hidden="false" customHeight="true" outlineLevel="0" collapsed="false">
      <c r="A16" s="37" t="n">
        <v>9</v>
      </c>
      <c r="B16" s="34" t="s">
        <v>283</v>
      </c>
      <c r="C16" s="34"/>
      <c r="D16" s="34"/>
    </row>
    <row r="17" customFormat="false" ht="30" hidden="false" customHeight="true" outlineLevel="0" collapsed="false">
      <c r="A17" s="37" t="n">
        <v>10</v>
      </c>
      <c r="B17" s="34"/>
      <c r="C17" s="34"/>
      <c r="D17" s="34"/>
    </row>
    <row r="18" customFormat="false" ht="30" hidden="false" customHeight="true" outlineLevel="0" collapsed="false">
      <c r="A18" s="37" t="n">
        <v>11</v>
      </c>
      <c r="B18" s="34"/>
      <c r="C18" s="34"/>
      <c r="D18" s="34"/>
    </row>
    <row r="19" customFormat="false" ht="30" hidden="false" customHeight="true" outlineLevel="0" collapsed="false">
      <c r="A19" s="37" t="n">
        <v>12</v>
      </c>
      <c r="B19" s="34"/>
      <c r="C19" s="34"/>
      <c r="D19" s="34"/>
    </row>
    <row r="20" customFormat="false" ht="30" hidden="false" customHeight="true" outlineLevel="0" collapsed="false">
      <c r="A20" s="37" t="n">
        <v>13</v>
      </c>
      <c r="B20" s="34"/>
      <c r="C20" s="34"/>
      <c r="D20" s="34"/>
    </row>
    <row r="21" customFormat="false" ht="30" hidden="false" customHeight="true" outlineLevel="0" collapsed="false">
      <c r="A21" s="37" t="n">
        <v>14</v>
      </c>
      <c r="B21" s="34"/>
      <c r="C21" s="34"/>
      <c r="D21" s="34"/>
    </row>
    <row r="22" customFormat="false" ht="30" hidden="false" customHeight="true" outlineLevel="0" collapsed="false">
      <c r="A22" s="37" t="n">
        <v>15</v>
      </c>
      <c r="B22" s="34"/>
      <c r="C22" s="34"/>
      <c r="D22" s="34"/>
    </row>
    <row r="23" customFormat="false" ht="15" hidden="false" customHeight="false" outlineLevel="0" collapsed="false">
      <c r="B23" s="25" t="s">
        <v>284</v>
      </c>
      <c r="C23" s="38" t="str">
        <f aca="false">IF(COUNTA(B8:B22)=0,"",COUNTA(B8:B22)&amp;IF(COUNTA(B8:B22)&gt;=12," in two minutes: well warmed up",IF(COUNTA(B8:B22)&gt;=8," in two minutes: warmed up"," so far; five or more counts")))</f>
        <v>9 in two minutes: warmed up</v>
      </c>
    </row>
    <row r="25" customFormat="false" ht="16.15" hidden="false" customHeight="false" outlineLevel="0" collapsed="false">
      <c r="B25" s="3" t="s">
        <v>285</v>
      </c>
      <c r="H25" s="32" t="s">
        <v>286</v>
      </c>
    </row>
    <row r="26" customFormat="false" ht="30" hidden="false" customHeight="true" outlineLevel="0" collapsed="false">
      <c r="B26" s="17" t="s">
        <v>287</v>
      </c>
      <c r="C26" s="17"/>
      <c r="D26" s="17"/>
      <c r="E26" s="17"/>
      <c r="F26" s="17"/>
      <c r="G26" s="17"/>
      <c r="H26" s="17"/>
    </row>
    <row r="27" customFormat="false" ht="30" hidden="false" customHeight="true" outlineLevel="0" collapsed="false">
      <c r="B27" s="8" t="s">
        <v>106</v>
      </c>
      <c r="C27" s="8"/>
      <c r="D27" s="8"/>
      <c r="E27" s="8"/>
      <c r="F27" s="8"/>
    </row>
    <row r="28" customFormat="false" ht="30" hidden="false" customHeight="true" outlineLevel="0" collapsed="false">
      <c r="A28" s="37" t="n">
        <v>1</v>
      </c>
      <c r="B28" s="34" t="s">
        <v>288</v>
      </c>
      <c r="C28" s="34"/>
      <c r="D28" s="34"/>
      <c r="E28" s="34"/>
      <c r="F28" s="34"/>
    </row>
    <row r="29" customFormat="false" ht="30" hidden="false" customHeight="true" outlineLevel="0" collapsed="false">
      <c r="A29" s="37" t="n">
        <v>2</v>
      </c>
      <c r="B29" s="34" t="s">
        <v>289</v>
      </c>
      <c r="C29" s="34"/>
      <c r="D29" s="34"/>
      <c r="E29" s="34"/>
      <c r="F29" s="34"/>
    </row>
    <row r="30" customFormat="false" ht="30" hidden="false" customHeight="true" outlineLevel="0" collapsed="false">
      <c r="A30" s="37" t="n">
        <v>3</v>
      </c>
      <c r="B30" s="34" t="s">
        <v>290</v>
      </c>
      <c r="C30" s="34"/>
      <c r="D30" s="34"/>
      <c r="E30" s="34"/>
      <c r="F30" s="34"/>
    </row>
    <row r="31" customFormat="false" ht="30" hidden="false" customHeight="true" outlineLevel="0" collapsed="false">
      <c r="A31" s="37" t="n">
        <v>4</v>
      </c>
      <c r="B31" s="34" t="s">
        <v>291</v>
      </c>
      <c r="C31" s="34"/>
      <c r="D31" s="34"/>
      <c r="E31" s="34"/>
      <c r="F31" s="34"/>
    </row>
    <row r="32" customFormat="false" ht="30" hidden="false" customHeight="true" outlineLevel="0" collapsed="false">
      <c r="A32" s="37" t="n">
        <v>5</v>
      </c>
      <c r="B32" s="34" t="s">
        <v>292</v>
      </c>
      <c r="C32" s="34"/>
      <c r="D32" s="34"/>
      <c r="E32" s="34"/>
      <c r="F32" s="34"/>
    </row>
    <row r="33" customFormat="false" ht="30" hidden="false" customHeight="true" outlineLevel="0" collapsed="false">
      <c r="A33" s="37" t="n">
        <v>6</v>
      </c>
      <c r="B33" s="34" t="s">
        <v>293</v>
      </c>
      <c r="C33" s="34"/>
      <c r="D33" s="34"/>
      <c r="E33" s="34"/>
      <c r="F33" s="34"/>
    </row>
    <row r="34" customFormat="false" ht="30" hidden="false" customHeight="true" outlineLevel="0" collapsed="false">
      <c r="A34" s="37" t="n">
        <v>7</v>
      </c>
      <c r="B34" s="34"/>
      <c r="C34" s="34"/>
      <c r="D34" s="34"/>
      <c r="E34" s="34"/>
      <c r="F34" s="34"/>
    </row>
    <row r="35" customFormat="false" ht="30" hidden="false" customHeight="true" outlineLevel="0" collapsed="false">
      <c r="A35" s="37" t="n">
        <v>8</v>
      </c>
      <c r="B35" s="34"/>
      <c r="C35" s="34"/>
      <c r="D35" s="34"/>
      <c r="E35" s="34"/>
      <c r="F35" s="34"/>
    </row>
    <row r="37" customFormat="false" ht="16.15" hidden="false" customHeight="false" outlineLevel="0" collapsed="false">
      <c r="B37" s="3" t="s">
        <v>294</v>
      </c>
      <c r="H37" s="32" t="s">
        <v>295</v>
      </c>
    </row>
    <row r="38" customFormat="false" ht="30" hidden="false" customHeight="true" outlineLevel="0" collapsed="false">
      <c r="B38" s="17" t="s">
        <v>296</v>
      </c>
      <c r="C38" s="17"/>
      <c r="D38" s="17"/>
      <c r="E38" s="17"/>
      <c r="F38" s="17"/>
      <c r="G38" s="17"/>
      <c r="H38" s="17"/>
    </row>
    <row r="39" customFormat="false" ht="30" hidden="false" customHeight="true" outlineLevel="0" collapsed="false">
      <c r="B39" s="8" t="s">
        <v>297</v>
      </c>
      <c r="C39" s="8"/>
      <c r="D39" s="8" t="s">
        <v>298</v>
      </c>
      <c r="E39" s="8" t="s">
        <v>299</v>
      </c>
      <c r="F39" s="8"/>
      <c r="G39" s="8"/>
      <c r="H39" s="8"/>
    </row>
    <row r="40" customFormat="false" ht="30" hidden="false" customHeight="true" outlineLevel="0" collapsed="false">
      <c r="A40" s="37" t="n">
        <v>1</v>
      </c>
      <c r="B40" s="34" t="s">
        <v>300</v>
      </c>
      <c r="C40" s="34"/>
      <c r="D40" s="34" t="s">
        <v>301</v>
      </c>
      <c r="E40" s="34" t="s">
        <v>302</v>
      </c>
      <c r="F40" s="34"/>
      <c r="G40" s="34"/>
      <c r="H40" s="34"/>
    </row>
    <row r="41" customFormat="false" ht="30" hidden="false" customHeight="true" outlineLevel="0" collapsed="false">
      <c r="A41" s="37" t="n">
        <v>2</v>
      </c>
      <c r="B41" s="34" t="s">
        <v>303</v>
      </c>
      <c r="C41" s="34"/>
      <c r="D41" s="34" t="s">
        <v>304</v>
      </c>
      <c r="E41" s="34" t="s">
        <v>305</v>
      </c>
      <c r="F41" s="34"/>
      <c r="G41" s="34"/>
      <c r="H41" s="34"/>
    </row>
    <row r="42" customFormat="false" ht="30" hidden="false" customHeight="true" outlineLevel="0" collapsed="false">
      <c r="A42" s="37" t="n">
        <v>3</v>
      </c>
      <c r="B42" s="34" t="s">
        <v>306</v>
      </c>
      <c r="C42" s="34"/>
      <c r="D42" s="34" t="s">
        <v>301</v>
      </c>
      <c r="E42" s="34" t="s">
        <v>307</v>
      </c>
      <c r="F42" s="34"/>
      <c r="G42" s="34"/>
      <c r="H42" s="34"/>
    </row>
    <row r="43" customFormat="false" ht="30" hidden="false" customHeight="true" outlineLevel="0" collapsed="false">
      <c r="A43" s="37" t="n">
        <v>4</v>
      </c>
      <c r="B43" s="34" t="s">
        <v>308</v>
      </c>
      <c r="C43" s="34"/>
      <c r="D43" s="34" t="s">
        <v>304</v>
      </c>
      <c r="E43" s="34" t="s">
        <v>309</v>
      </c>
      <c r="F43" s="34"/>
      <c r="G43" s="34"/>
      <c r="H43" s="34"/>
    </row>
    <row r="44" customFormat="false" ht="30" hidden="false" customHeight="true" outlineLevel="0" collapsed="false">
      <c r="A44" s="37" t="n">
        <v>5</v>
      </c>
      <c r="B44" s="34" t="s">
        <v>310</v>
      </c>
      <c r="C44" s="34"/>
      <c r="D44" s="34" t="s">
        <v>311</v>
      </c>
      <c r="E44" s="34" t="s">
        <v>312</v>
      </c>
      <c r="F44" s="34"/>
      <c r="G44" s="34"/>
      <c r="H44" s="34"/>
    </row>
    <row r="45" customFormat="false" ht="30" hidden="false" customHeight="true" outlineLevel="0" collapsed="false">
      <c r="A45" s="37" t="n">
        <v>6</v>
      </c>
      <c r="B45" s="34" t="s">
        <v>313</v>
      </c>
      <c r="C45" s="34"/>
      <c r="D45" s="34" t="s">
        <v>301</v>
      </c>
      <c r="E45" s="34" t="s">
        <v>314</v>
      </c>
      <c r="F45" s="34"/>
      <c r="G45" s="34"/>
      <c r="H45" s="34"/>
    </row>
    <row r="46" customFormat="false" ht="30" hidden="false" customHeight="true" outlineLevel="0" collapsed="false">
      <c r="A46" s="37" t="n">
        <v>7</v>
      </c>
      <c r="B46" s="34" t="s">
        <v>315</v>
      </c>
      <c r="C46" s="34"/>
      <c r="D46" s="34" t="s">
        <v>316</v>
      </c>
      <c r="E46" s="34" t="s">
        <v>317</v>
      </c>
      <c r="F46" s="34"/>
      <c r="G46" s="34"/>
      <c r="H46" s="34"/>
    </row>
    <row r="47" customFormat="false" ht="30" hidden="false" customHeight="true" outlineLevel="0" collapsed="false">
      <c r="A47" s="37" t="n">
        <v>8</v>
      </c>
      <c r="B47" s="34" t="s">
        <v>318</v>
      </c>
      <c r="C47" s="34"/>
      <c r="D47" s="34" t="s">
        <v>304</v>
      </c>
      <c r="E47" s="34" t="s">
        <v>319</v>
      </c>
      <c r="F47" s="34"/>
      <c r="G47" s="34"/>
      <c r="H47" s="34"/>
    </row>
    <row r="48" customFormat="false" ht="30" hidden="false" customHeight="true" outlineLevel="0" collapsed="false">
      <c r="A48" s="37" t="n">
        <v>9</v>
      </c>
      <c r="B48" s="34" t="s">
        <v>320</v>
      </c>
      <c r="C48" s="34"/>
      <c r="D48" s="34" t="s">
        <v>301</v>
      </c>
      <c r="E48" s="34" t="s">
        <v>321</v>
      </c>
      <c r="F48" s="34"/>
      <c r="G48" s="34"/>
      <c r="H48" s="34"/>
    </row>
    <row r="49" customFormat="false" ht="30" hidden="false" customHeight="true" outlineLevel="0" collapsed="false">
      <c r="A49" s="37" t="n">
        <v>10</v>
      </c>
      <c r="B49" s="34" t="s">
        <v>322</v>
      </c>
      <c r="C49" s="34"/>
      <c r="D49" s="34" t="s">
        <v>316</v>
      </c>
      <c r="E49" s="34" t="s">
        <v>323</v>
      </c>
      <c r="F49" s="34"/>
      <c r="G49" s="34"/>
      <c r="H49" s="34"/>
    </row>
    <row r="50" customFormat="false" ht="30" hidden="false" customHeight="true" outlineLevel="0" collapsed="false">
      <c r="A50" s="37" t="n">
        <v>11</v>
      </c>
      <c r="B50" s="34"/>
      <c r="C50" s="34"/>
      <c r="D50" s="34"/>
      <c r="E50" s="34"/>
      <c r="F50" s="34"/>
      <c r="G50" s="34"/>
      <c r="H50" s="34"/>
    </row>
    <row r="51" customFormat="false" ht="30" hidden="false" customHeight="true" outlineLevel="0" collapsed="false">
      <c r="A51" s="37" t="n">
        <v>12</v>
      </c>
      <c r="B51" s="34"/>
      <c r="C51" s="34"/>
      <c r="D51" s="34"/>
      <c r="E51" s="34"/>
      <c r="F51" s="34"/>
      <c r="G51" s="34"/>
      <c r="H51" s="34"/>
    </row>
    <row r="52" customFormat="false" ht="30" hidden="false" customHeight="true" outlineLevel="0" collapsed="false">
      <c r="A52" s="37" t="n">
        <v>13</v>
      </c>
      <c r="B52" s="34"/>
      <c r="C52" s="34"/>
      <c r="D52" s="34"/>
      <c r="E52" s="34"/>
      <c r="F52" s="34"/>
      <c r="G52" s="34"/>
      <c r="H52" s="34"/>
    </row>
    <row r="53" customFormat="false" ht="30" hidden="false" customHeight="true" outlineLevel="0" collapsed="false">
      <c r="A53" s="37" t="n">
        <v>14</v>
      </c>
      <c r="B53" s="34"/>
      <c r="C53" s="34"/>
      <c r="D53" s="34"/>
      <c r="E53" s="34"/>
      <c r="F53" s="34"/>
      <c r="G53" s="34"/>
      <c r="H53" s="34"/>
    </row>
    <row r="54" customFormat="false" ht="30" hidden="false" customHeight="true" outlineLevel="0" collapsed="false">
      <c r="A54" s="37" t="n">
        <v>15</v>
      </c>
      <c r="B54" s="34"/>
      <c r="C54" s="34"/>
      <c r="D54" s="34"/>
      <c r="E54" s="34"/>
      <c r="F54" s="34"/>
      <c r="G54" s="34"/>
      <c r="H54" s="34"/>
    </row>
    <row r="55" customFormat="false" ht="15" hidden="false" customHeight="false" outlineLevel="0" collapsed="false">
      <c r="B55" s="25" t="s">
        <v>324</v>
      </c>
      <c r="C55" s="38" t="str">
        <f aca="false">IF(COUNTA(B40:B54)=0,"",COUNTA(B40:B54)&amp;" (eight or more)")</f>
        <v>10 (eight or more)</v>
      </c>
    </row>
    <row r="56" customFormat="false" ht="15" hidden="false" customHeight="false" outlineLevel="0" collapsed="false">
      <c r="B56" s="25" t="s">
        <v>325</v>
      </c>
      <c r="C56" s="38" t="str">
        <f aca="false">IF(COUNTA(B40:B54)=0,"",COUNTA(E40:E54)&amp;" of "&amp;COUNTA(B40:B54))</f>
        <v>10 of 10</v>
      </c>
    </row>
    <row r="57" customFormat="false" ht="15" hidden="false" customHeight="false" outlineLevel="0" collapsed="false">
      <c r="B57" s="25" t="s">
        <v>326</v>
      </c>
      <c r="C57" s="55" t="n">
        <f aca="false">COUNTIF(D40:D54,"The dream outcome")</f>
        <v>2</v>
      </c>
    </row>
    <row r="58" customFormat="false" ht="15" hidden="false" customHeight="false" outlineLevel="0" collapsed="false">
      <c r="B58" s="25" t="s">
        <v>327</v>
      </c>
      <c r="C58" s="55" t="n">
        <f aca="false">COUNTIF(D40:D54,"Belief it will work")</f>
        <v>3</v>
      </c>
    </row>
    <row r="59" customFormat="false" ht="15" hidden="false" customHeight="false" outlineLevel="0" collapsed="false">
      <c r="B59" s="25" t="s">
        <v>328</v>
      </c>
      <c r="C59" s="55" t="n">
        <f aca="false">COUNTIF(D40:D54,"Time")</f>
        <v>1</v>
      </c>
    </row>
    <row r="60" customFormat="false" ht="15" hidden="false" customHeight="false" outlineLevel="0" collapsed="false">
      <c r="B60" s="25" t="s">
        <v>329</v>
      </c>
      <c r="C60" s="55" t="n">
        <f aca="false">COUNTIF(D40:D54,"Effort or sacrifice")</f>
        <v>4</v>
      </c>
    </row>
    <row r="62" customFormat="false" ht="16.15" hidden="false" customHeight="false" outlineLevel="0" collapsed="false">
      <c r="B62" s="3" t="s">
        <v>330</v>
      </c>
      <c r="H62" s="32" t="s">
        <v>331</v>
      </c>
    </row>
    <row r="63" customFormat="false" ht="45" hidden="false" customHeight="true" outlineLevel="0" collapsed="false">
      <c r="B63" s="17" t="s">
        <v>332</v>
      </c>
      <c r="C63" s="17"/>
      <c r="D63" s="17"/>
      <c r="E63" s="17"/>
      <c r="F63" s="17"/>
      <c r="G63" s="17"/>
      <c r="H63" s="17"/>
    </row>
    <row r="64" customFormat="false" ht="30" hidden="false" customHeight="true" outlineLevel="0" collapsed="false">
      <c r="B64" s="8" t="s">
        <v>333</v>
      </c>
      <c r="C64" s="8" t="s">
        <v>334</v>
      </c>
      <c r="D64" s="8" t="s">
        <v>335</v>
      </c>
      <c r="E64" s="8" t="s">
        <v>336</v>
      </c>
      <c r="F64" s="8" t="s">
        <v>337</v>
      </c>
      <c r="G64" s="8" t="s">
        <v>338</v>
      </c>
      <c r="H64" s="8" t="s">
        <v>339</v>
      </c>
      <c r="I64" s="8" t="s">
        <v>340</v>
      </c>
    </row>
    <row r="65" customFormat="false" ht="30" hidden="false" customHeight="true" outlineLevel="0" collapsed="false">
      <c r="A65" s="37" t="n">
        <v>1</v>
      </c>
      <c r="B65" s="34" t="s">
        <v>341</v>
      </c>
      <c r="C65" s="34" t="s">
        <v>342</v>
      </c>
      <c r="D65" s="34" t="s">
        <v>343</v>
      </c>
      <c r="E65" s="34" t="s">
        <v>344</v>
      </c>
      <c r="F65" s="34" t="s">
        <v>345</v>
      </c>
      <c r="G65" s="34" t="s">
        <v>346</v>
      </c>
      <c r="H65" s="34" t="s">
        <v>347</v>
      </c>
      <c r="I65" s="35" t="str">
        <f aca="false">IF(OR(G65="",H65=""),"",IF(G65="Low","Cut",IF(H65="Low","Keep","Keep if affordable")))</f>
        <v>Keep</v>
      </c>
    </row>
    <row r="66" customFormat="false" ht="30" hidden="false" customHeight="true" outlineLevel="0" collapsed="false">
      <c r="A66" s="37" t="n">
        <v>2</v>
      </c>
      <c r="B66" s="34" t="s">
        <v>348</v>
      </c>
      <c r="C66" s="34" t="s">
        <v>349</v>
      </c>
      <c r="D66" s="34" t="s">
        <v>350</v>
      </c>
      <c r="E66" s="34" t="s">
        <v>351</v>
      </c>
      <c r="F66" s="34" t="s">
        <v>352</v>
      </c>
      <c r="G66" s="34" t="s">
        <v>346</v>
      </c>
      <c r="H66" s="34" t="s">
        <v>346</v>
      </c>
      <c r="I66" s="35" t="str">
        <f aca="false">IF(OR(G66="",H66=""),"",IF(G66="Low","Cut",IF(H66="Low","Keep","Keep if affordable")))</f>
        <v>Keep if affordable</v>
      </c>
    </row>
    <row r="67" customFormat="false" ht="30" hidden="false" customHeight="true" outlineLevel="0" collapsed="false">
      <c r="A67" s="37" t="n">
        <v>3</v>
      </c>
      <c r="B67" s="34" t="s">
        <v>353</v>
      </c>
      <c r="C67" s="34" t="s">
        <v>349</v>
      </c>
      <c r="D67" s="34" t="s">
        <v>350</v>
      </c>
      <c r="E67" s="34" t="s">
        <v>344</v>
      </c>
      <c r="F67" s="34" t="s">
        <v>354</v>
      </c>
      <c r="G67" s="34" t="s">
        <v>346</v>
      </c>
      <c r="H67" s="34" t="s">
        <v>346</v>
      </c>
      <c r="I67" s="35" t="str">
        <f aca="false">IF(OR(G67="",H67=""),"",IF(G67="Low","Cut",IF(H67="Low","Keep","Keep if affordable")))</f>
        <v>Keep if affordable</v>
      </c>
    </row>
    <row r="68" customFormat="false" ht="30" hidden="false" customHeight="true" outlineLevel="0" collapsed="false">
      <c r="A68" s="37" t="n">
        <v>4</v>
      </c>
      <c r="B68" s="34" t="s">
        <v>355</v>
      </c>
      <c r="C68" s="34" t="s">
        <v>342</v>
      </c>
      <c r="D68" s="34" t="s">
        <v>343</v>
      </c>
      <c r="E68" s="34" t="s">
        <v>356</v>
      </c>
      <c r="F68" s="34" t="s">
        <v>345</v>
      </c>
      <c r="G68" s="34" t="s">
        <v>346</v>
      </c>
      <c r="H68" s="34" t="s">
        <v>347</v>
      </c>
      <c r="I68" s="35" t="str">
        <f aca="false">IF(OR(G68="",H68=""),"",IF(G68="Low","Cut",IF(H68="Low","Keep","Keep if affordable")))</f>
        <v>Keep</v>
      </c>
    </row>
    <row r="69" customFormat="false" ht="30" hidden="false" customHeight="true" outlineLevel="0" collapsed="false">
      <c r="A69" s="37" t="n">
        <v>5</v>
      </c>
      <c r="B69" s="34" t="s">
        <v>357</v>
      </c>
      <c r="C69" s="34" t="s">
        <v>358</v>
      </c>
      <c r="D69" s="34" t="s">
        <v>350</v>
      </c>
      <c r="E69" s="34" t="s">
        <v>351</v>
      </c>
      <c r="F69" s="34" t="s">
        <v>345</v>
      </c>
      <c r="G69" s="34" t="s">
        <v>347</v>
      </c>
      <c r="H69" s="34" t="s">
        <v>346</v>
      </c>
      <c r="I69" s="35" t="str">
        <f aca="false">IF(OR(G69="",H69=""),"",IF(G69="Low","Cut",IF(H69="Low","Keep","Keep if affordable")))</f>
        <v>Cut</v>
      </c>
    </row>
    <row r="70" customFormat="false" ht="30" hidden="false" customHeight="true" outlineLevel="0" collapsed="false">
      <c r="A70" s="37" t="n">
        <v>6</v>
      </c>
      <c r="B70" s="34" t="s">
        <v>359</v>
      </c>
      <c r="C70" s="34" t="s">
        <v>342</v>
      </c>
      <c r="D70" s="34" t="s">
        <v>343</v>
      </c>
      <c r="E70" s="34" t="s">
        <v>360</v>
      </c>
      <c r="F70" s="34" t="s">
        <v>345</v>
      </c>
      <c r="G70" s="34" t="s">
        <v>346</v>
      </c>
      <c r="H70" s="34" t="s">
        <v>347</v>
      </c>
      <c r="I70" s="35" t="str">
        <f aca="false">IF(OR(G70="",H70=""),"",IF(G70="Low","Cut",IF(H70="Low","Keep","Keep if affordable")))</f>
        <v>Keep</v>
      </c>
    </row>
    <row r="71" customFormat="false" ht="30" hidden="false" customHeight="true" outlineLevel="0" collapsed="false">
      <c r="A71" s="37" t="n">
        <v>7</v>
      </c>
      <c r="B71" s="34" t="s">
        <v>361</v>
      </c>
      <c r="C71" s="34" t="s">
        <v>342</v>
      </c>
      <c r="D71" s="34" t="s">
        <v>343</v>
      </c>
      <c r="E71" s="34" t="s">
        <v>344</v>
      </c>
      <c r="F71" s="34" t="s">
        <v>345</v>
      </c>
      <c r="G71" s="34" t="s">
        <v>347</v>
      </c>
      <c r="H71" s="34" t="s">
        <v>347</v>
      </c>
      <c r="I71" s="35" t="str">
        <f aca="false">IF(OR(G71="",H71=""),"",IF(G71="Low","Cut",IF(H71="Low","Keep","Keep if affordable")))</f>
        <v>Cut</v>
      </c>
    </row>
    <row r="72" customFormat="false" ht="30" hidden="false" customHeight="true" outlineLevel="0" collapsed="false">
      <c r="A72" s="37" t="n">
        <v>8</v>
      </c>
      <c r="B72" s="34" t="s">
        <v>362</v>
      </c>
      <c r="C72" s="34" t="s">
        <v>342</v>
      </c>
      <c r="D72" s="34" t="s">
        <v>343</v>
      </c>
      <c r="E72" s="34" t="s">
        <v>360</v>
      </c>
      <c r="F72" s="34" t="s">
        <v>345</v>
      </c>
      <c r="G72" s="34" t="s">
        <v>346</v>
      </c>
      <c r="H72" s="34" t="s">
        <v>347</v>
      </c>
      <c r="I72" s="35" t="str">
        <f aca="false">IF(OR(G72="",H72=""),"",IF(G72="Low","Cut",IF(H72="Low","Keep","Keep if affordable")))</f>
        <v>Keep</v>
      </c>
    </row>
    <row r="73" customFormat="false" ht="30" hidden="false" customHeight="true" outlineLevel="0" collapsed="false">
      <c r="A73" s="37" t="n">
        <v>9</v>
      </c>
      <c r="B73" s="34"/>
      <c r="C73" s="34"/>
      <c r="D73" s="34"/>
      <c r="E73" s="34"/>
      <c r="F73" s="34"/>
      <c r="G73" s="34"/>
      <c r="H73" s="34"/>
      <c r="I73" s="35" t="str">
        <f aca="false">IF(OR(G73="",H73=""),"",IF(G73="Low","Cut",IF(H73="Low","Keep","Keep if affordable")))</f>
        <v/>
      </c>
    </row>
    <row r="74" customFormat="false" ht="30" hidden="false" customHeight="true" outlineLevel="0" collapsed="false">
      <c r="A74" s="37" t="n">
        <v>10</v>
      </c>
      <c r="B74" s="34"/>
      <c r="C74" s="34"/>
      <c r="D74" s="34"/>
      <c r="E74" s="34"/>
      <c r="F74" s="34"/>
      <c r="G74" s="34"/>
      <c r="H74" s="34"/>
      <c r="I74" s="35" t="str">
        <f aca="false">IF(OR(G74="",H74=""),"",IF(G74="Low","Cut",IF(H74="Low","Keep","Keep if affordable")))</f>
        <v/>
      </c>
    </row>
    <row r="75" customFormat="false" ht="30" hidden="false" customHeight="true" outlineLevel="0" collapsed="false">
      <c r="A75" s="37" t="n">
        <v>11</v>
      </c>
      <c r="B75" s="34"/>
      <c r="C75" s="34"/>
      <c r="D75" s="34"/>
      <c r="E75" s="34"/>
      <c r="F75" s="34"/>
      <c r="G75" s="34"/>
      <c r="H75" s="34"/>
      <c r="I75" s="35" t="str">
        <f aca="false">IF(OR(G75="",H75=""),"",IF(G75="Low","Cut",IF(H75="Low","Keep","Keep if affordable")))</f>
        <v/>
      </c>
    </row>
    <row r="76" customFormat="false" ht="30" hidden="false" customHeight="true" outlineLevel="0" collapsed="false">
      <c r="A76" s="37" t="n">
        <v>12</v>
      </c>
      <c r="B76" s="34"/>
      <c r="C76" s="34"/>
      <c r="D76" s="34"/>
      <c r="E76" s="34"/>
      <c r="F76" s="34"/>
      <c r="G76" s="34"/>
      <c r="H76" s="34"/>
      <c r="I76" s="35" t="str">
        <f aca="false">IF(OR(G76="",H76=""),"",IF(G76="Low","Cut",IF(H76="Low","Keep","Keep if affordable")))</f>
        <v/>
      </c>
    </row>
    <row r="77" customFormat="false" ht="30" hidden="false" customHeight="true" outlineLevel="0" collapsed="false">
      <c r="A77" s="37" t="n">
        <v>13</v>
      </c>
      <c r="B77" s="34"/>
      <c r="C77" s="34"/>
      <c r="D77" s="34"/>
      <c r="E77" s="34"/>
      <c r="F77" s="34"/>
      <c r="G77" s="34"/>
      <c r="H77" s="34"/>
      <c r="I77" s="35" t="str">
        <f aca="false">IF(OR(G77="",H77=""),"",IF(G77="Low","Cut",IF(H77="Low","Keep","Keep if affordable")))</f>
        <v/>
      </c>
    </row>
    <row r="78" customFormat="false" ht="30" hidden="false" customHeight="true" outlineLevel="0" collapsed="false">
      <c r="A78" s="37" t="n">
        <v>14</v>
      </c>
      <c r="B78" s="34"/>
      <c r="C78" s="34"/>
      <c r="D78" s="34"/>
      <c r="E78" s="34"/>
      <c r="F78" s="34"/>
      <c r="G78" s="34"/>
      <c r="H78" s="34"/>
      <c r="I78" s="35" t="str">
        <f aca="false">IF(OR(G78="",H78=""),"",IF(G78="Low","Cut",IF(H78="Low","Keep","Keep if affordable")))</f>
        <v/>
      </c>
    </row>
    <row r="79" customFormat="false" ht="30" hidden="false" customHeight="true" outlineLevel="0" collapsed="false">
      <c r="A79" s="37" t="n">
        <v>15</v>
      </c>
      <c r="B79" s="34"/>
      <c r="C79" s="34"/>
      <c r="D79" s="34"/>
      <c r="E79" s="34"/>
      <c r="F79" s="34"/>
      <c r="G79" s="34"/>
      <c r="H79" s="34"/>
      <c r="I79" s="35" t="str">
        <f aca="false">IF(OR(G79="",H79=""),"",IF(G79="Low","Cut",IF(H79="Low","Keep","Keep if affordable")))</f>
        <v/>
      </c>
    </row>
    <row r="80" customFormat="false" ht="15" hidden="false" customHeight="false" outlineLevel="0" collapsed="false">
      <c r="B80" s="25" t="s">
        <v>363</v>
      </c>
      <c r="C80" s="55" t="n">
        <f aca="false">COUNTIF(I65:I79,"Keep")</f>
        <v>4</v>
      </c>
    </row>
    <row r="81" customFormat="false" ht="15" hidden="false" customHeight="false" outlineLevel="0" collapsed="false">
      <c r="B81" s="25" t="s">
        <v>364</v>
      </c>
      <c r="C81" s="55" t="n">
        <f aca="false">COUNTIF(I65:I79,"Keep if affordable")</f>
        <v>2</v>
      </c>
    </row>
    <row r="82" customFormat="false" ht="15" hidden="false" customHeight="false" outlineLevel="0" collapsed="false">
      <c r="B82" s="25" t="s">
        <v>365</v>
      </c>
      <c r="C82" s="55" t="n">
        <f aca="false">COUNTIF(I65:I79,"Cut")</f>
        <v>2</v>
      </c>
    </row>
    <row r="84" customFormat="false" ht="16.15" hidden="false" customHeight="false" outlineLevel="0" collapsed="false">
      <c r="B84" s="3" t="s">
        <v>366</v>
      </c>
      <c r="H84" s="32" t="s">
        <v>367</v>
      </c>
    </row>
    <row r="85" customFormat="false" ht="30" hidden="false" customHeight="true" outlineLevel="0" collapsed="false">
      <c r="B85" s="17" t="s">
        <v>368</v>
      </c>
      <c r="C85" s="17"/>
      <c r="D85" s="17"/>
      <c r="E85" s="17"/>
      <c r="F85" s="17"/>
      <c r="G85" s="17"/>
      <c r="H85" s="17"/>
    </row>
    <row r="86" customFormat="false" ht="30" hidden="false" customHeight="true" outlineLevel="0" collapsed="false">
      <c r="B86" s="8" t="s">
        <v>369</v>
      </c>
      <c r="C86" s="8" t="s">
        <v>370</v>
      </c>
      <c r="D86" s="8"/>
      <c r="E86" s="8"/>
      <c r="F86" s="8" t="s">
        <v>371</v>
      </c>
      <c r="G86" s="8" t="s">
        <v>372</v>
      </c>
    </row>
    <row r="87" customFormat="false" ht="30" hidden="false" customHeight="true" outlineLevel="0" collapsed="false">
      <c r="A87" s="37" t="n">
        <v>1</v>
      </c>
      <c r="B87" s="34" t="s">
        <v>373</v>
      </c>
      <c r="C87" s="34" t="s">
        <v>374</v>
      </c>
      <c r="D87" s="34"/>
      <c r="E87" s="34"/>
      <c r="F87" s="39" t="n">
        <v>297</v>
      </c>
      <c r="G87" s="39" t="n">
        <v>5</v>
      </c>
    </row>
    <row r="88" customFormat="false" ht="30" hidden="false" customHeight="true" outlineLevel="0" collapsed="false">
      <c r="A88" s="37" t="n">
        <v>2</v>
      </c>
      <c r="B88" s="34" t="s">
        <v>375</v>
      </c>
      <c r="C88" s="34" t="s">
        <v>376</v>
      </c>
      <c r="D88" s="34"/>
      <c r="E88" s="34"/>
      <c r="F88" s="39" t="n">
        <v>150</v>
      </c>
      <c r="G88" s="39" t="n">
        <v>60</v>
      </c>
    </row>
    <row r="89" customFormat="false" ht="30" hidden="false" customHeight="true" outlineLevel="0" collapsed="false">
      <c r="A89" s="37" t="n">
        <v>3</v>
      </c>
      <c r="B89" s="34" t="s">
        <v>377</v>
      </c>
      <c r="C89" s="34" t="s">
        <v>378</v>
      </c>
      <c r="D89" s="34"/>
      <c r="E89" s="34"/>
      <c r="F89" s="39" t="n">
        <v>197</v>
      </c>
      <c r="G89" s="39" t="n">
        <v>40</v>
      </c>
    </row>
    <row r="90" customFormat="false" ht="30" hidden="false" customHeight="true" outlineLevel="0" collapsed="false">
      <c r="A90" s="37" t="n">
        <v>4</v>
      </c>
      <c r="B90" s="34" t="s">
        <v>379</v>
      </c>
      <c r="C90" s="34" t="s">
        <v>380</v>
      </c>
      <c r="D90" s="34"/>
      <c r="E90" s="34"/>
      <c r="F90" s="39" t="n">
        <v>49</v>
      </c>
      <c r="G90" s="39" t="n">
        <v>0</v>
      </c>
    </row>
    <row r="91" customFormat="false" ht="30" hidden="false" customHeight="true" outlineLevel="0" collapsed="false">
      <c r="A91" s="37" t="n">
        <v>5</v>
      </c>
      <c r="B91" s="34" t="s">
        <v>381</v>
      </c>
      <c r="C91" s="34" t="s">
        <v>382</v>
      </c>
      <c r="D91" s="34"/>
      <c r="E91" s="34"/>
      <c r="F91" s="39" t="n">
        <v>39</v>
      </c>
      <c r="G91" s="39" t="n">
        <v>0</v>
      </c>
    </row>
    <row r="92" customFormat="false" ht="30" hidden="false" customHeight="true" outlineLevel="0" collapsed="false">
      <c r="A92" s="37" t="n">
        <v>6</v>
      </c>
      <c r="B92" s="34"/>
      <c r="C92" s="34"/>
      <c r="D92" s="34"/>
      <c r="E92" s="34"/>
      <c r="F92" s="39"/>
      <c r="G92" s="39"/>
    </row>
    <row r="93" customFormat="false" ht="30" hidden="false" customHeight="true" outlineLevel="0" collapsed="false">
      <c r="A93" s="37" t="n">
        <v>7</v>
      </c>
      <c r="B93" s="34"/>
      <c r="C93" s="34"/>
      <c r="D93" s="34"/>
      <c r="E93" s="34"/>
      <c r="F93" s="39"/>
      <c r="G93" s="39"/>
    </row>
    <row r="94" customFormat="false" ht="30" hidden="false" customHeight="true" outlineLevel="0" collapsed="false">
      <c r="A94" s="37" t="n">
        <v>8</v>
      </c>
      <c r="B94" s="34"/>
      <c r="C94" s="34"/>
      <c r="D94" s="34"/>
      <c r="E94" s="34"/>
      <c r="F94" s="39"/>
      <c r="G94" s="39"/>
    </row>
    <row r="95" customFormat="false" ht="15" hidden="false" customHeight="false" outlineLevel="0" collapsed="false">
      <c r="B95" s="25" t="s">
        <v>29</v>
      </c>
      <c r="F95" s="56" t="n">
        <f aca="false">IF(COUNT(F87:F94)=0,"",SUM(F87:F94))</f>
        <v>732</v>
      </c>
    </row>
    <row r="96" customFormat="false" ht="15" hidden="false" customHeight="false" outlineLevel="0" collapsed="false">
      <c r="B96" s="25" t="s">
        <v>383</v>
      </c>
      <c r="G96" s="56" t="n">
        <f aca="false">IF(COUNT(G87:G94)=0,"",SUM(G87:G94))</f>
        <v>105</v>
      </c>
    </row>
    <row r="97" customFormat="false" ht="21.75" hidden="false" customHeight="true" outlineLevel="0" collapsed="false">
      <c r="B97" s="33" t="s">
        <v>384</v>
      </c>
      <c r="C97" s="48" t="n">
        <f aca="false">IF(OR(StackTotal="",PriceUsed="",PriceUsed=0),"",StackTotal/PriceUsed)</f>
        <v>2.46464646464646</v>
      </c>
      <c r="F97" s="24" t="s">
        <v>385</v>
      </c>
      <c r="G97" s="24"/>
      <c r="H97" s="24"/>
    </row>
    <row r="99" customFormat="false" ht="16.15" hidden="false" customHeight="false" outlineLevel="0" collapsed="false">
      <c r="B99" s="3" t="s">
        <v>386</v>
      </c>
      <c r="H99" s="32" t="s">
        <v>387</v>
      </c>
    </row>
    <row r="100" customFormat="false" ht="18" hidden="false" customHeight="true" outlineLevel="0" collapsed="false">
      <c r="B100" s="17" t="s">
        <v>388</v>
      </c>
      <c r="C100" s="17"/>
      <c r="D100" s="17"/>
      <c r="E100" s="17"/>
      <c r="F100" s="17"/>
      <c r="G100" s="17"/>
      <c r="H100" s="17"/>
    </row>
    <row r="101" customFormat="false" ht="15" hidden="false" customHeight="false" outlineLevel="0" collapsed="false">
      <c r="B101" s="13" t="s">
        <v>106</v>
      </c>
      <c r="C101" s="13"/>
      <c r="D101" s="13"/>
      <c r="E101" s="13"/>
      <c r="F101" s="13"/>
      <c r="G101" s="13"/>
      <c r="H101" s="8" t="s">
        <v>107</v>
      </c>
    </row>
    <row r="102" customFormat="false" ht="30" hidden="false" customHeight="true" outlineLevel="0" collapsed="false">
      <c r="B102" s="42" t="s">
        <v>389</v>
      </c>
      <c r="C102" s="42"/>
      <c r="D102" s="42"/>
      <c r="E102" s="42"/>
      <c r="F102" s="42"/>
      <c r="G102" s="42"/>
      <c r="H102" s="4" t="s">
        <v>109</v>
      </c>
    </row>
    <row r="103" customFormat="false" ht="30" hidden="false" customHeight="true" outlineLevel="0" collapsed="false">
      <c r="B103" s="42" t="s">
        <v>390</v>
      </c>
      <c r="C103" s="42"/>
      <c r="D103" s="42"/>
      <c r="E103" s="42"/>
      <c r="F103" s="42"/>
      <c r="G103" s="42"/>
      <c r="H103" s="4" t="s">
        <v>109</v>
      </c>
    </row>
    <row r="104" customFormat="false" ht="30" hidden="false" customHeight="true" outlineLevel="0" collapsed="false">
      <c r="B104" s="42" t="s">
        <v>391</v>
      </c>
      <c r="C104" s="42"/>
      <c r="D104" s="42"/>
      <c r="E104" s="42"/>
      <c r="F104" s="42"/>
      <c r="G104" s="42"/>
      <c r="H104" s="4" t="s">
        <v>109</v>
      </c>
    </row>
    <row r="105" customFormat="false" ht="30" hidden="false" customHeight="true" outlineLevel="0" collapsed="false">
      <c r="B105" s="42" t="s">
        <v>392</v>
      </c>
      <c r="C105" s="42"/>
      <c r="D105" s="42"/>
      <c r="E105" s="42"/>
      <c r="F105" s="42"/>
      <c r="G105" s="42"/>
      <c r="H105" s="4" t="s">
        <v>109</v>
      </c>
    </row>
    <row r="106" customFormat="false" ht="30" hidden="false" customHeight="true" outlineLevel="0" collapsed="false">
      <c r="B106" s="42" t="s">
        <v>393</v>
      </c>
      <c r="C106" s="42"/>
      <c r="D106" s="42"/>
      <c r="E106" s="42"/>
      <c r="F106" s="42"/>
      <c r="G106" s="42"/>
      <c r="H106" s="4" t="s">
        <v>109</v>
      </c>
    </row>
    <row r="107" customFormat="false" ht="15" hidden="false" customHeight="false" outlineLevel="0" collapsed="false">
      <c r="G107" s="25" t="s">
        <v>113</v>
      </c>
      <c r="H107" s="38" t="str">
        <f aca="false">COUNTIF(H102:H106,"Yes")&amp;" of 5"</f>
        <v>5 of 5</v>
      </c>
    </row>
    <row r="109" customFormat="false" ht="16.15" hidden="false" customHeight="false" outlineLevel="0" collapsed="false">
      <c r="B109" s="3" t="s">
        <v>394</v>
      </c>
      <c r="H109" s="32" t="s">
        <v>395</v>
      </c>
    </row>
    <row r="110" customFormat="false" ht="18" hidden="false" customHeight="true" outlineLevel="0" collapsed="false">
      <c r="B110" s="17" t="s">
        <v>396</v>
      </c>
      <c r="C110" s="17"/>
      <c r="D110" s="17"/>
      <c r="E110" s="17"/>
      <c r="F110" s="17"/>
      <c r="G110" s="17"/>
      <c r="H110" s="17"/>
    </row>
    <row r="111" customFormat="false" ht="30" hidden="false" customHeight="true" outlineLevel="0" collapsed="false">
      <c r="B111" s="8" t="s">
        <v>397</v>
      </c>
      <c r="C111" s="8" t="s">
        <v>398</v>
      </c>
      <c r="D111" s="8"/>
      <c r="E111" s="8"/>
      <c r="F111" s="8" t="s">
        <v>399</v>
      </c>
      <c r="G111" s="8"/>
      <c r="H111" s="8"/>
    </row>
    <row r="112" customFormat="false" ht="30" hidden="false" customHeight="true" outlineLevel="0" collapsed="false">
      <c r="A112" s="37" t="n">
        <v>1</v>
      </c>
      <c r="B112" s="34" t="s">
        <v>400</v>
      </c>
      <c r="C112" s="34" t="s">
        <v>401</v>
      </c>
      <c r="D112" s="34"/>
      <c r="E112" s="34"/>
      <c r="F112" s="34" t="s">
        <v>402</v>
      </c>
      <c r="G112" s="34"/>
      <c r="H112" s="34"/>
    </row>
    <row r="113" customFormat="false" ht="30" hidden="false" customHeight="true" outlineLevel="0" collapsed="false">
      <c r="A113" s="37" t="n">
        <v>2</v>
      </c>
      <c r="B113" s="34"/>
      <c r="C113" s="34"/>
      <c r="D113" s="34"/>
      <c r="E113" s="34"/>
      <c r="F113" s="34"/>
      <c r="G113" s="34"/>
      <c r="H113" s="34"/>
    </row>
    <row r="114" customFormat="false" ht="30" hidden="false" customHeight="true" outlineLevel="0" collapsed="false">
      <c r="A114" s="37" t="n">
        <v>3</v>
      </c>
      <c r="B114" s="34"/>
      <c r="C114" s="34"/>
      <c r="D114" s="34"/>
      <c r="E114" s="34"/>
      <c r="F114" s="34"/>
      <c r="G114" s="34"/>
      <c r="H114" s="34"/>
    </row>
    <row r="115" customFormat="false" ht="30" hidden="false" customHeight="true" outlineLevel="0" collapsed="false">
      <c r="A115" s="37" t="n">
        <v>4</v>
      </c>
      <c r="B115" s="34"/>
      <c r="C115" s="34"/>
      <c r="D115" s="34"/>
      <c r="E115" s="34"/>
      <c r="F115" s="34"/>
      <c r="G115" s="34"/>
      <c r="H115" s="34"/>
    </row>
  </sheetData>
  <mergeCells count="91">
    <mergeCell ref="B2:H2"/>
    <mergeCell ref="B6:H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6:H26"/>
    <mergeCell ref="B27:F27"/>
    <mergeCell ref="B28:F28"/>
    <mergeCell ref="B29:F29"/>
    <mergeCell ref="B30:F30"/>
    <mergeCell ref="B31:F31"/>
    <mergeCell ref="B32:F32"/>
    <mergeCell ref="B33:F33"/>
    <mergeCell ref="B34:F34"/>
    <mergeCell ref="B35:F35"/>
    <mergeCell ref="B38:H38"/>
    <mergeCell ref="B39:C39"/>
    <mergeCell ref="E39:H39"/>
    <mergeCell ref="B40:C40"/>
    <mergeCell ref="E40:H40"/>
    <mergeCell ref="B41:C41"/>
    <mergeCell ref="E41:H41"/>
    <mergeCell ref="B42:C42"/>
    <mergeCell ref="E42:H42"/>
    <mergeCell ref="B43:C43"/>
    <mergeCell ref="E43:H43"/>
    <mergeCell ref="B44:C44"/>
    <mergeCell ref="E44:H44"/>
    <mergeCell ref="B45:C45"/>
    <mergeCell ref="E45:H45"/>
    <mergeCell ref="B46:C46"/>
    <mergeCell ref="E46:H46"/>
    <mergeCell ref="B47:C47"/>
    <mergeCell ref="E47:H47"/>
    <mergeCell ref="B48:C48"/>
    <mergeCell ref="E48:H48"/>
    <mergeCell ref="B49:C49"/>
    <mergeCell ref="E49:H49"/>
    <mergeCell ref="B50:C50"/>
    <mergeCell ref="E50:H50"/>
    <mergeCell ref="B51:C51"/>
    <mergeCell ref="E51:H51"/>
    <mergeCell ref="B52:C52"/>
    <mergeCell ref="E52:H52"/>
    <mergeCell ref="B53:C53"/>
    <mergeCell ref="E53:H53"/>
    <mergeCell ref="B54:C54"/>
    <mergeCell ref="E54:H54"/>
    <mergeCell ref="B63:H63"/>
    <mergeCell ref="B85:H85"/>
    <mergeCell ref="C86:E86"/>
    <mergeCell ref="C87:E87"/>
    <mergeCell ref="C88:E88"/>
    <mergeCell ref="C89:E89"/>
    <mergeCell ref="C90:E90"/>
    <mergeCell ref="C91:E91"/>
    <mergeCell ref="C92:E92"/>
    <mergeCell ref="C93:E93"/>
    <mergeCell ref="C94:E94"/>
    <mergeCell ref="F97:H97"/>
    <mergeCell ref="B100:H100"/>
    <mergeCell ref="B101:G101"/>
    <mergeCell ref="B102:G102"/>
    <mergeCell ref="B103:G103"/>
    <mergeCell ref="B104:G104"/>
    <mergeCell ref="B105:G105"/>
    <mergeCell ref="B106:G106"/>
    <mergeCell ref="B110:H110"/>
    <mergeCell ref="C111:E111"/>
    <mergeCell ref="F111:H111"/>
    <mergeCell ref="C112:E112"/>
    <mergeCell ref="F112:H112"/>
    <mergeCell ref="C113:E113"/>
    <mergeCell ref="F113:H113"/>
    <mergeCell ref="C114:E114"/>
    <mergeCell ref="F114:H114"/>
    <mergeCell ref="C115:E115"/>
    <mergeCell ref="F115:H115"/>
  </mergeCells>
  <conditionalFormatting sqref="I65:I79">
    <cfRule type="cellIs" priority="2" operator="equal" aboveAverage="0" equalAverage="0" bottom="0" percent="0" rank="0" text="" dxfId="0">
      <formula>"Keep"</formula>
    </cfRule>
    <cfRule type="cellIs" priority="3" operator="equal" aboveAverage="0" equalAverage="0" bottom="0" percent="0" rank="0" text="" dxfId="2">
      <formula>"Keep if affordable"</formula>
    </cfRule>
    <cfRule type="cellIs" priority="4" operator="equal" aboveAverage="0" equalAverage="0" bottom="0" percent="0" rank="0" text="" dxfId="3">
      <formula>"Cut"</formula>
    </cfRule>
  </conditionalFormatting>
  <conditionalFormatting sqref="H102:H106">
    <cfRule type="cellIs" priority="5" operator="equal" aboveAverage="0" equalAverage="0" bottom="0" percent="0" rank="0" text="" dxfId="1">
      <formula>"Yes"</formula>
    </cfRule>
  </conditionalFormatting>
  <dataValidations count="7">
    <dataValidation allowBlank="true" errorStyle="stop" operator="between" showDropDown="false" showErrorMessage="false" showInputMessage="false" sqref="D40:D54" type="list">
      <formula1>"The dream outcome,Belief it will work,Time,Effort or sacrifice"</formula1>
      <formula2>0</formula2>
    </dataValidation>
    <dataValidation allowBlank="true" errorStyle="stop" operator="between" showDropDown="false" showErrorMessage="false" showInputMessage="false" sqref="C65:C79" type="list">
      <formula1>"One to one,Small group,One to many"</formula1>
      <formula2>0</formula2>
    </dataValidation>
    <dataValidation allowBlank="true" errorStyle="stop" operator="between" showDropDown="false" showErrorMessage="false" showInputMessage="false" sqref="D65:D79" type="list">
      <formula1>"Do it yourself,Done with you,Done for you"</formula1>
      <formula2>0</formula2>
    </dataValidation>
    <dataValidation allowBlank="true" errorStyle="stop" operator="between" showDropDown="false" showErrorMessage="false" showInputMessage="false" sqref="E65:E79" type="list">
      <formula1>"Live,Recorded,Written,A tool or template"</formula1>
      <formula2>0</formula2>
    </dataValidation>
    <dataValidation allowBlank="true" errorStyle="stop" operator="between" showDropDown="false" showErrorMessage="false" showInputMessage="false" sqref="F65:F79" type="list">
      <formula1>"Same day,Within a week,When scheduled"</formula1>
      <formula2>0</formula2>
    </dataValidation>
    <dataValidation allowBlank="true" errorStyle="stop" operator="between" showDropDown="false" showErrorMessage="false" showInputMessage="false" sqref="G65:H79" type="list">
      <formula1>"High,Low"</formula1>
      <formula2>0</formula2>
    </dataValidation>
    <dataValidation allowBlank="true" errorStyle="stop" operator="between" showDropDown="false" showErrorMessage="false" showInputMessage="false" sqref="H102:H106" type="list">
      <formula1>"Yes,Not yet"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403</v>
      </c>
      <c r="G1" s="30" t="s">
        <v>10</v>
      </c>
      <c r="H1" s="31" t="n">
        <f aca="false">(IF('5 Enhancers'!$B$8="",0,1)+IF('5 Enhancers'!$C$17="",0,1)+IF('5 Enhancers'!$C$18="",0,1)+IF('5 Enhancers'!$C$19="",0,1)+IF('5 Enhancers'!$C$24="",0,1)+IF('5 Enhancers'!$C$25="",0,1)+IF('5 Enhancers'!$C$26="",0,1)+IF('5 Enhancers'!$B$33="",0,1)+IF('5 Enhancers'!$H$47="",0,1)+IF('5 Enhancers'!$C$57="",0,1)+IF('5 Enhancers'!$C$58="",0,1)+IF('5 Enhancers'!$H$64="",0,1)+IF('5 Enhancers'!$B$73="",0,1))/13</f>
        <v>0.923076923076923</v>
      </c>
    </row>
    <row r="2" customFormat="false" ht="30" hidden="false" customHeight="true" outlineLevel="0" collapsed="false">
      <c r="B2" s="2" t="s">
        <v>404</v>
      </c>
      <c r="C2" s="2"/>
      <c r="D2" s="2"/>
      <c r="E2" s="2"/>
      <c r="F2" s="2"/>
      <c r="G2" s="2"/>
      <c r="H2" s="2"/>
    </row>
    <row r="5" customFormat="false" ht="16.15" hidden="false" customHeight="false" outlineLevel="0" collapsed="false">
      <c r="B5" s="3" t="s">
        <v>405</v>
      </c>
      <c r="H5" s="32" t="s">
        <v>406</v>
      </c>
    </row>
    <row r="6" customFormat="false" ht="18" hidden="false" customHeight="true" outlineLevel="0" collapsed="false">
      <c r="B6" s="17" t="s">
        <v>407</v>
      </c>
      <c r="C6" s="17"/>
      <c r="D6" s="17"/>
      <c r="E6" s="17"/>
      <c r="F6" s="17"/>
      <c r="G6" s="17"/>
      <c r="H6" s="17"/>
    </row>
    <row r="7" customFormat="false" ht="30" hidden="false" customHeight="true" outlineLevel="0" collapsed="false">
      <c r="B7" s="8" t="s">
        <v>86</v>
      </c>
      <c r="C7" s="8"/>
      <c r="D7" s="8"/>
      <c r="E7" s="8"/>
      <c r="F7" s="8"/>
    </row>
    <row r="8" customFormat="false" ht="30" hidden="false" customHeight="true" outlineLevel="0" collapsed="false">
      <c r="A8" s="37" t="n">
        <v>1</v>
      </c>
      <c r="B8" s="34" t="s">
        <v>408</v>
      </c>
      <c r="C8" s="34"/>
      <c r="D8" s="34"/>
      <c r="E8" s="34"/>
      <c r="F8" s="34"/>
    </row>
    <row r="9" customFormat="false" ht="30" hidden="false" customHeight="true" outlineLevel="0" collapsed="false">
      <c r="A9" s="37" t="n">
        <v>2</v>
      </c>
      <c r="B9" s="34" t="s">
        <v>409</v>
      </c>
      <c r="C9" s="34"/>
      <c r="D9" s="34"/>
      <c r="E9" s="34"/>
      <c r="F9" s="34"/>
    </row>
    <row r="10" customFormat="false" ht="30" hidden="false" customHeight="true" outlineLevel="0" collapsed="false">
      <c r="A10" s="37" t="n">
        <v>3</v>
      </c>
      <c r="B10" s="34" t="s">
        <v>410</v>
      </c>
      <c r="C10" s="34"/>
      <c r="D10" s="34"/>
      <c r="E10" s="34"/>
      <c r="F10" s="34"/>
    </row>
    <row r="11" customFormat="false" ht="30" hidden="false" customHeight="true" outlineLevel="0" collapsed="false">
      <c r="A11" s="37" t="n">
        <v>4</v>
      </c>
      <c r="B11" s="34" t="s">
        <v>411</v>
      </c>
      <c r="C11" s="34"/>
      <c r="D11" s="34"/>
      <c r="E11" s="34"/>
      <c r="F11" s="34"/>
    </row>
    <row r="12" customFormat="false" ht="30" hidden="false" customHeight="true" outlineLevel="0" collapsed="false">
      <c r="A12" s="37" t="n">
        <v>5</v>
      </c>
      <c r="B12" s="34"/>
      <c r="C12" s="34"/>
      <c r="D12" s="34"/>
      <c r="E12" s="34"/>
      <c r="F12" s="34"/>
    </row>
    <row r="13" customFormat="false" ht="30" hidden="false" customHeight="true" outlineLevel="0" collapsed="false">
      <c r="A13" s="37" t="n">
        <v>6</v>
      </c>
      <c r="B13" s="34"/>
      <c r="C13" s="34"/>
      <c r="D13" s="34"/>
      <c r="E13" s="34"/>
      <c r="F13" s="34"/>
    </row>
    <row r="15" customFormat="false" ht="16.15" hidden="false" customHeight="false" outlineLevel="0" collapsed="false">
      <c r="B15" s="3" t="s">
        <v>412</v>
      </c>
      <c r="H15" s="32" t="s">
        <v>413</v>
      </c>
    </row>
    <row r="16" customFormat="false" ht="30" hidden="false" customHeight="true" outlineLevel="0" collapsed="false">
      <c r="B16" s="17" t="s">
        <v>414</v>
      </c>
      <c r="C16" s="17"/>
      <c r="D16" s="17"/>
      <c r="E16" s="17"/>
      <c r="F16" s="17"/>
      <c r="G16" s="17"/>
      <c r="H16" s="17"/>
    </row>
    <row r="17" customFormat="false" ht="21.75" hidden="false" customHeight="true" outlineLevel="0" collapsed="false">
      <c r="B17" s="33" t="s">
        <v>415</v>
      </c>
      <c r="C17" s="34" t="s">
        <v>416</v>
      </c>
      <c r="D17" s="34"/>
      <c r="E17" s="34"/>
    </row>
    <row r="18" customFormat="false" ht="21.75" hidden="false" customHeight="true" outlineLevel="0" collapsed="false">
      <c r="B18" s="33" t="s">
        <v>417</v>
      </c>
      <c r="C18" s="43" t="n">
        <v>12</v>
      </c>
    </row>
    <row r="19" customFormat="false" ht="45" hidden="false" customHeight="true" outlineLevel="0" collapsed="false">
      <c r="B19" s="33" t="s">
        <v>418</v>
      </c>
      <c r="C19" s="34" t="s">
        <v>419</v>
      </c>
      <c r="D19" s="34"/>
      <c r="E19" s="34"/>
    </row>
    <row r="20" customFormat="false" ht="30" hidden="false" customHeight="true" outlineLevel="0" collapsed="false">
      <c r="B20" s="33" t="s">
        <v>420</v>
      </c>
      <c r="C20" s="35" t="str">
        <f aca="false">IF(C17="","",IF(C17="None yet","No scarcity yet. How many you can serve well each month is usually the true limit.",IF(C18="","Add the number.",IF(C17="A limited number of clients or seats each period","Only "&amp;C18&amp;" places each round.",IF(C17="A bonus only for the first few","The bonus goes to the first "&amp;C18&amp;" only.","This version is sold "&amp;C18&amp;" more times, then it goes away.")))))</f>
        <v>Only 12 places each round.</v>
      </c>
      <c r="D20" s="35"/>
      <c r="E20" s="35"/>
      <c r="F20" s="35"/>
      <c r="G20" s="35"/>
      <c r="H20" s="35"/>
    </row>
    <row r="22" customFormat="false" ht="16.15" hidden="false" customHeight="false" outlineLevel="0" collapsed="false">
      <c r="B22" s="3" t="s">
        <v>421</v>
      </c>
      <c r="H22" s="32" t="s">
        <v>422</v>
      </c>
    </row>
    <row r="23" customFormat="false" ht="18" hidden="false" customHeight="true" outlineLevel="0" collapsed="false">
      <c r="B23" s="17" t="s">
        <v>423</v>
      </c>
      <c r="C23" s="17"/>
      <c r="D23" s="17"/>
      <c r="E23" s="17"/>
      <c r="F23" s="17"/>
      <c r="G23" s="17"/>
      <c r="H23" s="17"/>
    </row>
    <row r="24" customFormat="false" ht="21.75" hidden="false" customHeight="true" outlineLevel="0" collapsed="false">
      <c r="B24" s="33" t="s">
        <v>415</v>
      </c>
      <c r="C24" s="34" t="s">
        <v>424</v>
      </c>
      <c r="D24" s="34"/>
      <c r="E24" s="34"/>
    </row>
    <row r="25" customFormat="false" ht="21.75" hidden="false" customHeight="true" outlineLevel="0" collapsed="false">
      <c r="B25" s="33" t="s">
        <v>425</v>
      </c>
      <c r="C25" s="57" t="n">
        <v>46328</v>
      </c>
    </row>
    <row r="26" customFormat="false" ht="45" hidden="false" customHeight="true" outlineLevel="0" collapsed="false">
      <c r="B26" s="33" t="s">
        <v>426</v>
      </c>
      <c r="C26" s="34" t="s">
        <v>427</v>
      </c>
      <c r="D26" s="34"/>
      <c r="E26" s="34"/>
    </row>
    <row r="27" customFormat="false" ht="21.75" hidden="false" customHeight="true" outlineLevel="0" collapsed="false">
      <c r="B27" s="33" t="s">
        <v>428</v>
      </c>
      <c r="C27" s="58" t="n">
        <f aca="true">IF(OR(C25="",C24="None yet"),"",C25-TODAY())</f>
        <v>37</v>
      </c>
      <c r="F27" s="24" t="s">
        <v>429</v>
      </c>
      <c r="G27" s="24"/>
      <c r="H27" s="24"/>
    </row>
    <row r="28" customFormat="false" ht="30" hidden="false" customHeight="true" outlineLevel="0" collapsed="false">
      <c r="B28" s="33" t="s">
        <v>430</v>
      </c>
      <c r="C28" s="35" t="str">
        <f aca="false">IF(C24="","",IF(C24="None yet","No urgency yet. A cohort start date is the book's most natural kind.",IF(C25="","Add the date.",IF(C24="A cohort with a start date","The next group starts on ",IF(C24="A seasonal or themed promotion","This runs until ",IF(C24="A price or bonus deadline","The price and bonuses hold until ","The window closes on ")))&amp;TEXT(C25,"mmmm d, yyyy")&amp;".")))</f>
        <v>The next group starts on November 2, 2026.</v>
      </c>
      <c r="D28" s="35"/>
      <c r="E28" s="35"/>
      <c r="F28" s="35"/>
      <c r="G28" s="35"/>
      <c r="H28" s="35"/>
    </row>
    <row r="30" customFormat="false" ht="16.15" hidden="false" customHeight="false" outlineLevel="0" collapsed="false">
      <c r="B30" s="3" t="s">
        <v>431</v>
      </c>
      <c r="H30" s="32" t="s">
        <v>406</v>
      </c>
    </row>
    <row r="31" customFormat="false" ht="30" hidden="false" customHeight="true" outlineLevel="0" collapsed="false">
      <c r="B31" s="17" t="s">
        <v>432</v>
      </c>
      <c r="C31" s="17"/>
      <c r="D31" s="17"/>
      <c r="E31" s="17"/>
      <c r="F31" s="17"/>
      <c r="G31" s="17"/>
      <c r="H31" s="17"/>
    </row>
    <row r="32" customFormat="false" ht="30" hidden="false" customHeight="true" outlineLevel="0" collapsed="false">
      <c r="B32" s="8" t="s">
        <v>369</v>
      </c>
      <c r="C32" s="8" t="s">
        <v>433</v>
      </c>
      <c r="D32" s="8" t="s">
        <v>226</v>
      </c>
      <c r="E32" s="8" t="s">
        <v>371</v>
      </c>
      <c r="F32" s="8" t="s">
        <v>434</v>
      </c>
      <c r="G32" s="8"/>
      <c r="H32" s="8"/>
    </row>
    <row r="33" customFormat="false" ht="30" hidden="false" customHeight="true" outlineLevel="0" collapsed="false">
      <c r="A33" s="37" t="n">
        <v>1</v>
      </c>
      <c r="B33" s="34" t="s">
        <v>435</v>
      </c>
      <c r="C33" s="34" t="s">
        <v>436</v>
      </c>
      <c r="D33" s="34" t="s">
        <v>360</v>
      </c>
      <c r="E33" s="39" t="n">
        <v>29</v>
      </c>
      <c r="F33" s="34" t="s">
        <v>437</v>
      </c>
      <c r="G33" s="34"/>
      <c r="H33" s="34"/>
    </row>
    <row r="34" customFormat="false" ht="30" hidden="false" customHeight="true" outlineLevel="0" collapsed="false">
      <c r="A34" s="37" t="n">
        <v>2</v>
      </c>
      <c r="B34" s="34" t="s">
        <v>438</v>
      </c>
      <c r="C34" s="34" t="s">
        <v>439</v>
      </c>
      <c r="D34" s="34" t="s">
        <v>440</v>
      </c>
      <c r="E34" s="39" t="n">
        <v>19</v>
      </c>
      <c r="F34" s="34" t="s">
        <v>441</v>
      </c>
      <c r="G34" s="34"/>
      <c r="H34" s="34"/>
    </row>
    <row r="35" customFormat="false" ht="30" hidden="false" customHeight="true" outlineLevel="0" collapsed="false">
      <c r="A35" s="37" t="n">
        <v>3</v>
      </c>
      <c r="B35" s="34" t="s">
        <v>442</v>
      </c>
      <c r="C35" s="34" t="s">
        <v>443</v>
      </c>
      <c r="D35" s="34" t="s">
        <v>360</v>
      </c>
      <c r="E35" s="39" t="n">
        <v>15</v>
      </c>
      <c r="F35" s="34" t="s">
        <v>444</v>
      </c>
      <c r="G35" s="34"/>
      <c r="H35" s="34"/>
    </row>
    <row r="36" customFormat="false" ht="30" hidden="false" customHeight="true" outlineLevel="0" collapsed="false">
      <c r="A36" s="37" t="n">
        <v>4</v>
      </c>
      <c r="B36" s="34" t="s">
        <v>445</v>
      </c>
      <c r="C36" s="34" t="s">
        <v>446</v>
      </c>
      <c r="D36" s="34" t="s">
        <v>447</v>
      </c>
      <c r="E36" s="39" t="n">
        <v>90</v>
      </c>
      <c r="F36" s="34" t="s">
        <v>448</v>
      </c>
      <c r="G36" s="34"/>
      <c r="H36" s="34"/>
    </row>
    <row r="37" customFormat="false" ht="30" hidden="false" customHeight="true" outlineLevel="0" collapsed="false">
      <c r="A37" s="37" t="n">
        <v>5</v>
      </c>
      <c r="B37" s="34"/>
      <c r="C37" s="34"/>
      <c r="D37" s="34"/>
      <c r="E37" s="39"/>
      <c r="F37" s="34"/>
      <c r="G37" s="34"/>
      <c r="H37" s="34"/>
    </row>
    <row r="38" customFormat="false" ht="30" hidden="false" customHeight="true" outlineLevel="0" collapsed="false">
      <c r="A38" s="37" t="n">
        <v>6</v>
      </c>
      <c r="B38" s="34"/>
      <c r="C38" s="34"/>
      <c r="D38" s="34"/>
      <c r="E38" s="39"/>
      <c r="F38" s="34"/>
      <c r="G38" s="34"/>
      <c r="H38" s="34"/>
    </row>
    <row r="39" customFormat="false" ht="15" hidden="false" customHeight="false" outlineLevel="0" collapsed="false">
      <c r="B39" s="25" t="s">
        <v>449</v>
      </c>
      <c r="E39" s="56" t="n">
        <f aca="false">IF(COUNT(E33:E38)=0,"",SUM(E33:E38))</f>
        <v>153</v>
      </c>
    </row>
    <row r="40" customFormat="false" ht="21.75" hidden="false" customHeight="true" outlineLevel="0" collapsed="false">
      <c r="B40" s="33" t="s">
        <v>450</v>
      </c>
      <c r="C40" s="46" t="n">
        <f aca="false">IF(AND(StackTotal="",BonusTotal=""),"",N(StackTotal)+N(BonusTotal))</f>
        <v>885</v>
      </c>
    </row>
    <row r="41" customFormat="false" ht="21.75" hidden="false" customHeight="true" outlineLevel="0" collapsed="false">
      <c r="B41" s="33" t="s">
        <v>451</v>
      </c>
      <c r="C41" s="48" t="n">
        <f aca="false">IF(OR(OfferTotal="",PriceUsed="",PriceUsed=0),"",OfferTotal/PriceUsed)</f>
        <v>2.97979797979798</v>
      </c>
    </row>
    <row r="42" customFormat="false" ht="30" hidden="false" customHeight="true" outlineLevel="0" collapsed="false">
      <c r="B42" s="33" t="s">
        <v>452</v>
      </c>
      <c r="C42" s="35" t="str">
        <f aca="false">IF(COUNTA(B33:B38)=0,"",IF(COUNTIF(D33:D38,"A tool or template")+COUNTIF(D33:D38,"A checklist")&gt;0,"Yes, as the book prefers.","Not yet. The book prefers a tool or checklist to more training."))</f>
        <v>Yes, as the book prefers.</v>
      </c>
      <c r="D42" s="35"/>
      <c r="E42" s="35"/>
      <c r="F42" s="35"/>
      <c r="G42" s="35"/>
      <c r="H42" s="35"/>
    </row>
    <row r="44" customFormat="false" ht="16.15" hidden="false" customHeight="false" outlineLevel="0" collapsed="false">
      <c r="B44" s="3" t="s">
        <v>453</v>
      </c>
      <c r="H44" s="32" t="s">
        <v>406</v>
      </c>
    </row>
    <row r="45" customFormat="false" ht="18" hidden="false" customHeight="true" outlineLevel="0" collapsed="false">
      <c r="B45" s="17" t="s">
        <v>454</v>
      </c>
      <c r="C45" s="17"/>
      <c r="D45" s="17"/>
      <c r="E45" s="17"/>
      <c r="F45" s="17"/>
      <c r="G45" s="17"/>
      <c r="H45" s="17"/>
    </row>
    <row r="46" customFormat="false" ht="15" hidden="false" customHeight="false" outlineLevel="0" collapsed="false">
      <c r="B46" s="13" t="s">
        <v>106</v>
      </c>
      <c r="C46" s="13"/>
      <c r="D46" s="13"/>
      <c r="E46" s="13"/>
      <c r="F46" s="13"/>
      <c r="G46" s="13"/>
      <c r="H46" s="8" t="s">
        <v>107</v>
      </c>
    </row>
    <row r="47" customFormat="false" ht="30" hidden="false" customHeight="true" outlineLevel="0" collapsed="false">
      <c r="B47" s="42" t="s">
        <v>455</v>
      </c>
      <c r="C47" s="42"/>
      <c r="D47" s="42"/>
      <c r="E47" s="42"/>
      <c r="F47" s="42"/>
      <c r="G47" s="42"/>
      <c r="H47" s="4" t="s">
        <v>109</v>
      </c>
    </row>
    <row r="48" customFormat="false" ht="30" hidden="false" customHeight="true" outlineLevel="0" collapsed="false">
      <c r="B48" s="42" t="s">
        <v>456</v>
      </c>
      <c r="C48" s="42"/>
      <c r="D48" s="42"/>
      <c r="E48" s="42"/>
      <c r="F48" s="42"/>
      <c r="G48" s="42"/>
      <c r="H48" s="4" t="s">
        <v>109</v>
      </c>
    </row>
    <row r="49" customFormat="false" ht="30" hidden="false" customHeight="true" outlineLevel="0" collapsed="false">
      <c r="B49" s="42" t="s">
        <v>457</v>
      </c>
      <c r="C49" s="42"/>
      <c r="D49" s="42"/>
      <c r="E49" s="42"/>
      <c r="F49" s="42"/>
      <c r="G49" s="42"/>
      <c r="H49" s="4" t="s">
        <v>109</v>
      </c>
    </row>
    <row r="50" customFormat="false" ht="30" hidden="false" customHeight="true" outlineLevel="0" collapsed="false">
      <c r="B50" s="42" t="s">
        <v>458</v>
      </c>
      <c r="C50" s="42"/>
      <c r="D50" s="42"/>
      <c r="E50" s="42"/>
      <c r="F50" s="42"/>
      <c r="G50" s="42"/>
      <c r="H50" s="4" t="s">
        <v>109</v>
      </c>
    </row>
    <row r="51" customFormat="false" ht="30" hidden="false" customHeight="true" outlineLevel="0" collapsed="false">
      <c r="B51" s="42" t="s">
        <v>459</v>
      </c>
      <c r="C51" s="42"/>
      <c r="D51" s="42"/>
      <c r="E51" s="42"/>
      <c r="F51" s="42"/>
      <c r="G51" s="42"/>
      <c r="H51" s="4" t="s">
        <v>109</v>
      </c>
    </row>
    <row r="52" customFormat="false" ht="30" hidden="false" customHeight="true" outlineLevel="0" collapsed="false">
      <c r="B52" s="42" t="s">
        <v>460</v>
      </c>
      <c r="C52" s="42"/>
      <c r="D52" s="42"/>
      <c r="E52" s="42"/>
      <c r="F52" s="42"/>
      <c r="G52" s="42"/>
      <c r="H52" s="4" t="s">
        <v>109</v>
      </c>
    </row>
    <row r="53" customFormat="false" ht="15" hidden="false" customHeight="false" outlineLevel="0" collapsed="false">
      <c r="G53" s="25" t="s">
        <v>113</v>
      </c>
      <c r="H53" s="38" t="str">
        <f aca="false">COUNTIF(H47:H52,"Yes")&amp;" of 6"</f>
        <v>6 of 6</v>
      </c>
    </row>
    <row r="55" customFormat="false" ht="16.15" hidden="false" customHeight="false" outlineLevel="0" collapsed="false">
      <c r="B55" s="3" t="s">
        <v>461</v>
      </c>
      <c r="H55" s="32" t="s">
        <v>462</v>
      </c>
    </row>
    <row r="56" customFormat="false" ht="45" hidden="false" customHeight="true" outlineLevel="0" collapsed="false">
      <c r="B56" s="17" t="s">
        <v>463</v>
      </c>
      <c r="C56" s="17"/>
      <c r="D56" s="17"/>
      <c r="E56" s="17"/>
      <c r="F56" s="17"/>
      <c r="G56" s="17"/>
      <c r="H56" s="17"/>
    </row>
    <row r="57" customFormat="false" ht="21.75" hidden="false" customHeight="true" outlineLevel="0" collapsed="false">
      <c r="B57" s="33" t="s">
        <v>415</v>
      </c>
      <c r="C57" s="34" t="s">
        <v>464</v>
      </c>
      <c r="D57" s="34"/>
      <c r="E57" s="34"/>
    </row>
    <row r="58" customFormat="false" ht="60" hidden="false" customHeight="true" outlineLevel="0" collapsed="false">
      <c r="B58" s="33" t="s">
        <v>465</v>
      </c>
      <c r="C58" s="34" t="s">
        <v>466</v>
      </c>
      <c r="D58" s="34"/>
      <c r="E58" s="34"/>
    </row>
    <row r="59" customFormat="false" ht="21.75" hidden="false" customHeight="true" outlineLevel="0" collapsed="false">
      <c r="B59" s="33" t="s">
        <v>467</v>
      </c>
      <c r="C59" s="34" t="s">
        <v>468</v>
      </c>
      <c r="D59" s="34"/>
      <c r="E59" s="34"/>
    </row>
    <row r="61" customFormat="false" ht="16.15" hidden="false" customHeight="false" outlineLevel="0" collapsed="false">
      <c r="B61" s="3" t="s">
        <v>469</v>
      </c>
      <c r="H61" s="32" t="s">
        <v>470</v>
      </c>
    </row>
    <row r="62" customFormat="false" ht="18" hidden="false" customHeight="true" outlineLevel="0" collapsed="false">
      <c r="B62" s="17" t="s">
        <v>471</v>
      </c>
      <c r="C62" s="17"/>
      <c r="D62" s="17"/>
      <c r="E62" s="17"/>
      <c r="F62" s="17"/>
      <c r="G62" s="17"/>
      <c r="H62" s="17"/>
    </row>
    <row r="63" customFormat="false" ht="15" hidden="false" customHeight="false" outlineLevel="0" collapsed="false">
      <c r="B63" s="13" t="s">
        <v>106</v>
      </c>
      <c r="C63" s="13"/>
      <c r="D63" s="13"/>
      <c r="E63" s="13"/>
      <c r="F63" s="13"/>
      <c r="G63" s="13"/>
      <c r="H63" s="8" t="s">
        <v>107</v>
      </c>
    </row>
    <row r="64" customFormat="false" ht="30" hidden="false" customHeight="true" outlineLevel="0" collapsed="false">
      <c r="B64" s="42" t="s">
        <v>472</v>
      </c>
      <c r="C64" s="42"/>
      <c r="D64" s="42"/>
      <c r="E64" s="42"/>
      <c r="F64" s="42"/>
      <c r="G64" s="42"/>
      <c r="H64" s="4" t="s">
        <v>109</v>
      </c>
    </row>
    <row r="65" customFormat="false" ht="30" hidden="false" customHeight="true" outlineLevel="0" collapsed="false">
      <c r="B65" s="42" t="s">
        <v>473</v>
      </c>
      <c r="C65" s="42"/>
      <c r="D65" s="42"/>
      <c r="E65" s="42"/>
      <c r="F65" s="42"/>
      <c r="G65" s="42"/>
      <c r="H65" s="4" t="s">
        <v>109</v>
      </c>
    </row>
    <row r="66" customFormat="false" ht="30" hidden="false" customHeight="true" outlineLevel="0" collapsed="false">
      <c r="B66" s="42" t="s">
        <v>474</v>
      </c>
      <c r="C66" s="42"/>
      <c r="D66" s="42"/>
      <c r="E66" s="42"/>
      <c r="F66" s="42"/>
      <c r="G66" s="42"/>
      <c r="H66" s="4" t="s">
        <v>109</v>
      </c>
    </row>
    <row r="67" customFormat="false" ht="30" hidden="false" customHeight="true" outlineLevel="0" collapsed="false">
      <c r="B67" s="42" t="s">
        <v>475</v>
      </c>
      <c r="C67" s="42"/>
      <c r="D67" s="42"/>
      <c r="E67" s="42"/>
      <c r="F67" s="42"/>
      <c r="G67" s="42"/>
      <c r="H67" s="4" t="s">
        <v>109</v>
      </c>
    </row>
    <row r="68" customFormat="false" ht="15" hidden="false" customHeight="false" outlineLevel="0" collapsed="false">
      <c r="G68" s="25" t="s">
        <v>113</v>
      </c>
      <c r="H68" s="38" t="str">
        <f aca="false">COUNTIF(H64:H67,"Yes")&amp;" of 4"</f>
        <v>4 of 4</v>
      </c>
    </row>
    <row r="70" customFormat="false" ht="16.15" hidden="false" customHeight="false" outlineLevel="0" collapsed="false">
      <c r="B70" s="3" t="s">
        <v>476</v>
      </c>
      <c r="H70" s="32" t="s">
        <v>462</v>
      </c>
    </row>
    <row r="71" customFormat="false" ht="18" hidden="false" customHeight="true" outlineLevel="0" collapsed="false">
      <c r="B71" s="17" t="s">
        <v>477</v>
      </c>
      <c r="C71" s="17"/>
      <c r="D71" s="17"/>
      <c r="E71" s="17"/>
      <c r="F71" s="17"/>
      <c r="G71" s="17"/>
      <c r="H71" s="17"/>
    </row>
    <row r="72" customFormat="false" ht="30" hidden="false" customHeight="true" outlineLevel="0" collapsed="false">
      <c r="B72" s="8" t="s">
        <v>397</v>
      </c>
      <c r="C72" s="8" t="s">
        <v>478</v>
      </c>
    </row>
    <row r="73" customFormat="false" ht="30" hidden="false" customHeight="true" outlineLevel="0" collapsed="false">
      <c r="A73" s="37" t="n">
        <v>1</v>
      </c>
      <c r="B73" s="34"/>
      <c r="C73" s="34"/>
    </row>
    <row r="74" customFormat="false" ht="30" hidden="false" customHeight="true" outlineLevel="0" collapsed="false">
      <c r="A74" s="37" t="n">
        <v>2</v>
      </c>
      <c r="B74" s="34"/>
      <c r="C74" s="34"/>
    </row>
    <row r="75" customFormat="false" ht="30" hidden="false" customHeight="true" outlineLevel="0" collapsed="false">
      <c r="A75" s="37" t="n">
        <v>3</v>
      </c>
      <c r="B75" s="34"/>
      <c r="C75" s="34"/>
    </row>
    <row r="76" customFormat="false" ht="30" hidden="false" customHeight="true" outlineLevel="0" collapsed="false">
      <c r="A76" s="37" t="n">
        <v>4</v>
      </c>
      <c r="B76" s="34"/>
      <c r="C76" s="34"/>
    </row>
    <row r="77" customFormat="false" ht="15" hidden="false" customHeight="false" outlineLevel="0" collapsed="false">
      <c r="B77" s="25" t="s">
        <v>479</v>
      </c>
      <c r="C77" s="38" t="str">
        <f aca="false">IF(COUNTA(C73:C76)=0,"",(COUNTIF(C73:C76,"It closed the deal")+COUNTIF(C73:C76,"It helped"))&amp;" of "&amp;COUNTA(C73:C76))</f>
        <v/>
      </c>
    </row>
    <row r="78" customFormat="false" ht="21.75" hidden="false" customHeight="true" outlineLevel="0" collapsed="false">
      <c r="B78" s="33" t="s">
        <v>31</v>
      </c>
      <c r="C78" s="36" t="str">
        <f aca="false">(IF(OR(ScarcityKind="",ScarcityKind="None yet"),0,1)+IF(OR(UrgencyKind="",UrgencyKind="None yet"),0,1)+IF(BonusTotal="",0,1)+IF(GuaranteeText="",0,1))&amp;" of 4"</f>
        <v>4 of 4</v>
      </c>
    </row>
  </sheetData>
  <mergeCells count="46">
    <mergeCell ref="B2:H2"/>
    <mergeCell ref="B6:H6"/>
    <mergeCell ref="B7:F7"/>
    <mergeCell ref="B8:F8"/>
    <mergeCell ref="B9:F9"/>
    <mergeCell ref="B10:F10"/>
    <mergeCell ref="B11:F11"/>
    <mergeCell ref="B12:F12"/>
    <mergeCell ref="B13:F13"/>
    <mergeCell ref="B16:H16"/>
    <mergeCell ref="C17:E17"/>
    <mergeCell ref="C19:E19"/>
    <mergeCell ref="C20:H20"/>
    <mergeCell ref="B23:H23"/>
    <mergeCell ref="C24:E24"/>
    <mergeCell ref="C26:E26"/>
    <mergeCell ref="F27:H27"/>
    <mergeCell ref="C28:H28"/>
    <mergeCell ref="B31:H31"/>
    <mergeCell ref="F32:H32"/>
    <mergeCell ref="F33:H33"/>
    <mergeCell ref="F34:H34"/>
    <mergeCell ref="F35:H35"/>
    <mergeCell ref="F36:H36"/>
    <mergeCell ref="F37:H37"/>
    <mergeCell ref="F38:H38"/>
    <mergeCell ref="C42:H42"/>
    <mergeCell ref="B45:H45"/>
    <mergeCell ref="B46:G46"/>
    <mergeCell ref="B47:G47"/>
    <mergeCell ref="B48:G48"/>
    <mergeCell ref="B49:G49"/>
    <mergeCell ref="B50:G50"/>
    <mergeCell ref="B51:G51"/>
    <mergeCell ref="B52:G52"/>
    <mergeCell ref="B56:H56"/>
    <mergeCell ref="C57:E57"/>
    <mergeCell ref="C58:E58"/>
    <mergeCell ref="C59:E59"/>
    <mergeCell ref="B62:H62"/>
    <mergeCell ref="B63:G63"/>
    <mergeCell ref="B64:G64"/>
    <mergeCell ref="B65:G65"/>
    <mergeCell ref="B66:G66"/>
    <mergeCell ref="B67:G67"/>
    <mergeCell ref="B71:H71"/>
  </mergeCells>
  <conditionalFormatting sqref="H47:H52">
    <cfRule type="cellIs" priority="2" operator="equal" aboveAverage="0" equalAverage="0" bottom="0" percent="0" rank="0" text="" dxfId="1">
      <formula>"Yes"</formula>
    </cfRule>
  </conditionalFormatting>
  <conditionalFormatting sqref="H64:H67">
    <cfRule type="cellIs" priority="3" operator="equal" aboveAverage="0" equalAverage="0" bottom="0" percent="0" rank="0" text="" dxfId="1">
      <formula>"Yes"</formula>
    </cfRule>
  </conditionalFormatting>
  <dataValidations count="7">
    <dataValidation allowBlank="true" errorStyle="stop" operator="between" showDropDown="false" showErrorMessage="false" showInputMessage="false" sqref="C17" type="list">
      <formula1>"A limited number of clients or seats each period,A bonus only for the first few,This version goes away after the window,None yet"</formula1>
      <formula2>0</formula2>
    </dataValidation>
    <dataValidation allowBlank="true" errorStyle="stop" operator="between" showDropDown="false" showErrorMessage="false" showInputMessage="false" sqref="C24" type="list">
      <formula1>"A cohort with a start date,A seasonal or themed promotion,A price or bonus deadline,An opportunity that closes on its own,None yet"</formula1>
      <formula2>0</formula2>
    </dataValidation>
    <dataValidation allowBlank="true" errorStyle="stop" operator="greaterThan" showDropDown="false" showErrorMessage="false" showInputMessage="false" sqref="C25" type="date">
      <formula1>1</formula1>
      <formula2>0</formula2>
    </dataValidation>
    <dataValidation allowBlank="true" errorStyle="stop" operator="between" showDropDown="false" showErrorMessage="false" showInputMessage="false" sqref="D33:D38" type="list">
      <formula1>"A tool or template,A checklist,A training,Access to you or a group,A partner's product,A done for you piece"</formula1>
      <formula2>0</formula2>
    </dataValidation>
    <dataValidation allowBlank="true" errorStyle="stop" operator="between" showDropDown="false" showErrorMessage="false" showInputMessage="false" sqref="H47:H52 H64:H67" type="list">
      <formula1>"Yes,Not yet"</formula1>
      <formula2>0</formula2>
    </dataValidation>
    <dataValidation allowBlank="true" errorStyle="stop" operator="between" showDropDown="false" showErrorMessage="false" showInputMessage="false" sqref="C57" type="list">
      <formula1>"Unconditional,Conditional,Anti guarantee,Implied (pay by result),Two stacked"</formula1>
      <formula2>0</formula2>
    </dataValidation>
    <dataValidation allowBlank="true" errorStyle="stop" operator="between" showDropDown="false" showErrorMessage="false" showInputMessage="false" sqref="C73:C76" type="list">
      <formula1>"It closed the deal,It helped,No difference,It worried them"</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30"/>
    <col collapsed="false" customWidth="true" hidden="false" outlineLevel="0" max="5" min="4" style="0" width="22"/>
    <col collapsed="false" customWidth="true" hidden="false" outlineLevel="0" max="7" min="6" style="0" width="18"/>
    <col collapsed="false" customWidth="true" hidden="false" outlineLevel="0" max="8" min="8" style="0" width="22"/>
    <col collapsed="false" customWidth="true" hidden="false" outlineLevel="0" max="9" min="9" style="0" width="3"/>
  </cols>
  <sheetData>
    <row r="1" customFormat="false" ht="24.45" hidden="false" customHeight="false" outlineLevel="0" collapsed="false">
      <c r="B1" s="1" t="s">
        <v>480</v>
      </c>
      <c r="G1" s="30" t="s">
        <v>10</v>
      </c>
      <c r="H1" s="31" t="n">
        <f aca="false">(IF('6 Name'!$C$7="",0,1)+IF('6 Name'!$C$13="",0,1)+IF('6 Name'!$C$17="",0,1)+IF('6 Name'!$C$18="",0,1)+IF('6 Name'!$C$19="",0,1)+IF('6 Name'!$C$20="",0,1)+IF('6 Name'!$C$21="",0,1)+IF('6 Name'!$C$28="",0,1)+IF('6 Name'!$H$33="",0,1)+IF('6 Name'!$B$43="",0,1)+IF('6 Name'!$H$52="",0,1)+IF('6 Name'!$C$61="",0,1)+IF('6 Name'!$C$62="",0,1)+IF('6 Name'!$C$63="",0,1))/14</f>
        <v>0.785714285714286</v>
      </c>
    </row>
    <row r="2" customFormat="false" ht="30" hidden="false" customHeight="true" outlineLevel="0" collapsed="false">
      <c r="B2" s="2" t="s">
        <v>481</v>
      </c>
      <c r="C2" s="2"/>
      <c r="D2" s="2"/>
      <c r="E2" s="2"/>
      <c r="F2" s="2"/>
      <c r="G2" s="2"/>
      <c r="H2" s="2"/>
    </row>
    <row r="5" customFormat="false" ht="16.15" hidden="false" customHeight="false" outlineLevel="0" collapsed="false">
      <c r="B5" s="3" t="s">
        <v>482</v>
      </c>
      <c r="H5" s="32" t="s">
        <v>483</v>
      </c>
    </row>
    <row r="6" customFormat="false" ht="18" hidden="false" customHeight="true" outlineLevel="0" collapsed="false">
      <c r="B6" s="17" t="s">
        <v>484</v>
      </c>
      <c r="C6" s="17"/>
      <c r="D6" s="17"/>
      <c r="E6" s="17"/>
      <c r="F6" s="17"/>
      <c r="G6" s="17"/>
      <c r="H6" s="17"/>
    </row>
    <row r="7" customFormat="false" ht="21.75" hidden="false" customHeight="true" outlineLevel="0" collapsed="false">
      <c r="B7" s="33" t="s">
        <v>485</v>
      </c>
      <c r="C7" s="34" t="s">
        <v>486</v>
      </c>
      <c r="D7" s="34"/>
      <c r="E7" s="34"/>
    </row>
    <row r="8" customFormat="false" ht="21.75" hidden="false" customHeight="true" outlineLevel="0" collapsed="false">
      <c r="B8" s="33" t="s">
        <v>487</v>
      </c>
      <c r="C8" s="34" t="s">
        <v>488</v>
      </c>
      <c r="D8" s="34"/>
      <c r="E8" s="34"/>
    </row>
    <row r="10" customFormat="false" ht="16.15" hidden="false" customHeight="false" outlineLevel="0" collapsed="false">
      <c r="B10" s="3" t="s">
        <v>489</v>
      </c>
      <c r="H10" s="32" t="s">
        <v>395</v>
      </c>
    </row>
    <row r="11" customFormat="false" ht="30" hidden="false" customHeight="true" outlineLevel="0" collapsed="false">
      <c r="B11" s="17" t="s">
        <v>490</v>
      </c>
      <c r="C11" s="17"/>
      <c r="D11" s="17"/>
      <c r="E11" s="17"/>
      <c r="F11" s="17"/>
      <c r="G11" s="17"/>
      <c r="H11" s="17"/>
    </row>
    <row r="12" customFormat="false" ht="60" hidden="false" customHeight="true" outlineLevel="0" collapsed="false">
      <c r="B12" s="33" t="s">
        <v>491</v>
      </c>
      <c r="C12" s="35" t="str">
        <f aca="false">IF(AND(Niche="",Dream=""),"",IF(Niche="",MarketWho,Niche)&amp;" get "&amp;IF(Dream="","the result",Dream)&amp;IF(FullWeeks=""," in "&amp;FullWeeks&amp;" weeks","")&amp;IF(GuaranteeText="",""," Or: "&amp;GuaranteeText))</f>
        <v>New fathers in the first year, training at home with no gym get Strong enough to carry the baby, the bags and the stroller up the stairs without thinking about it, and to have energy left at the end of the day. Or: Do the three sessions a week for six weeks and log your carry test. If it has not gone up by twenty pounds, I keep coaching you for free until it does.</v>
      </c>
      <c r="D12" s="35"/>
      <c r="E12" s="35"/>
      <c r="F12" s="35"/>
      <c r="G12" s="35"/>
      <c r="H12" s="35"/>
    </row>
    <row r="13" customFormat="false" ht="60" hidden="false" customHeight="true" outlineLevel="0" collapsed="false">
      <c r="B13" s="33" t="s">
        <v>492</v>
      </c>
      <c r="C13" s="34" t="s">
        <v>493</v>
      </c>
      <c r="D13" s="34"/>
      <c r="E13" s="34"/>
    </row>
    <row r="15" customFormat="false" ht="16.15" hidden="false" customHeight="false" outlineLevel="0" collapsed="false">
      <c r="B15" s="3" t="s">
        <v>494</v>
      </c>
      <c r="H15" s="32" t="s">
        <v>483</v>
      </c>
    </row>
    <row r="16" customFormat="false" ht="18" hidden="false" customHeight="true" outlineLevel="0" collapsed="false">
      <c r="B16" s="17" t="s">
        <v>495</v>
      </c>
      <c r="C16" s="17"/>
      <c r="D16" s="17"/>
      <c r="E16" s="17"/>
      <c r="F16" s="17"/>
      <c r="G16" s="17"/>
      <c r="H16" s="17"/>
    </row>
    <row r="17" customFormat="false" ht="21.75" hidden="false" customHeight="true" outlineLevel="0" collapsed="false">
      <c r="B17" s="33" t="s">
        <v>496</v>
      </c>
      <c r="C17" s="34" t="s">
        <v>497</v>
      </c>
      <c r="D17" s="34"/>
      <c r="E17" s="34"/>
    </row>
    <row r="18" customFormat="false" ht="21.75" hidden="false" customHeight="true" outlineLevel="0" collapsed="false">
      <c r="B18" s="33" t="s">
        <v>498</v>
      </c>
      <c r="C18" s="34" t="s">
        <v>499</v>
      </c>
      <c r="D18" s="34"/>
      <c r="E18" s="34"/>
    </row>
    <row r="19" customFormat="false" ht="21.75" hidden="false" customHeight="true" outlineLevel="0" collapsed="false">
      <c r="B19" s="33" t="s">
        <v>500</v>
      </c>
      <c r="C19" s="34" t="s">
        <v>501</v>
      </c>
      <c r="D19" s="34"/>
      <c r="E19" s="34"/>
    </row>
    <row r="20" customFormat="false" ht="21.75" hidden="false" customHeight="true" outlineLevel="0" collapsed="false">
      <c r="B20" s="33" t="s">
        <v>502</v>
      </c>
      <c r="C20" s="34" t="s">
        <v>503</v>
      </c>
      <c r="D20" s="34"/>
      <c r="E20" s="34"/>
    </row>
    <row r="21" customFormat="false" ht="21.75" hidden="false" customHeight="true" outlineLevel="0" collapsed="false">
      <c r="B21" s="33" t="s">
        <v>504</v>
      </c>
      <c r="C21" s="34" t="s">
        <v>505</v>
      </c>
      <c r="D21" s="34"/>
      <c r="E21" s="34"/>
    </row>
    <row r="22" customFormat="false" ht="30" hidden="false" customHeight="true" outlineLevel="0" collapsed="false">
      <c r="B22" s="33" t="s">
        <v>506</v>
      </c>
      <c r="C22" s="35" t="str">
        <f aca="false">IF(COUNTA(C17,C18,C19,C20,C21)&lt;5,"","The "&amp;C20&amp;" "&amp;C19&amp;" "&amp;C21)</f>
        <v>The 6 Week Carry Anything Challenge</v>
      </c>
      <c r="D22" s="35"/>
      <c r="E22" s="35"/>
      <c r="F22" s="35"/>
      <c r="G22" s="35"/>
      <c r="H22" s="35"/>
    </row>
    <row r="23" customFormat="false" ht="30" hidden="false" customHeight="true" outlineLevel="0" collapsed="false">
      <c r="B23" s="33" t="s">
        <v>507</v>
      </c>
      <c r="C23" s="35" t="str">
        <f aca="false">IF(COUNTA(C17,C18,C19,C20,C21)&lt;5,"","The "&amp;C17&amp;" "&amp;C19&amp;" "&amp;C21&amp;" for "&amp;C18)</f>
        <v>The First Year Carry Anything Challenge for New Dad</v>
      </c>
      <c r="D23" s="35"/>
      <c r="E23" s="35"/>
      <c r="F23" s="35"/>
      <c r="G23" s="35"/>
      <c r="H23" s="35"/>
    </row>
    <row r="24" customFormat="false" ht="30" hidden="false" customHeight="true" outlineLevel="0" collapsed="false">
      <c r="B24" s="33" t="s">
        <v>508</v>
      </c>
      <c r="C24" s="35" t="str">
        <f aca="false">IF(COUNTA(C17,C18,C19,C20,C21)&lt;5,"","The "&amp;C18&amp;" "&amp;C19&amp;" "&amp;C21&amp;": "&amp;C20)</f>
        <v>The New Dad Carry Anything Challenge: 6 Week</v>
      </c>
      <c r="D24" s="35"/>
      <c r="E24" s="35"/>
      <c r="F24" s="35"/>
      <c r="G24" s="35"/>
      <c r="H24" s="35"/>
    </row>
    <row r="26" customFormat="false" ht="16.15" hidden="false" customHeight="false" outlineLevel="0" collapsed="false">
      <c r="B26" s="3" t="s">
        <v>509</v>
      </c>
      <c r="H26" s="32" t="s">
        <v>483</v>
      </c>
    </row>
    <row r="27" customFormat="false" ht="18" hidden="false" customHeight="true" outlineLevel="0" collapsed="false">
      <c r="B27" s="17" t="s">
        <v>510</v>
      </c>
      <c r="C27" s="17"/>
      <c r="D27" s="17"/>
      <c r="E27" s="17"/>
      <c r="F27" s="17"/>
      <c r="G27" s="17"/>
      <c r="H27" s="17"/>
    </row>
    <row r="28" customFormat="false" ht="21.75" hidden="false" customHeight="true" outlineLevel="0" collapsed="false">
      <c r="B28" s="33" t="s">
        <v>511</v>
      </c>
      <c r="C28" s="34" t="s">
        <v>512</v>
      </c>
      <c r="D28" s="34"/>
      <c r="E28" s="34"/>
    </row>
    <row r="30" customFormat="false" ht="16.15" hidden="false" customHeight="false" outlineLevel="0" collapsed="false">
      <c r="B30" s="3" t="s">
        <v>513</v>
      </c>
      <c r="H30" s="32" t="s">
        <v>483</v>
      </c>
    </row>
    <row r="31" customFormat="false" ht="18" hidden="false" customHeight="true" outlineLevel="0" collapsed="false">
      <c r="B31" s="17" t="s">
        <v>514</v>
      </c>
      <c r="C31" s="17"/>
      <c r="D31" s="17"/>
      <c r="E31" s="17"/>
      <c r="F31" s="17"/>
      <c r="G31" s="17"/>
      <c r="H31" s="17"/>
    </row>
    <row r="32" customFormat="false" ht="15" hidden="false" customHeight="false" outlineLevel="0" collapsed="false">
      <c r="B32" s="13" t="s">
        <v>106</v>
      </c>
      <c r="C32" s="13"/>
      <c r="D32" s="13"/>
      <c r="E32" s="13"/>
      <c r="F32" s="13"/>
      <c r="G32" s="13"/>
      <c r="H32" s="8" t="s">
        <v>107</v>
      </c>
    </row>
    <row r="33" customFormat="false" ht="30" hidden="false" customHeight="true" outlineLevel="0" collapsed="false">
      <c r="B33" s="42" t="s">
        <v>515</v>
      </c>
      <c r="C33" s="42"/>
      <c r="D33" s="42"/>
      <c r="E33" s="42"/>
      <c r="F33" s="42"/>
      <c r="G33" s="42"/>
      <c r="H33" s="4" t="s">
        <v>109</v>
      </c>
    </row>
    <row r="34" customFormat="false" ht="30" hidden="false" customHeight="true" outlineLevel="0" collapsed="false">
      <c r="B34" s="42" t="s">
        <v>516</v>
      </c>
      <c r="C34" s="42"/>
      <c r="D34" s="42"/>
      <c r="E34" s="42"/>
      <c r="F34" s="42"/>
      <c r="G34" s="42"/>
      <c r="H34" s="4" t="s">
        <v>109</v>
      </c>
    </row>
    <row r="35" customFormat="false" ht="30" hidden="false" customHeight="true" outlineLevel="0" collapsed="false">
      <c r="B35" s="42" t="s">
        <v>517</v>
      </c>
      <c r="C35" s="42"/>
      <c r="D35" s="42"/>
      <c r="E35" s="42"/>
      <c r="F35" s="42"/>
      <c r="G35" s="42"/>
      <c r="H35" s="4" t="s">
        <v>109</v>
      </c>
    </row>
    <row r="36" customFormat="false" ht="30" hidden="false" customHeight="true" outlineLevel="0" collapsed="false">
      <c r="B36" s="42" t="s">
        <v>518</v>
      </c>
      <c r="C36" s="42"/>
      <c r="D36" s="42"/>
      <c r="E36" s="42"/>
      <c r="F36" s="42"/>
      <c r="G36" s="42"/>
      <c r="H36" s="4" t="s">
        <v>109</v>
      </c>
    </row>
    <row r="37" customFormat="false" ht="30" hidden="false" customHeight="true" outlineLevel="0" collapsed="false">
      <c r="B37" s="42" t="s">
        <v>519</v>
      </c>
      <c r="C37" s="42"/>
      <c r="D37" s="42"/>
      <c r="E37" s="42"/>
      <c r="F37" s="42"/>
      <c r="G37" s="42"/>
      <c r="H37" s="4" t="s">
        <v>109</v>
      </c>
    </row>
    <row r="38" customFormat="false" ht="15" hidden="false" customHeight="false" outlineLevel="0" collapsed="false">
      <c r="G38" s="25" t="s">
        <v>113</v>
      </c>
      <c r="H38" s="38" t="str">
        <f aca="false">COUNTIF(H33:H37,"Yes")&amp;" of 5"</f>
        <v>5 of 5</v>
      </c>
    </row>
    <row r="40" customFormat="false" ht="16.15" hidden="false" customHeight="false" outlineLevel="0" collapsed="false">
      <c r="B40" s="3" t="s">
        <v>520</v>
      </c>
      <c r="H40" s="32" t="s">
        <v>483</v>
      </c>
    </row>
    <row r="41" customFormat="false" ht="30" hidden="false" customHeight="true" outlineLevel="0" collapsed="false">
      <c r="B41" s="17" t="s">
        <v>521</v>
      </c>
      <c r="C41" s="17"/>
      <c r="D41" s="17"/>
      <c r="E41" s="17"/>
      <c r="F41" s="17"/>
      <c r="G41" s="17"/>
      <c r="H41" s="17"/>
    </row>
    <row r="42" customFormat="false" ht="30" hidden="false" customHeight="true" outlineLevel="0" collapsed="false">
      <c r="B42" s="8" t="s">
        <v>522</v>
      </c>
      <c r="C42" s="8" t="s">
        <v>523</v>
      </c>
      <c r="D42" s="8"/>
      <c r="E42" s="8"/>
      <c r="F42" s="8"/>
    </row>
    <row r="43" customFormat="false" ht="30" hidden="false" customHeight="true" outlineLevel="0" collapsed="false">
      <c r="A43" s="37" t="n">
        <v>1</v>
      </c>
      <c r="B43" s="34" t="s">
        <v>524</v>
      </c>
      <c r="C43" s="34" t="s">
        <v>525</v>
      </c>
      <c r="D43" s="34"/>
      <c r="E43" s="34"/>
      <c r="F43" s="34"/>
    </row>
    <row r="44" customFormat="false" ht="30" hidden="false" customHeight="true" outlineLevel="0" collapsed="false">
      <c r="A44" s="37" t="n">
        <v>2</v>
      </c>
      <c r="B44" s="34" t="s">
        <v>526</v>
      </c>
      <c r="C44" s="34" t="s">
        <v>527</v>
      </c>
      <c r="D44" s="34"/>
      <c r="E44" s="34"/>
      <c r="F44" s="34"/>
    </row>
    <row r="45" customFormat="false" ht="30" hidden="false" customHeight="true" outlineLevel="0" collapsed="false">
      <c r="A45" s="37" t="n">
        <v>3</v>
      </c>
      <c r="B45" s="34" t="s">
        <v>511</v>
      </c>
      <c r="C45" s="34" t="s">
        <v>528</v>
      </c>
      <c r="D45" s="34"/>
      <c r="E45" s="34"/>
      <c r="F45" s="34"/>
    </row>
    <row r="46" customFormat="false" ht="30" hidden="false" customHeight="true" outlineLevel="0" collapsed="false">
      <c r="A46" s="37" t="n">
        <v>4</v>
      </c>
      <c r="B46" s="34"/>
      <c r="C46" s="34"/>
      <c r="D46" s="34"/>
      <c r="E46" s="34"/>
      <c r="F46" s="34"/>
    </row>
    <row r="47" customFormat="false" ht="30" hidden="false" customHeight="true" outlineLevel="0" collapsed="false">
      <c r="A47" s="37" t="n">
        <v>5</v>
      </c>
      <c r="B47" s="34"/>
      <c r="C47" s="34"/>
      <c r="D47" s="34"/>
      <c r="E47" s="34"/>
      <c r="F47" s="34"/>
    </row>
    <row r="49" customFormat="false" ht="16.15" hidden="false" customHeight="false" outlineLevel="0" collapsed="false">
      <c r="B49" s="3" t="s">
        <v>529</v>
      </c>
      <c r="H49" s="32" t="s">
        <v>395</v>
      </c>
    </row>
    <row r="50" customFormat="false" ht="18" hidden="false" customHeight="true" outlineLevel="0" collapsed="false">
      <c r="B50" s="17" t="s">
        <v>530</v>
      </c>
      <c r="C50" s="17"/>
      <c r="D50" s="17"/>
      <c r="E50" s="17"/>
      <c r="F50" s="17"/>
      <c r="G50" s="17"/>
      <c r="H50" s="17"/>
    </row>
    <row r="51" customFormat="false" ht="15" hidden="false" customHeight="false" outlineLevel="0" collapsed="false">
      <c r="B51" s="13" t="s">
        <v>106</v>
      </c>
      <c r="C51" s="13"/>
      <c r="D51" s="13"/>
      <c r="E51" s="13"/>
      <c r="F51" s="13"/>
      <c r="G51" s="13"/>
      <c r="H51" s="8" t="s">
        <v>107</v>
      </c>
    </row>
    <row r="52" customFormat="false" ht="30" hidden="false" customHeight="true" outlineLevel="0" collapsed="false">
      <c r="B52" s="42" t="s">
        <v>531</v>
      </c>
      <c r="C52" s="42"/>
      <c r="D52" s="42"/>
      <c r="E52" s="42"/>
      <c r="F52" s="42"/>
      <c r="G52" s="42"/>
      <c r="H52" s="4" t="s">
        <v>109</v>
      </c>
    </row>
    <row r="53" customFormat="false" ht="30" hidden="false" customHeight="true" outlineLevel="0" collapsed="false">
      <c r="B53" s="42" t="s">
        <v>532</v>
      </c>
      <c r="C53" s="42"/>
      <c r="D53" s="42"/>
      <c r="E53" s="42"/>
      <c r="F53" s="42"/>
      <c r="G53" s="42"/>
      <c r="H53" s="4" t="s">
        <v>109</v>
      </c>
    </row>
    <row r="54" customFormat="false" ht="30" hidden="false" customHeight="true" outlineLevel="0" collapsed="false">
      <c r="B54" s="42" t="s">
        <v>533</v>
      </c>
      <c r="C54" s="42"/>
      <c r="D54" s="42"/>
      <c r="E54" s="42"/>
      <c r="F54" s="42"/>
      <c r="G54" s="42"/>
      <c r="H54" s="4" t="s">
        <v>109</v>
      </c>
    </row>
    <row r="55" customFormat="false" ht="30" hidden="false" customHeight="true" outlineLevel="0" collapsed="false">
      <c r="B55" s="42" t="s">
        <v>534</v>
      </c>
      <c r="C55" s="42"/>
      <c r="D55" s="42"/>
      <c r="E55" s="42"/>
      <c r="F55" s="42"/>
      <c r="G55" s="42"/>
      <c r="H55" s="4"/>
    </row>
    <row r="56" customFormat="false" ht="30" hidden="false" customHeight="true" outlineLevel="0" collapsed="false">
      <c r="B56" s="42" t="s">
        <v>535</v>
      </c>
      <c r="C56" s="42"/>
      <c r="D56" s="42"/>
      <c r="E56" s="42"/>
      <c r="F56" s="42"/>
      <c r="G56" s="42"/>
      <c r="H56" s="4"/>
    </row>
    <row r="57" customFormat="false" ht="15" hidden="false" customHeight="false" outlineLevel="0" collapsed="false">
      <c r="G57" s="25" t="s">
        <v>113</v>
      </c>
      <c r="H57" s="38" t="str">
        <f aca="false">COUNTIF(H52:H56,"Yes")&amp;" of 5"</f>
        <v>3 of 5</v>
      </c>
    </row>
    <row r="59" customFormat="false" ht="16.15" hidden="false" customHeight="false" outlineLevel="0" collapsed="false">
      <c r="B59" s="3" t="s">
        <v>536</v>
      </c>
      <c r="H59" s="32" t="s">
        <v>395</v>
      </c>
    </row>
    <row r="60" customFormat="false" ht="18" hidden="false" customHeight="true" outlineLevel="0" collapsed="false">
      <c r="B60" s="17" t="s">
        <v>537</v>
      </c>
      <c r="C60" s="17"/>
      <c r="D60" s="17"/>
      <c r="E60" s="17"/>
      <c r="F60" s="17"/>
      <c r="G60" s="17"/>
      <c r="H60" s="17"/>
    </row>
    <row r="61" customFormat="false" ht="21.75" hidden="false" customHeight="true" outlineLevel="0" collapsed="false">
      <c r="B61" s="33" t="s">
        <v>538</v>
      </c>
      <c r="C61" s="43"/>
    </row>
    <row r="62" customFormat="false" ht="21.75" hidden="false" customHeight="true" outlineLevel="0" collapsed="false">
      <c r="B62" s="33" t="s">
        <v>539</v>
      </c>
      <c r="C62" s="43"/>
    </row>
    <row r="63" customFormat="false" ht="21.75" hidden="false" customHeight="true" outlineLevel="0" collapsed="false">
      <c r="B63" s="33" t="s">
        <v>540</v>
      </c>
      <c r="C63" s="39"/>
    </row>
    <row r="64" customFormat="false" ht="21.75" hidden="false" customHeight="true" outlineLevel="0" collapsed="false">
      <c r="B64" s="33" t="s">
        <v>34</v>
      </c>
      <c r="C64" s="45" t="str">
        <f aca="false">IF(OR(C61="",C62="",C61=0),"",C62/C61)</f>
        <v/>
      </c>
    </row>
    <row r="65" customFormat="false" ht="21.75" hidden="false" customHeight="true" outlineLevel="0" collapsed="false">
      <c r="B65" s="33" t="s">
        <v>541</v>
      </c>
      <c r="C65" s="45" t="n">
        <f aca="false">IF(CloseRateNow="","",CloseRateNow)</f>
        <v>0.2</v>
      </c>
    </row>
    <row r="66" customFormat="false" ht="21.75" hidden="false" customHeight="true" outlineLevel="0" collapsed="false">
      <c r="B66" s="33" t="s">
        <v>542</v>
      </c>
      <c r="C66" s="46" t="str">
        <f aca="false">IF(OR(C61="",C63="",C61=0),"",C63/C61)</f>
        <v/>
      </c>
    </row>
  </sheetData>
  <mergeCells count="40">
    <mergeCell ref="B2:H2"/>
    <mergeCell ref="B6:H6"/>
    <mergeCell ref="C7:E7"/>
    <mergeCell ref="C8:E8"/>
    <mergeCell ref="B11:H11"/>
    <mergeCell ref="C12:H12"/>
    <mergeCell ref="C13:E13"/>
    <mergeCell ref="B16:H16"/>
    <mergeCell ref="C17:E17"/>
    <mergeCell ref="C18:E18"/>
    <mergeCell ref="C19:E19"/>
    <mergeCell ref="C20:E20"/>
    <mergeCell ref="C21:E21"/>
    <mergeCell ref="C22:H22"/>
    <mergeCell ref="C23:H23"/>
    <mergeCell ref="C24:H24"/>
    <mergeCell ref="B27:H27"/>
    <mergeCell ref="C28:E28"/>
    <mergeCell ref="B31:H31"/>
    <mergeCell ref="B32:G32"/>
    <mergeCell ref="B33:G33"/>
    <mergeCell ref="B34:G34"/>
    <mergeCell ref="B35:G35"/>
    <mergeCell ref="B36:G36"/>
    <mergeCell ref="B37:G37"/>
    <mergeCell ref="B41:H41"/>
    <mergeCell ref="C42:F42"/>
    <mergeCell ref="C43:F43"/>
    <mergeCell ref="C44:F44"/>
    <mergeCell ref="C45:F45"/>
    <mergeCell ref="C46:F46"/>
    <mergeCell ref="C47:F47"/>
    <mergeCell ref="B50:H50"/>
    <mergeCell ref="B51:G51"/>
    <mergeCell ref="B52:G52"/>
    <mergeCell ref="B53:G53"/>
    <mergeCell ref="B54:G54"/>
    <mergeCell ref="B55:G55"/>
    <mergeCell ref="B56:G56"/>
    <mergeCell ref="B60:H60"/>
  </mergeCells>
  <conditionalFormatting sqref="H33:H37">
    <cfRule type="cellIs" priority="2" operator="equal" aboveAverage="0" equalAverage="0" bottom="0" percent="0" rank="0" text="" dxfId="1">
      <formula>"Yes"</formula>
    </cfRule>
  </conditionalFormatting>
  <conditionalFormatting sqref="H52:H56">
    <cfRule type="cellIs" priority="3" operator="equal" aboveAverage="0" equalAverage="0" bottom="0" percent="0" rank="0" text="" dxfId="1">
      <formula>"Yes"</formula>
    </cfRule>
  </conditionalFormatting>
  <dataValidations count="4">
    <dataValidation allowBlank="true" errorStyle="stop" operator="between" showDropDown="false" showErrorMessage="false" showInputMessage="false" sqref="C7" type="list">
      <formula1>"It has a name,No name yet"</formula1>
      <formula2>0</formula2>
    </dataValidation>
    <dataValidation allowBlank="true" errorStyle="stop" operator="between" showDropDown="false" showErrorMessage="false" showInputMessage="false" sqref="C21" type="list">
      <formula1>"Challenge,Blueprint,System,Bootcamp,Program,Accelerator,Masterclass,Intensive,Method,Sprint"</formula1>
      <formula2>0</formula2>
    </dataValidation>
    <dataValidation allowBlank="true" errorStyle="stop" operator="between" showDropDown="false" showErrorMessage="false" showInputMessage="false" sqref="H33:H37 H52:H56" type="list">
      <formula1>"Yes,Not yet"</formula1>
      <formula2>0</formula2>
    </dataValidation>
    <dataValidation allowBlank="true" errorStyle="stop" operator="between" showDropDown="false" showErrorMessage="false" showInputMessage="false" sqref="B43:B47" type="list">
      <formula1>"The name,A bonus,The guarantee,The scarcity,The urgency,How the price is framed"</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40"/>
    <col collapsed="false" customWidth="true" hidden="false" outlineLevel="0" max="5" min="4" style="0" width="16"/>
    <col collapsed="false" customWidth="true" hidden="false" outlineLevel="0" max="6" min="6" style="0" width="3"/>
  </cols>
  <sheetData>
    <row r="1" customFormat="false" ht="33.75" hidden="false" customHeight="true" outlineLevel="0" collapsed="false">
      <c r="B1" s="59" t="str">
        <f aca="false">IF(NameChosen="","Unnamed offer",NameChosen)</f>
        <v>The 6 Week New Dad Carry Anything Challenge</v>
      </c>
      <c r="C1" s="59"/>
      <c r="D1" s="59"/>
      <c r="E1" s="59"/>
    </row>
    <row r="2" customFormat="false" ht="63.75" hidden="false" customHeight="true" outlineLevel="0" collapsed="false">
      <c r="B2" s="60" t="str">
        <f aca="false">IF(OneLine="","The one-line offer is written on the Name tab, 6.2.",OneLine)</f>
        <v>New fathers in their first year get strong enough to carry the baby, the bags and the stroller up the stairs without thinking about it, in six weeks, twenty minutes at a time, without a gym, or I keep coaching them for free until they do.</v>
      </c>
      <c r="C2" s="60"/>
      <c r="D2" s="60"/>
      <c r="E2" s="60"/>
    </row>
    <row r="4" customFormat="false" ht="15" hidden="false" customHeight="false" outlineLevel="0" collapsed="false">
      <c r="B4" s="61" t="s">
        <v>543</v>
      </c>
      <c r="C4" s="62"/>
      <c r="D4" s="62"/>
      <c r="E4" s="62"/>
    </row>
    <row r="5" customFormat="false" ht="30" hidden="false" customHeight="true" outlineLevel="0" collapsed="false">
      <c r="B5" s="17" t="str">
        <f aca="false">IF(Niche="",IF(MarketWho="","Not chosen yet (Crowd tab, 1.6)",MarketWho&amp;" (the starting avatar; Crowd 1.6 narrows it)"),Niche)</f>
        <v>New fathers in the first year, training at home with no gym</v>
      </c>
      <c r="C5" s="17"/>
      <c r="D5" s="17"/>
      <c r="E5" s="17"/>
    </row>
    <row r="6" customFormat="false" ht="15" hidden="false" customHeight="false" outlineLevel="0" collapsed="false">
      <c r="B6" s="61" t="s">
        <v>544</v>
      </c>
      <c r="C6" s="62"/>
      <c r="D6" s="62"/>
      <c r="E6" s="62"/>
    </row>
    <row r="7" customFormat="false" ht="45" hidden="false" customHeight="true" outlineLevel="0" collapsed="false">
      <c r="B7" s="17" t="str">
        <f aca="false">IF(Dream="","Not written yet (Value tab, 3.2)",Dream)</f>
        <v>Strong enough to carry the baby, the bags and the stroller up the stairs without thinking about it, and to have energy left at the end of the day.</v>
      </c>
      <c r="C7" s="17"/>
      <c r="D7" s="17"/>
      <c r="E7" s="17"/>
    </row>
    <row r="8" customFormat="false" ht="19.5" hidden="false" customHeight="true" outlineLevel="0" collapsed="false">
      <c r="B8" s="24" t="str">
        <f aca="false">IF(DreamStatus="","","They get to be "&amp;DreamStatus&amp;".")</f>
        <v>They get to be the dad who keeps up, not the one who is always tired.</v>
      </c>
      <c r="C8" s="24"/>
      <c r="D8" s="24"/>
      <c r="E8" s="24"/>
    </row>
    <row r="9" customFormat="false" ht="19.5" hidden="false" customHeight="true" outlineLevel="0" collapsed="false">
      <c r="B9" s="24" t="str">
        <f aca="false">IF(FirstWinDays="","","First win: "&amp;FirstWin&amp;" in "&amp;FirstWinDays&amp;" days. Full result in "&amp;FullWeeks&amp;" weeks.")</f>
        <v>First win: less back pain lifting the car seat in 5 days. Full result in 6 weeks.</v>
      </c>
      <c r="C9" s="24"/>
      <c r="D9" s="24"/>
      <c r="E9" s="24"/>
    </row>
    <row r="10" customFormat="false" ht="15" hidden="false" customHeight="false" outlineLevel="0" collapsed="false">
      <c r="B10" s="61" t="s">
        <v>545</v>
      </c>
      <c r="C10" s="62"/>
      <c r="D10" s="62"/>
      <c r="E10" s="62"/>
    </row>
    <row r="11" customFormat="false" ht="15" hidden="false" customHeight="true" outlineLevel="0" collapsed="false">
      <c r="B11" s="8" t="s">
        <v>47</v>
      </c>
      <c r="C11" s="8" t="s">
        <v>370</v>
      </c>
      <c r="D11" s="8" t="s">
        <v>546</v>
      </c>
      <c r="E11" s="8"/>
    </row>
    <row r="12" customFormat="false" ht="25.5" hidden="false" customHeight="true" outlineLevel="0" collapsed="false">
      <c r="B12" s="63" t="str">
        <f aca="false">IF(INDEX(StackNames,1)="","",INDEX(StackNames,1))</f>
        <v>The Six Week Dad Strength Cards</v>
      </c>
      <c r="C12" s="63" t="str">
        <f aca="false">IF(INDEX(StackSolves,1)="","",INDEX(StackSolves,1))</f>
        <v>No time, no plan: twenty minutes, told what to do</v>
      </c>
      <c r="D12" s="64" t="n">
        <f aca="false">IF(INDEX(StackWorth,1)="","",INDEX(StackWorth,1))</f>
        <v>297</v>
      </c>
      <c r="E12" s="64"/>
    </row>
    <row r="13" customFormat="false" ht="25.5" hidden="false" customHeight="true" outlineLevel="0" collapsed="false">
      <c r="B13" s="63" t="str">
        <f aca="false">IF(INDEX(StackNames,2)="","",INDEX(StackNames,2))</f>
        <v>The Back Check</v>
      </c>
      <c r="C13" s="63" t="str">
        <f aca="false">IF(INDEX(StackSolves,2)="","",INDEX(StackSolves,2))</f>
        <v>Fear of getting hurt: a movement screen before day one</v>
      </c>
      <c r="D13" s="64" t="n">
        <f aca="false">IF(INDEX(StackWorth,2)="","",INDEX(StackWorth,2))</f>
        <v>150</v>
      </c>
      <c r="E13" s="64"/>
    </row>
    <row r="14" customFormat="false" ht="25.5" hidden="false" customHeight="true" outlineLevel="0" collapsed="false">
      <c r="B14" s="63" t="str">
        <f aca="false">IF(INDEX(StackNames,3)="","",INDEX(StackNames,3))</f>
        <v>Same Day Coach Line</v>
      </c>
      <c r="C14" s="63" t="str">
        <f aca="false">IF(INDEX(StackSolves,3)="","",INDEX(StackSolves,3))</f>
        <v>Nobody to ask: an answer within the day</v>
      </c>
      <c r="D14" s="64" t="n">
        <f aca="false">IF(INDEX(StackWorth,3)="","",INDEX(StackWorth,3))</f>
        <v>197</v>
      </c>
      <c r="E14" s="64"/>
    </row>
    <row r="15" customFormat="false" ht="25.5" hidden="false" customHeight="true" outlineLevel="0" collapsed="false">
      <c r="B15" s="63" t="str">
        <f aca="false">IF(INDEX(StackNames,4)="","",INDEX(StackNames,4))</f>
        <v>The Five Minute Fallback</v>
      </c>
      <c r="C15" s="63" t="str">
        <f aca="false">IF(INDEX(StackSolves,4)="","",INDEX(StackSolves,4))</f>
        <v>Bad weeks: a session you can always do</v>
      </c>
      <c r="D15" s="64" t="n">
        <f aca="false">IF(INDEX(StackWorth,4)="","",INDEX(StackWorth,4))</f>
        <v>49</v>
      </c>
      <c r="E15" s="64"/>
    </row>
    <row r="16" customFormat="false" ht="25.5" hidden="false" customHeight="true" outlineLevel="0" collapsed="false">
      <c r="B16" s="63" t="str">
        <f aca="false">IF(INDEX(StackNames,5)="","",INDEX(StackNames,5))</f>
        <v>The Carry Test Tracker</v>
      </c>
      <c r="C16" s="63" t="str">
        <f aca="false">IF(INDEX(StackSolves,5)="","",INDEX(StackSolves,5))</f>
        <v>Nothing changing: a number that moves in week one</v>
      </c>
      <c r="D16" s="64" t="n">
        <f aca="false">IF(INDEX(StackWorth,5)="","",INDEX(StackWorth,5))</f>
        <v>39</v>
      </c>
      <c r="E16" s="64"/>
    </row>
    <row r="17" customFormat="false" ht="25.5" hidden="false" customHeight="true" outlineLevel="0" collapsed="false">
      <c r="B17" s="63" t="str">
        <f aca="false">IF(INDEX(StackNames,6)="","",INDEX(StackNames,6))</f>
        <v/>
      </c>
      <c r="C17" s="63" t="str">
        <f aca="false">IF(INDEX(StackSolves,6)="","",INDEX(StackSolves,6))</f>
        <v/>
      </c>
      <c r="D17" s="64" t="str">
        <f aca="false">IF(INDEX(StackWorth,6)="","",INDEX(StackWorth,6))</f>
        <v/>
      </c>
      <c r="E17" s="64"/>
    </row>
    <row r="18" customFormat="false" ht="25.5" hidden="false" customHeight="true" outlineLevel="0" collapsed="false">
      <c r="B18" s="63" t="str">
        <f aca="false">IF(INDEX(StackNames,7)="","",INDEX(StackNames,7))</f>
        <v/>
      </c>
      <c r="C18" s="63" t="str">
        <f aca="false">IF(INDEX(StackSolves,7)="","",INDEX(StackSolves,7))</f>
        <v/>
      </c>
      <c r="D18" s="64" t="str">
        <f aca="false">IF(INDEX(StackWorth,7)="","",INDEX(StackWorth,7))</f>
        <v/>
      </c>
      <c r="E18" s="64"/>
    </row>
    <row r="19" customFormat="false" ht="25.5" hidden="false" customHeight="true" outlineLevel="0" collapsed="false">
      <c r="B19" s="63" t="str">
        <f aca="false">IF(INDEX(StackNames,8)="","",INDEX(StackNames,8))</f>
        <v/>
      </c>
      <c r="C19" s="63" t="str">
        <f aca="false">IF(INDEX(StackSolves,8)="","",INDEX(StackSolves,8))</f>
        <v/>
      </c>
      <c r="D19" s="64" t="str">
        <f aca="false">IF(INDEX(StackWorth,8)="","",INDEX(StackWorth,8))</f>
        <v/>
      </c>
      <c r="E19" s="64"/>
    </row>
    <row r="20" customFormat="false" ht="15" hidden="false" customHeight="false" outlineLevel="0" collapsed="false">
      <c r="B20" s="25" t="s">
        <v>49</v>
      </c>
      <c r="D20" s="65" t="n">
        <f aca="false">IF(StackTotal="","",StackTotal)</f>
        <v>732</v>
      </c>
      <c r="E20" s="65"/>
    </row>
    <row r="21" customFormat="false" ht="15" hidden="false" customHeight="false" outlineLevel="0" collapsed="false">
      <c r="B21" s="61" t="s">
        <v>547</v>
      </c>
      <c r="C21" s="62"/>
      <c r="D21" s="62"/>
      <c r="E21" s="62"/>
    </row>
    <row r="22" customFormat="false" ht="15" hidden="false" customHeight="false" outlineLevel="0" collapsed="false">
      <c r="B22" s="8" t="s">
        <v>548</v>
      </c>
      <c r="C22" s="8" t="s">
        <v>433</v>
      </c>
      <c r="D22" s="8" t="s">
        <v>226</v>
      </c>
      <c r="E22" s="8" t="s">
        <v>546</v>
      </c>
    </row>
    <row r="23" customFormat="false" ht="25.5" hidden="false" customHeight="true" outlineLevel="0" collapsed="false">
      <c r="B23" s="63" t="str">
        <f aca="false">IF(INDEX(BonusNames,1)="","",INDEX(BonusNames,1))</f>
        <v>The Partner Page</v>
      </c>
      <c r="C23" s="63" t="str">
        <f aca="false">IF(INDEX(BonusSolves,1)="","",INDEX(BonusSolves,1))</f>
        <v>My partner will think I am being selfish</v>
      </c>
      <c r="D23" s="63" t="str">
        <f aca="false">IF(INDEX(BonusKinds,1)="","",INDEX(BonusKinds,1))</f>
        <v>A tool or template</v>
      </c>
      <c r="E23" s="66" t="n">
        <f aca="false">IF(INDEX(BonusWorth,1)="","",INDEX(BonusWorth,1))</f>
        <v>29</v>
      </c>
    </row>
    <row r="24" customFormat="false" ht="25.5" hidden="false" customHeight="true" outlineLevel="0" collapsed="false">
      <c r="B24" s="63" t="str">
        <f aca="false">IF(INDEX(BonusNames,2)="","",INDEX(BonusNames,2))</f>
        <v>The Bad Week Checklist</v>
      </c>
      <c r="C24" s="63" t="str">
        <f aca="false">IF(INDEX(BonusSolves,2)="","",INDEX(BonusSolves,2))</f>
        <v>What if the baby stops sleeping</v>
      </c>
      <c r="D24" s="63" t="str">
        <f aca="false">IF(INDEX(BonusKinds,2)="","",INDEX(BonusKinds,2))</f>
        <v>A checklist</v>
      </c>
      <c r="E24" s="66" t="n">
        <f aca="false">IF(INDEX(BonusWorth,2)="","",INDEX(BonusWorth,2))</f>
        <v>19</v>
      </c>
    </row>
    <row r="25" customFormat="false" ht="25.5" hidden="false" customHeight="true" outlineLevel="0" collapsed="false">
      <c r="B25" s="63" t="str">
        <f aca="false">IF(INDEX(BonusNames,3)="","",INDEX(BonusNames,3))</f>
        <v>The Kit Guide</v>
      </c>
      <c r="C25" s="63" t="str">
        <f aca="false">IF(INDEX(BonusSolves,3)="","",INDEX(BonusSolves,3))</f>
        <v>I do not know what to buy</v>
      </c>
      <c r="D25" s="63" t="str">
        <f aca="false">IF(INDEX(BonusKinds,3)="","",INDEX(BonusKinds,3))</f>
        <v>A tool or template</v>
      </c>
      <c r="E25" s="66" t="n">
        <f aca="false">IF(INDEX(BonusWorth,3)="","",INDEX(BonusWorth,3))</f>
        <v>15</v>
      </c>
    </row>
    <row r="26" customFormat="false" ht="25.5" hidden="false" customHeight="true" outlineLevel="0" collapsed="false">
      <c r="B26" s="63" t="str">
        <f aca="false">IF(INDEX(BonusNames,4)="","",INDEX(BonusNames,4))</f>
        <v>Pediatric Physio Back Session</v>
      </c>
      <c r="C26" s="63" t="str">
        <f aca="false">IF(INDEX(BonusSolves,4)="","",INDEX(BonusSolves,4))</f>
        <v>What if I hurt my back</v>
      </c>
      <c r="D26" s="63" t="str">
        <f aca="false">IF(INDEX(BonusKinds,4)="","",INDEX(BonusKinds,4))</f>
        <v>A partner's product</v>
      </c>
      <c r="E26" s="66" t="n">
        <f aca="false">IF(INDEX(BonusWorth,4)="","",INDEX(BonusWorth,4))</f>
        <v>90</v>
      </c>
    </row>
    <row r="27" customFormat="false" ht="25.5" hidden="false" customHeight="true" outlineLevel="0" collapsed="false">
      <c r="B27" s="63" t="str">
        <f aca="false">IF(INDEX(BonusNames,5)="","",INDEX(BonusNames,5))</f>
        <v/>
      </c>
      <c r="C27" s="63" t="str">
        <f aca="false">IF(INDEX(BonusSolves,5)="","",INDEX(BonusSolves,5))</f>
        <v/>
      </c>
      <c r="D27" s="63" t="str">
        <f aca="false">IF(INDEX(BonusKinds,5)="","",INDEX(BonusKinds,5))</f>
        <v/>
      </c>
      <c r="E27" s="66" t="str">
        <f aca="false">IF(INDEX(BonusWorth,5)="","",INDEX(BonusWorth,5))</f>
        <v/>
      </c>
    </row>
    <row r="28" customFormat="false" ht="25.5" hidden="false" customHeight="true" outlineLevel="0" collapsed="false">
      <c r="B28" s="63" t="str">
        <f aca="false">IF(INDEX(BonusNames,6)="","",INDEX(BonusNames,6))</f>
        <v/>
      </c>
      <c r="C28" s="63" t="str">
        <f aca="false">IF(INDEX(BonusSolves,6)="","",INDEX(BonusSolves,6))</f>
        <v/>
      </c>
      <c r="D28" s="63" t="str">
        <f aca="false">IF(INDEX(BonusKinds,6)="","",INDEX(BonusKinds,6))</f>
        <v/>
      </c>
      <c r="E28" s="66" t="str">
        <f aca="false">IF(INDEX(BonusWorth,6)="","",INDEX(BonusWorth,6))</f>
        <v/>
      </c>
    </row>
    <row r="29" customFormat="false" ht="15" hidden="false" customHeight="false" outlineLevel="0" collapsed="false">
      <c r="B29" s="25" t="s">
        <v>50</v>
      </c>
      <c r="E29" s="67" t="n">
        <f aca="false">IF(BonusTotal="","",BonusTotal)</f>
        <v>153</v>
      </c>
    </row>
    <row r="30" customFormat="false" ht="15" hidden="false" customHeight="false" outlineLevel="0" collapsed="false">
      <c r="B30" s="61" t="s">
        <v>549</v>
      </c>
      <c r="C30" s="62"/>
      <c r="D30" s="62"/>
      <c r="E30" s="62"/>
    </row>
    <row r="31" customFormat="false" ht="30" hidden="false" customHeight="true" outlineLevel="0" collapsed="false">
      <c r="B31" s="68" t="n">
        <f aca="false">IF(PriceUsed="","Not set yet (Price tab)",PriceUsed)</f>
        <v>297</v>
      </c>
      <c r="C31" s="26" t="str">
        <f aca="false">IF(Period="","",IF(Period="Per month","a month",IF(Period="Per year","a year","one time")))</f>
        <v>a month</v>
      </c>
    </row>
    <row r="32" customFormat="false" ht="19.5" hidden="false" customHeight="true" outlineLevel="0" collapsed="false">
      <c r="B32" s="24" t="str">
        <f aca="false">IF(OfferMultiple="","","Everything above adds up to "&amp;TEXT(OfferTotal,"$#,##0")&amp;", "&amp;TEXT(OfferMultiple,"0.0")&amp;"x the price.")</f>
        <v>Everything above adds up to $885, 3.0x the price.</v>
      </c>
      <c r="C32" s="24"/>
      <c r="D32" s="24"/>
      <c r="E32" s="24"/>
    </row>
    <row r="33" customFormat="false" ht="19.5" hidden="false" customHeight="true" outlineLevel="0" collapsed="false">
      <c r="B33" s="24" t="str">
        <f aca="false">IF(OR(OutcomeWorth="",PriceUsed=""),"","The outcome is worth about "&amp;TEXT(OutcomeWorth,"$#,##0")&amp;" a year to them, "&amp;TEXT(OutcomeWorth/PriceUsed,"0.0")&amp;"x the price.")</f>
        <v>The outcome is worth about $4,800 a year to them, 16.2x the price.</v>
      </c>
      <c r="C33" s="24"/>
      <c r="D33" s="24"/>
      <c r="E33" s="24"/>
    </row>
    <row r="34" customFormat="false" ht="15" hidden="false" customHeight="false" outlineLevel="0" collapsed="false">
      <c r="B34" s="61" t="s">
        <v>550</v>
      </c>
      <c r="C34" s="62"/>
      <c r="D34" s="62"/>
      <c r="E34" s="62"/>
    </row>
    <row r="35" customFormat="false" ht="49.5" hidden="false" customHeight="true" outlineLevel="0" collapsed="false">
      <c r="B35" s="17" t="str">
        <f aca="false">IF(GuaranteeText="","Not written yet (Enhancers tab, 5.6)",IF(GuaranteeKind="","",GuaranteeKind&amp;": ")&amp;GuaranteeText)</f>
        <v>Conditional: Do the three sessions a week for six weeks and log your carry test. If it has not gone up by twenty pounds, I keep coaching you for free until it does.</v>
      </c>
      <c r="C35" s="17"/>
      <c r="D35" s="17"/>
      <c r="E35" s="17"/>
    </row>
    <row r="36" customFormat="false" ht="19.5" hidden="false" customHeight="true" outlineLevel="0" collapsed="false">
      <c r="B36" s="24" t="str">
        <f aca="false">IF(GuaranteeCondition="","","It holds when the client "&amp;GuaranteeCondition&amp;".")</f>
        <v>It holds when the client does three sessions a week and logs the carry test.</v>
      </c>
      <c r="C36" s="24"/>
      <c r="D36" s="24"/>
      <c r="E36" s="24"/>
    </row>
    <row r="37" customFormat="false" ht="15" hidden="false" customHeight="false" outlineLevel="0" collapsed="false">
      <c r="B37" s="61" t="s">
        <v>551</v>
      </c>
      <c r="C37" s="62"/>
      <c r="D37" s="62"/>
      <c r="E37" s="62"/>
    </row>
    <row r="38" customFormat="false" ht="30" hidden="false" customHeight="true" outlineLevel="0" collapsed="false">
      <c r="B38" s="17" t="str">
        <f aca="false">IF(ScarcityLine="","Scarcity not set yet (Enhancers tab, 5.2)",ScarcityLine)</f>
        <v>Only 12 places each round.</v>
      </c>
      <c r="C38" s="17"/>
      <c r="D38" s="17"/>
      <c r="E38" s="17"/>
    </row>
    <row r="39" customFormat="false" ht="30" hidden="false" customHeight="true" outlineLevel="0" collapsed="false">
      <c r="B39" s="17" t="str">
        <f aca="false">IF(UrgencyLine="","Urgency not set yet (Enhancers tab, 5.3)",UrgencyLine)</f>
        <v>The next group starts on November 2, 2026.</v>
      </c>
      <c r="C39" s="17"/>
      <c r="D39" s="17"/>
      <c r="E39" s="17"/>
    </row>
    <row r="40" customFormat="false" ht="15" hidden="false" customHeight="false" outlineLevel="0" collapsed="false">
      <c r="B40" s="61" t="s">
        <v>552</v>
      </c>
      <c r="C40" s="62"/>
      <c r="D40" s="62"/>
      <c r="E40" s="62"/>
    </row>
    <row r="41" customFormat="false" ht="30" hidden="false" customHeight="true" outlineLevel="0" collapsed="false">
      <c r="B41" s="17" t="str">
        <f aca="false">IF(ValueNow="","Not rated yet (Value tab, 3.1)",IF(ValueNew="","Value score "&amp;TEXT(ValueNow,"0.0")&amp;" before. Rate it again after the Offer and Enhancers tabs (Value 3.7).","The value score went from "&amp;TEXT(ValueNow,"0.0")&amp;" to "&amp;TEXT(ValueNew,"0.0")&amp;", "&amp;TEXT(ValueChange,"0.0")&amp;"x what it was."))</f>
        <v>The value score went from 0.6 to 7.1, 12.4x what it was.</v>
      </c>
      <c r="C41" s="17"/>
      <c r="D41" s="17"/>
      <c r="E41" s="17"/>
    </row>
  </sheetData>
  <mergeCells count="23">
    <mergeCell ref="B1:E1"/>
    <mergeCell ref="B2:E2"/>
    <mergeCell ref="B5:E5"/>
    <mergeCell ref="B7:E7"/>
    <mergeCell ref="B8:E8"/>
    <mergeCell ref="B9:E9"/>
    <mergeCell ref="D11:E11"/>
    <mergeCell ref="D12:E12"/>
    <mergeCell ref="D13:E13"/>
    <mergeCell ref="D14:E14"/>
    <mergeCell ref="D15:E15"/>
    <mergeCell ref="D16:E16"/>
    <mergeCell ref="D17:E17"/>
    <mergeCell ref="D18:E18"/>
    <mergeCell ref="D19:E19"/>
    <mergeCell ref="D20:E20"/>
    <mergeCell ref="B32:E32"/>
    <mergeCell ref="B33:E33"/>
    <mergeCell ref="B35:E35"/>
    <mergeCell ref="B36:E36"/>
    <mergeCell ref="B38:E38"/>
    <mergeCell ref="B39:E39"/>
    <mergeCell ref="B41:E4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2026-09-26T18:11:50Z</dcterms:created>
  <dc:creator>Offer Builder</dc:creator>
  <dc:description/>
  <dc:language>en-US</dc:language>
  <cp:lastModifiedBy/>
  <dcterms:modified xsi:type="dcterms:W3CDTF">2026-09-26T18:11:52Z</dcterms:modified>
  <cp:revision>1</cp:revision>
  <dc:subject/>
  <dc:title>Offer Builder: the exercises of $100M Offers</dc:title>
</cp:coreProperties>
</file>

<file path=docProps/custom.xml><?xml version="1.0" encoding="utf-8"?>
<Properties xmlns="http://schemas.openxmlformats.org/officeDocument/2006/custom-properties" xmlns:vt="http://schemas.openxmlformats.org/officeDocument/2006/docPropsVTypes"/>
</file>