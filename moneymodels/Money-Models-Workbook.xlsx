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Foundations" sheetId="2" state="visible" r:id="rId4"/>
    <sheet name="2 Attraction" sheetId="3" state="visible" r:id="rId5"/>
    <sheet name="3 Upsell" sheetId="4" state="visible" r:id="rId6"/>
    <sheet name="4 Downsell" sheetId="5" state="visible" r:id="rId7"/>
    <sheet name="5 Continuity" sheetId="6" state="visible" r:id="rId8"/>
    <sheet name="6 KPIs and Scale" sheetId="7" state="visible" r:id="rId9"/>
    <sheet name="Dashboard" sheetId="8" state="visible" r:id="rId10"/>
    <sheet name="Your Model" sheetId="9" state="visible" r:id="rId11"/>
    <sheet name="Plays" sheetId="10" state="visible" r:id="rId12"/>
  </sheets>
  <definedNames>
    <definedName function="false" hidden="false" name="adSpend" vbProcedure="false">'1 Foundations'!$F$30</definedName>
    <definedName function="false" hidden="false" name="affordableCustomers" vbProcedure="false">Dashboard!$B$34</definedName>
    <definedName function="false" hidden="false" name="anchorGap" vbProcedure="false">Dashboard!$B$52</definedName>
    <definedName function="false" hidden="false" name="anchorPrice" vbProcedure="false">'3 Upsell'!$F$74</definedName>
    <definedName function="false" hidden="false" name="annualLift" vbProcedure="false">Dashboard!$B$53</definedName>
    <definedName function="false" hidden="false" name="attrCap" vbProcedure="false">'2 Attraction'!$F$75</definedName>
    <definedName function="false" hidden="false" name="attrConversion" vbProcedure="false">'2 Attraction'!$F$31</definedName>
    <definedName function="false" hidden="false" name="attrCost" vbProcedure="false">'2 Attraction'!$F$26</definedName>
    <definedName function="false" hidden="false" name="attrGp" vbProcedure="false">Dashboard!$B$15</definedName>
    <definedName function="false" hidden="false" name="attrGpNet" vbProcedure="false">Dashboard!$B$40</definedName>
    <definedName function="false" hidden="false" name="attrOffer" vbProcedure="false">'2 Attraction'!$F$39</definedName>
    <definedName function="false" hidden="false" name="attrPlay" vbProcedure="false">'2 Attraction'!$F$35</definedName>
    <definedName function="false" hidden="false" name="attrPrice" vbProcedure="false">'2 Attraction'!$F$22</definedName>
    <definedName function="false" hidden="false" name="attrStack" vbProcedure="false">'2 Attraction'!$F$71</definedName>
    <definedName function="false" hidden="false" name="attrString" vbProcedure="false">'2 Attraction'!$F$40</definedName>
    <definedName function="false" hidden="false" name="baselinePayback" vbProcedure="false">Dashboard!$B$12</definedName>
    <definedName function="false" hidden="false" name="baselineRatio" vbProcedure="false">Dashboard!$B$11</definedName>
    <definedName function="false" hidden="false" name="bottleneck" vbProcedure="false">'6 KPIs and Scale'!$F$74</definedName>
    <definedName function="false" hidden="false" name="breakEvenCustomers" vbProcedure="false">Dashboard!$B$33</definedName>
    <definedName function="false" hidden="false" name="breakEvenTake" vbProcedure="false">Dashboard!$B$58</definedName>
    <definedName function="false" hidden="false" name="cac" vbProcedure="false">Dashboard!$B$7</definedName>
    <definedName function="false" hidden="false" name="capacity" vbProcedure="false">'6 KPIs and Scale'!$F$22</definedName>
    <definedName function="false" hidden="false" name="capacityHeadroom" vbProcedure="false">Dashboard!$B$35</definedName>
    <definedName function="false" hidden="false" name="cash30Today" vbProcedure="false">'1 Foundations'!$F$55</definedName>
    <definedName function="false" hidden="false" name="cash30Verified" vbProcedure="false">Dashboard!$B$42</definedName>
    <definedName function="false" hidden="false" name="cashPerLead" vbProcedure="false">Dashboard!$B$32</definedName>
    <definedName function="false" hidden="false" name="cashPerLeadFull" vbProcedure="false">Dashboard!$B$57</definedName>
    <definedName function="false" hidden="false" name="churn" vbProcedure="false">'5 Continuity'!$F$31</definedName>
    <definedName function="false" hidden="false" name="collected30" vbProcedure="false">Dashboard!$B$27</definedName>
    <definedName function="false" hidden="false" name="constraint" vbProcedure="false">'1 Foundations'!$F$40</definedName>
    <definedName function="false" hidden="false" name="contAnnualPrice" vbProcedure="false">'5 Continuity'!$F$69</definedName>
    <definedName function="false" hidden="false" name="contAnnualTake" vbProcedure="false">'5 Continuity'!$F$70</definedName>
    <definedName function="false" hidden="false" name="contCost" vbProcedure="false">'5 Continuity'!$F$26</definedName>
    <definedName function="false" hidden="false" name="contFirstDays" vbProcedure="false">'5 Continuity'!$F$53</definedName>
    <definedName function="false" hidden="false" name="contGp" vbProcedure="false">Dashboard!$B$20</definedName>
    <definedName function="false" hidden="false" name="contHook" vbProcedure="false">'5 Continuity'!$F$40</definedName>
    <definedName function="false" hidden="false" name="contHook2" vbProcedure="false">'5 Continuity'!$F$74</definedName>
    <definedName function="false" hidden="false" name="contJoin" vbProcedure="false">'5 Continuity'!$F$30</definedName>
    <definedName function="false" hidden="false" name="contLtgp" vbProcedure="false">Dashboard!$B$23</definedName>
    <definedName function="false" hidden="false" name="contMonth1" vbProcedure="false">Dashboard!$B$21</definedName>
    <definedName function="false" hidden="false" name="contPlay" vbProcedure="false">'5 Continuity'!$F$35</definedName>
    <definedName function="false" hidden="false" name="contPrice" vbProcedure="false">'5 Continuity'!$F$22</definedName>
    <definedName function="false" hidden="false" name="contScript" vbProcedure="false">'5 Continuity'!$F$39</definedName>
    <definedName function="false" hidden="false" name="cpl" vbProcedure="false">Dashboard!$B$9</definedName>
    <definedName function="false" hidden="false" name="customer" vbProcedure="false">'1 Foundations'!$F$35</definedName>
    <definedName function="false" hidden="false" name="customerGrowth" vbProcedure="false">Dashboard!$B$47</definedName>
    <definedName function="false" hidden="false" name="daysToCash" vbProcedure="false">'1 Foundations'!$F$51</definedName>
    <definedName function="false" hidden="false" name="deliveryCost" vbProcedure="false">'1 Foundations'!$F$26</definedName>
    <definedName function="false" hidden="false" name="downCash30" vbProcedure="false">Dashboard!$B$41</definedName>
    <definedName function="false" hidden="false" name="downCost" vbProcedure="false">'4 Downsell'!$F$26</definedName>
    <definedName function="false" hidden="false" name="downCut" vbProcedure="false">'4 Downsell'!$F$39</definedName>
    <definedName function="false" hidden="false" name="downCut2" vbProcedure="false">'4 Downsell'!$F$74</definedName>
    <definedName function="false" hidden="false" name="downExpected" vbProcedure="false">Dashboard!$B$19</definedName>
    <definedName function="false" hidden="false" name="downGp" vbProcedure="false">Dashboard!$B$18</definedName>
    <definedName function="false" hidden="false" name="downPlay" vbProcedure="false">'4 Downsell'!$F$34</definedName>
    <definedName function="false" hidden="false" name="downPrice" vbProcedure="false">'4 Downsell'!$F$22</definedName>
    <definedName function="false" hidden="false" name="downScript" vbProcedure="false">'4 Downsell'!$F$38</definedName>
    <definedName function="false" hidden="false" name="downTake" vbProcedure="false">'4 Downsell'!$F$30</definedName>
    <definedName function="false" hidden="false" name="effectiveUpTake" vbProcedure="false">Dashboard!$B$39</definedName>
    <definedName function="false" hidden="false" name="entryDownExpected" vbProcedure="false">Dashboard!$B$56</definedName>
    <definedName function="false" hidden="false" name="entryDownPrice" vbProcedure="false">'4 Downsell'!$F$69</definedName>
    <definedName function="false" hidden="false" name="entryDownTake" vbProcedure="false">'4 Downsell'!$F$70</definedName>
    <definedName function="false" hidden="false" name="expectedMonths" vbProcedure="false">Dashboard!$B$22</definedName>
    <definedName function="false" hidden="false" name="firstPlanet" vbProcedure="false">'1 Foundations'!$F$71</definedName>
    <definedName function="false" hidden="false" name="firstSaleGap" vbProcedure="false">Dashboard!$B$8</definedName>
    <definedName function="false" hidden="false" name="fixedCosts" vbProcedure="false">'6 KPIs and Scale'!$F$26</definedName>
    <definedName function="false" hidden="false" name="gp30" vbProcedure="false">Dashboard!$B$26</definedName>
    <definedName function="false" hidden="false" name="gp30Stacked" vbProcedure="false">Dashboard!$B$54</definedName>
    <definedName function="false" hidden="false" name="gpPerHour" vbProcedure="false">Dashboard!$B$36</definedName>
    <definedName function="false" hidden="false" name="gpPerSale" vbProcedure="false">Dashboard!$B$5</definedName>
    <definedName function="false" hidden="false" name="grossMargin" vbProcedure="false">Dashboard!$B$6</definedName>
    <definedName function="false" hidden="false" name="growthCash" vbProcedure="false">'6 KPIs and Scale'!$F$30</definedName>
    <definedName function="false" hidden="false" name="hoursPerCustomer" vbProcedure="false">'1 Foundations'!$F$67</definedName>
    <definedName function="false" hidden="false" name="impliedCustomers" vbProcedure="false">Dashboard!$B$10</definedName>
    <definedName function="false" hidden="false" name="leads" vbProcedure="false">'2 Attraction'!$F$30</definedName>
    <definedName function="false" hidden="false" name="ltgp" vbProcedure="false">Dashboard!$B$30</definedName>
    <definedName function="false" hidden="false" name="ltgpCac" vbProcedure="false">Dashboard!$B$31</definedName>
    <definedName function="false" hidden="false" name="ltgpFull" vbProcedure="false">Dashboard!$B$55</definedName>
    <definedName function="false" hidden="false" name="maxCac" vbProcedure="false">Dashboard!$B$29</definedName>
    <definedName function="false" hidden="false" name="measuredCash30" vbProcedure="false">'6 KPIs and Scale'!$F$53</definedName>
    <definedName function="false" hidden="false" name="measuredNewCustomers" vbProcedure="false">'6 KPIs and Scale'!$F$57</definedName>
    <definedName function="false" hidden="false" name="measuredRatio" vbProcedure="false">Dashboard!$B$46</definedName>
    <definedName function="false" hidden="false" name="newCustomers" vbProcedure="false">'1 Foundations'!$F$31</definedName>
    <definedName function="false" hidden="false" name="northStar" vbProcedure="false">'6 KPIs and Scale'!$F$35</definedName>
    <definedName function="false" hidden="false" name="paybackDays" vbProcedure="false">Dashboard!$B$194</definedName>
    <definedName function="false" hidden="false" name="planDefault" vbProcedure="false">'4 Downsell'!$F$57</definedName>
    <definedName function="false" hidden="false" name="planFirstShare" vbProcedure="false">'4 Downsell'!$F$53</definedName>
    <definedName function="false" hidden="false" name="planLeak" vbProcedure="false">Dashboard!$B$43</definedName>
    <definedName function="false" hidden="false" name="planPayments" vbProcedure="false">'4 Downsell'!$F$52</definedName>
    <definedName function="false" hidden="false" name="price" vbProcedure="false">'1 Foundations'!$F$22</definedName>
    <definedName function="false" hidden="false" name="priceRaise" vbProcedure="false">'6 KPIs and Scale'!$F$70</definedName>
    <definedName function="false" hidden="false" name="promise" vbProcedure="false">'1 Foundations'!$F$36</definedName>
    <definedName function="false" hidden="false" name="ratio30" vbProcedure="false">Dashboard!$B$28</definedName>
    <definedName function="false" hidden="false" name="refundRate" vbProcedure="false">'2 Attraction'!$F$58</definedName>
    <definedName function="false" hidden="false" name="reinvestShare" vbProcedure="false">'6 KPIs and Scale'!$F$31</definedName>
    <definedName function="false" hidden="false" name="retain3" vbProcedure="false">'5 Continuity'!$F$57</definedName>
    <definedName function="false" hidden="false" name="retain3Measured" vbProcedure="false">Dashboard!$B$45</definedName>
    <definedName function="false" hidden="false" name="retain3Predicted" vbProcedure="false">Dashboard!$B$44</definedName>
    <definedName function="false" hidden="false" name="runRevenue" vbProcedure="false">Dashboard!$B$50</definedName>
    <definedName function="false" hidden="false" name="scoreboardWhere" vbProcedure="false">'6 KPIs and Scale'!$F$39</definedName>
    <definedName function="false" hidden="false" name="scoreboardWho" vbProcedure="false">'6 KPIs and Scale'!$F$40</definedName>
    <definedName function="false" hidden="false" name="seqFirst" vbProcedure="false">'1 Foundations'!$F$44</definedName>
    <definedName function="false" hidden="false" name="seqNext" vbProcedure="false">'1 Foundations'!$F$45</definedName>
    <definedName function="false" hidden="false" name="seqNo" vbProcedure="false">'1 Foundations'!$F$46</definedName>
    <definedName function="false" hidden="false" name="seqOngoing" vbProcedure="false">'1 Foundations'!$F$47</definedName>
    <definedName function="false" hidden="false" name="showRate" vbProcedure="false">'2 Attraction'!$F$54</definedName>
    <definedName function="false" hidden="false" name="up2Expected" vbProcedure="false">Dashboard!$B$51</definedName>
    <definedName function="false" hidden="false" name="up2Price" vbProcedure="false">'3 Upsell'!$F$69</definedName>
    <definedName function="false" hidden="false" name="up2Take" vbProcedure="false">'3 Upsell'!$F$70</definedName>
    <definedName function="false" hidden="false" name="upCost" vbProcedure="false">'3 Upsell'!$F$26</definedName>
    <definedName function="false" hidden="false" name="upExpected" vbProcedure="false">Dashboard!$B$17</definedName>
    <definedName function="false" hidden="false" name="upGp" vbProcedure="false">Dashboard!$B$16</definedName>
    <definedName function="false" hidden="false" name="upNoReply" vbProcedure="false">'3 Upsell'!$F$39</definedName>
    <definedName function="false" hidden="false" name="upOfferedShare" vbProcedure="false">'3 Upsell'!$F$57</definedName>
    <definedName function="false" hidden="false" name="upPlay" vbProcedure="false">'3 Upsell'!$F$34</definedName>
    <definedName function="false" hidden="false" name="upPrice" vbProcedure="false">'3 Upsell'!$F$22</definedName>
    <definedName function="false" hidden="false" name="upScript" vbProcedure="false">'3 Upsell'!$F$38</definedName>
    <definedName function="false" hidden="false" name="upTake" vbProcedure="false">'3 Upsell'!$F$30</definedName>
    <definedName function="false" hidden="false" name="upWhen" vbProcedure="false">'3 Upsell'!$F$53</definedName>
    <definedName function="false" hidden="false" name="useExample" vbProcedure="false">'Start Here'!$B$11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<sst xmlns="http://schemas.openxmlformats.org/spreadsheetml/2006/main" count="1416" uniqueCount="895">
  <si>
    <t xml:space="preserve">Money Models: a workbook for $100M Money Models</t>
  </si>
  <si>
    <t xml:space="preserve">Get paid back before the bill is due. A money model is the order in which you ask a customer to say yes; this workbook walks you through building one.</t>
  </si>
  <si>
    <t xml:space="preserve">How to use it</t>
  </si>
  <si>
    <t xml:space="preserve">1. Six planet sheets, one per part of the model. Each has fifteen levels in five bands: Learn (read, answer one question), Numbers (type your figures), Build (the exercises), Prove (what happened when you ran it), Optimize (sharpen it).</t>
  </si>
  <si>
    <t xml:space="preserve">2. Type only in the yellow cells. Blue text is yours; black text is a formula; leave formulas alone.</t>
  </si>
  <si>
    <t xml:space="preserve">3. Every figure on the Dashboard is live. It reads "not yet" until every number it needs is in, so nothing is ever a fake zero.</t>
  </si>
  <si>
    <t xml:space="preserve">4. Plays says which of the nineteen plays your numbers support. Your Model reads the four offers back to you in order.</t>
  </si>
  <si>
    <t xml:space="preserve">5. Do the planets in order, or start where the constraint points: Foundations level 8 tells you.</t>
  </si>
  <si>
    <t xml:space="preserve">Use the example numbers?</t>
  </si>
  <si>
    <t xml:space="preserve">Yes</t>
  </si>
  <si>
    <t xml:space="preserve">Yes: every sheet runs on a made-up six-week fitness challenge, so you can see the whole thing working. No: your own answers, and nothing else.</t>
  </si>
  <si>
    <t xml:space="preserve">Legend</t>
  </si>
  <si>
    <t xml:space="preserve">Type here</t>
  </si>
  <si>
    <t xml:space="preserve">A yellow cell with blue text is yours to fill. Blank means "not known yet"; a typed 0 is a real zero.</t>
  </si>
  <si>
    <t xml:space="preserve">Computed</t>
  </si>
  <si>
    <t xml:space="preserve">Black text is a formula. Green text is a figure read from another sheet.</t>
  </si>
  <si>
    <t xml:space="preserve">not yet</t>
  </si>
  <si>
    <t xml:space="preserve">A figure that is still missing an input. The Dashboard says which; the planet sheet says where to type it.</t>
  </si>
  <si>
    <t xml:space="preserve">Example</t>
  </si>
  <si>
    <t xml:space="preserve">The grey column on every planet sheet: invented numbers for a made-up business, never real ones.</t>
  </si>
  <si>
    <t xml:space="preserve">Where you are: levels done, by planet and band (3 of 3 clears a band)</t>
  </si>
  <si>
    <t xml:space="preserve">Planet</t>
  </si>
  <si>
    <t xml:space="preserve">1 Learn</t>
  </si>
  <si>
    <t xml:space="preserve">2 Numbers</t>
  </si>
  <si>
    <t xml:space="preserve">3 Build</t>
  </si>
  <si>
    <t xml:space="preserve">4 Prove</t>
  </si>
  <si>
    <t xml:space="preserve">5 Optimize</t>
  </si>
  <si>
    <t xml:space="preserve">Done</t>
  </si>
  <si>
    <t xml:space="preserve">Sheet</t>
  </si>
  <si>
    <t xml:space="preserve">Foundations</t>
  </si>
  <si>
    <t xml:space="preserve">Attraction</t>
  </si>
  <si>
    <t xml:space="preserve">Upsell</t>
  </si>
  <si>
    <t xml:space="preserve">Downsell</t>
  </si>
  <si>
    <t xml:space="preserve">Continuity</t>
  </si>
  <si>
    <t xml:space="preserve">KPIs and Scale</t>
  </si>
  <si>
    <t xml:space="preserve">The sun: 30-day ratio</t>
  </si>
  <si>
    <t xml:space="preserve">LTGP to CAC</t>
  </si>
  <si>
    <t xml:space="preserve">How many times over a customer pays for themselves. The book wants at least 3.</t>
  </si>
  <si>
    <t xml:space="preserve">About this workbook</t>
  </si>
  <si>
    <t xml:space="preserve">Every lesson is a paraphrase in this workbook's own words, never the book's text; the play names are plain-word labels for the book's offer types. Read the book for the reasoning and the stories.</t>
  </si>
  <si>
    <t xml:space="preserve">Thresholds (pay a customer back inside 30 days, twice over to self-fund, lifetime gross profit at least three times the cost of a customer) are the book's rules of thumb, not measured findings. Your own numbers decide.</t>
  </si>
  <si>
    <t xml:space="preserve">Not financial or business advice. The example numbers are invented. Built from the same tables as the Money Models app in the Personalfinance repository (moneymodels/).</t>
  </si>
  <si>
    <t xml:space="preserve">Planet 1 of 6: Foundations</t>
  </si>
  <si>
    <t xml:space="preserve">What a money model is, what it costs you to get a customer today, and the one rule the whole book rests on.</t>
  </si>
  <si>
    <t xml:space="preserve">Type in the yellow cells (column D). Column F shows the number in use: yours, or the example while the switch on Start Here says Yes.</t>
  </si>
  <si>
    <t xml:space="preserve">Level</t>
  </si>
  <si>
    <t xml:space="preserve">Band</t>
  </si>
  <si>
    <t xml:space="preserve">Title, lesson, questions and boxes</t>
  </si>
  <si>
    <t xml:space="preserve">Your answer</t>
  </si>
  <si>
    <t xml:space="preserve">In use</t>
  </si>
  <si>
    <t xml:space="preserve">Help</t>
  </si>
  <si>
    <t xml:space="preserve">Done?</t>
  </si>
  <si>
    <t xml:space="preserve">Learn</t>
  </si>
  <si>
    <t xml:space="preserve">What a money model is</t>
  </si>
  <si>
    <t xml:space="preserve">About 2 minutes. Read the idea, then answer one check question.</t>
  </si>
  <si>
    <t xml:space="preserve">A money model is a deliberate sequence of offers. Not one product with a price on it: the order in which you ask a customer to say yes, what you ask for each time, and what you do when they say no.
The point of the sequence is cash timing. A business that makes plenty of profit over two years can still die in month two, because the money to get the next customer is not back in the bank yet.
So the question the whole book asks is: how do you get a customer to pay you more, sooner, than it costs you to get and serve them?</t>
  </si>
  <si>
    <t xml:space="preserve">Which of these is a money model?</t>
  </si>
  <si>
    <t xml:space="preserve">A sequence of offers: the first yes; a bigger yes; a smaller yes after a no; and a repeating yes</t>
  </si>
  <si>
    <t xml:space="preserve">Choices: A product with a good price / A sequence of offers: the first yes, a bigger yes, a smaller yes after a no, and a repeating yes / A marketing budget</t>
  </si>
  <si>
    <t xml:space="preserve">The cash constraint and the 30-day rule</t>
  </si>
  <si>
    <t xml:space="preserve">Every customer costs money to get (ads, time, commissions) and money to serve. If that cash comes back in a year, you can only afford as many customers as your savings allow. Growth is capped by your bank balance, not by demand.
The rule of thumb the book builds on: get back at least what a customer cost you within 30 days. Get back twice that and every customer pays for the next one. Then growth is funded by customers, not by you or a lender.
Thirty days is not magic. It is roughly how long a card bill or an ad invoice gives you before the money is due.</t>
  </si>
  <si>
    <t xml:space="preserve">A customer costs $150 to get. What does the model want back from them inside 30 days?</t>
  </si>
  <si>
    <t xml:space="preserve">At least $150; and ideally $300 or more</t>
  </si>
  <si>
    <t xml:space="preserve">Choices: At least $150, and ideally $300 or more / Whatever they pay over their lifetime / Nothing, as long as the business is profitable by year end</t>
  </si>
  <si>
    <t xml:space="preserve">The four kinds of offer</t>
  </si>
  <si>
    <t xml:space="preserve">Attraction offers get the first yes from a stranger. Their job is to bring people in cheaply, not to make the money.
Upsell offers ask for a bigger yes right after the first one, when trust is highest. This is where the model earns.
Downsell offers turn a no into a smaller yes: same promise, lighter package or easier terms.
Continuity offers get the customer to keep paying: a membership, a subscription, a retainer. This is what makes the lifetime value large.
Each of the next four planets takes one of these. Do them in order: a great upsell with no one to offer it to is worth nothing.</t>
  </si>
  <si>
    <t xml:space="preserve">A customer says no to the bigger package. Which offer comes next?</t>
  </si>
  <si>
    <t xml:space="preserve">A downsell: the same promise in a lighter or easier form</t>
  </si>
  <si>
    <t xml:space="preserve">Choices: Another attraction offer / A downsell: the same promise in a lighter or easier form / Nothing, the sale is over</t>
  </si>
  <si>
    <t xml:space="preserve">Numbers</t>
  </si>
  <si>
    <t xml:space="preserve">What your main offer sells for today</t>
  </si>
  <si>
    <t xml:space="preserve">About 1 minute. Type your figures for this part of the model.</t>
  </si>
  <si>
    <t xml:space="preserve">Start with the business as it is. One product or service, the one most customers buy first. Its price, before any discount.</t>
  </si>
  <si>
    <t xml:space="preserve">Price of your main offer today</t>
  </si>
  <si>
    <t xml:space="preserve">Dollars. What one customer pays for it. If it is monthly, use one month here; the model will handle the repeat part on the Continuity planet.</t>
  </si>
  <si>
    <t xml:space="preserve">What it costs you to deliver one</t>
  </si>
  <si>
    <t xml:space="preserve">About 3 minutes. Type your figures for this part of the model.</t>
  </si>
  <si>
    <t xml:space="preserve">Everything you spend to serve one customer for that offer: materials, shipping, contractor hours, software seats, the hours you pay someone for. Not rent, not ads. If you deliver it yourself, count your hours at what you would pay someone else.</t>
  </si>
  <si>
    <t xml:space="preserve">Cost to deliver one sale</t>
  </si>
  <si>
    <t xml:space="preserve">Dollars. Only the costs that happen because this one customer bought. Type 0 if there truly are none (a digital file, say).</t>
  </si>
  <si>
    <t xml:space="preserve">What a customer costs you to get</t>
  </si>
  <si>
    <t xml:space="preserve">About 4 minutes. Type your figures for this part of the model.</t>
  </si>
  <si>
    <t xml:space="preserve">The cost of a customer is everything you spent to get customers in a month, divided by the customers you got. Ads, the person who runs them, referral fees, the free sessions you gave away. Last month is fine. A rough month is better than nothing; you will replace it on the Prove band.</t>
  </si>
  <si>
    <t xml:space="preserve">Spent on getting customers last month</t>
  </si>
  <si>
    <t xml:space="preserve">Dollars. Ads, agency, commissions, giveaways, the salary of whoever does the marketing.</t>
  </si>
  <si>
    <t xml:space="preserve">New customers last month</t>
  </si>
  <si>
    <t xml:space="preserve">People who paid for the first time. Not leads, not sign-ups.</t>
  </si>
  <si>
    <t xml:space="preserve">Build</t>
  </si>
  <si>
    <t xml:space="preserve">Exercise: the promise in one line</t>
  </si>
  <si>
    <t xml:space="preserve">About 6 minutes. The exercises: pick a play, write the offer, tick the design list.</t>
  </si>
  <si>
    <t xml:space="preserve">Every offer in the model points at the same result. Write it the way the customer would say it, not the way your industry does. 'Lose the first ten pounds in six weeks' beats 'a holistic fitness programme'.
This line is reused on every planet: the attraction offer promises it, the upsell gets it faster, the downsell gets it lighter, continuity keeps it.</t>
  </si>
  <si>
    <t xml:space="preserve">Who the customer is, in a few words</t>
  </si>
  <si>
    <t xml:space="preserve">Busy parents who stopped exercising</t>
  </si>
  <si>
    <t xml:space="preserve">One kind of person. 'Busy parents who stopped exercising' is a customer; 'anyone' is not.</t>
  </si>
  <si>
    <t xml:space="preserve">The result they want, in their words</t>
  </si>
  <si>
    <t xml:space="preserve">Lose the first ten pounds in six weeks</t>
  </si>
  <si>
    <t xml:space="preserve">A result with a size and a time if you can: what, how much, by when.</t>
  </si>
  <si>
    <t xml:space="preserve">Exercise: name the constraint</t>
  </si>
  <si>
    <t xml:space="preserve">About 2 minutes. The exercises: pick a play, write the offer, tick the design list.</t>
  </si>
  <si>
    <t xml:space="preserve">A business is held back by one thing at a time. Pick the one that is true right now. The model's planets map onto it: not enough customers is an attraction problem; not enough per customer is upsell and downsell; they do not stay is continuity; it costs too much to serve is a margin problem to fix before any of them.</t>
  </si>
  <si>
    <t xml:space="preserve">What is holding the business back right now?</t>
  </si>
  <si>
    <t xml:space="preserve">Each customer does not pay enough</t>
  </si>
  <si>
    <t xml:space="preserve">Pick one: Not enough customers / Each customer does not pay enough / They do not stay or come back / It costs too much to serve them</t>
  </si>
  <si>
    <t xml:space="preserve">Exercise: map today's sequence</t>
  </si>
  <si>
    <t xml:space="preserve">About 5 minutes. The exercises: pick a play, write the offer, tick the design list.</t>
  </si>
  <si>
    <t xml:space="preserve">Write down what a customer is actually offered today, in the order it happens. Most businesses find they have one offer and then silence. That silence is the money model you are about to build.</t>
  </si>
  <si>
    <t xml:space="preserve">The first thing a stranger is offered</t>
  </si>
  <si>
    <t xml:space="preserve">A $199 six-week class pass</t>
  </si>
  <si>
    <t xml:space="preserve">The ad, the free consult, the intro price. Whatever comes first.</t>
  </si>
  <si>
    <t xml:space="preserve">What they are offered after buying</t>
  </si>
  <si>
    <t xml:space="preserve">Nothing</t>
  </si>
  <si>
    <t xml:space="preserve">Type 'nothing' if nothing. That is an honest and common answer.</t>
  </si>
  <si>
    <t xml:space="preserve">What happens when they say no</t>
  </si>
  <si>
    <t xml:space="preserve">A follow-up? A cheaper option? Nothing?</t>
  </si>
  <si>
    <t xml:space="preserve">What they pay for on an ongoing basis</t>
  </si>
  <si>
    <t xml:space="preserve">A membership, a retainer, refills, or 'nothing'.</t>
  </si>
  <si>
    <t xml:space="preserve">Prove</t>
  </si>
  <si>
    <t xml:space="preserve">How long cash takes to come back today</t>
  </si>
  <si>
    <t xml:space="preserve">About 3 minutes. Run it for real and type what happened.</t>
  </si>
  <si>
    <t xml:space="preserve">From the day you spend the first dollar on getting a customer to the day their money is in your account. Count the sales cycle, the free trial, the invoice terms. This is the number the model shortens.</t>
  </si>
  <si>
    <t xml:space="preserve">Days from first ad dollar to first cash collected</t>
  </si>
  <si>
    <t xml:space="preserve">Days. Typical, not best case. If you invoice on 30-day terms after a two-week trial, that is about 45.</t>
  </si>
  <si>
    <t xml:space="preserve">Cash per customer in their first 30 days, today</t>
  </si>
  <si>
    <t xml:space="preserve">About 6 minutes. Run it for real and type what happened.</t>
  </si>
  <si>
    <t xml:space="preserve">Take last month's new customers and add up everything they paid you in their first 30 days. Divide by how many there were. This is the before picture; the model page shows the after beside it.</t>
  </si>
  <si>
    <t xml:space="preserve">Cash collected per new customer in their first 30 days</t>
  </si>
  <si>
    <t xml:space="preserve">Dollars. Collected, not invoiced. A payment plan counts only the payments that landed inside 30 days.</t>
  </si>
  <si>
    <t xml:space="preserve">Checklist: the numbers audit</t>
  </si>
  <si>
    <t xml:space="preserve">About 10 minutes. Run it for real and type what happened.</t>
  </si>
  <si>
    <t xml:space="preserve">Before building anything new, make sure the four foundation figures are real rather than remembered. Tick each once it comes from a statement, a report or a count, not a guess.</t>
  </si>
  <si>
    <t xml:space="preserve">Marketing spend is tracked by channel, month by month</t>
  </si>
  <si>
    <t xml:space="preserve">Yes when it is true</t>
  </si>
  <si>
    <t xml:space="preserve">New customers are counted with where they came from</t>
  </si>
  <si>
    <t xml:space="preserve">The cost to deliver one sale comes from real invoices or hours</t>
  </si>
  <si>
    <t xml:space="preserve">The 30-day cash per customer was counted from actual payments</t>
  </si>
  <si>
    <t xml:space="preserve">The constraint is written down where the team can see it</t>
  </si>
  <si>
    <t xml:space="preserve">Optimize</t>
  </si>
  <si>
    <t xml:space="preserve">Your hours per customer</t>
  </si>
  <si>
    <t xml:space="preserve">About 3 minutes. Stack a second play and sharpen the numbers.</t>
  </si>
  <si>
    <t xml:space="preserve">The cost to deliver (level 5) priced your time at what you would pay someone else. This asks for the hours themselves: everything you personally spend on one customer in their first month, selling and serving. The model turns it into gross profit per hour of your time, which is the number that says whether to raise the price, cut delivery, or hire.</t>
  </si>
  <si>
    <t xml:space="preserve">Hours of your own time per customer, first month</t>
  </si>
  <si>
    <t xml:space="preserve">Selling, onboarding, delivering, chasing. A rough count is fine.</t>
  </si>
  <si>
    <t xml:space="preserve">Exercise: the play you run first</t>
  </si>
  <si>
    <t xml:space="preserve">About 1 minute. Stack a second play and sharpen the numbers.</t>
  </si>
  <si>
    <t xml:space="preserve">The constraint you named on level 8 says which planet to build first. Pick it here so the next-up card points at it. You can change your mind later; you cannot build four things at once.</t>
  </si>
  <si>
    <t xml:space="preserve">Which part of the model do you build first?</t>
  </si>
  <si>
    <t xml:space="preserve">Upsell: earn more from each one</t>
  </si>
  <si>
    <t xml:space="preserve">Pick one: Attraction: bring more people in / Upsell: earn more from each one / Downsell: lose fewer at the no / Continuity: keep them paying</t>
  </si>
  <si>
    <t xml:space="preserve">Checklist: the weekly rhythm</t>
  </si>
  <si>
    <t xml:space="preserve">About 5 minutes. Stack a second play and sharpen the numbers.</t>
  </si>
  <si>
    <t xml:space="preserve">The model is not a launch, it is a habit. Once a week, four numbers and one change.</t>
  </si>
  <si>
    <t xml:space="preserve">Cost of a customer refreshed for last week</t>
  </si>
  <si>
    <t xml:space="preserve">30-day cash per customer refreshed</t>
  </si>
  <si>
    <t xml:space="preserve">The 30-day ratio compared with the two thresholds</t>
  </si>
  <si>
    <t xml:space="preserve">One change chosen for next week, and only one</t>
  </si>
  <si>
    <t xml:space="preserve">Planet 2 of 6: Attraction</t>
  </si>
  <si>
    <t xml:space="preserve">The first yes: the offer that turns a stranger into a customer without draining your cash.</t>
  </si>
  <si>
    <t xml:space="preserve">What an attraction offer is for</t>
  </si>
  <si>
    <t xml:space="preserve">The attraction offer's job is to turn a stranger into a customer. It is the door, not the room. If it makes a profit on its own, wonderful; if it only covers the cost of getting the customer, that is still a win, because the upsell and continuity are waiting behind it.
The mistake is to make the attraction offer the whole business: then every customer must be profitable on day one, and the price has to be high, and fewer people walk through the door.
A good attraction offer is easy to say yes to, makes the promise from Foundations level 7 in a small, fast form, and naturally leads to the next offer.</t>
  </si>
  <si>
    <t xml:space="preserve">The attraction offer breaks even after covering the cost of the customer. Good or bad?</t>
  </si>
  <si>
    <t xml:space="preserve">Good: the customer cost nothing net; and the upsell and continuity are still to come</t>
  </si>
  <si>
    <t xml:space="preserve">Choices: Bad: every offer should make a profit / Good: the customer cost nothing net, and the upsell and continuity are still to come / Neither, it depends on the industry</t>
  </si>
  <si>
    <t xml:space="preserve">The attraction plays</t>
  </si>
  <si>
    <t xml:space="preserve">About 3 minutes. Read the idea, then answer one check question.</t>
  </si>
  <si>
    <t xml:space="preserve">Win your money back: the customer pays, and gets it back (or as credit) if they hit a defined result and follow the rules. Most will not hit it; the ones who do are the ones you want to keep.
Giveaway: one big prize, many entrants, and everyone who did not win gets an offer. Cheap leads at volume.
Decoy: a free or very cheap option beside the real one, so the real one looks like the sensible choice, and the free option filters out people who would never pay.
Buy some, get some free: bundle volume up front. The free part is margin you would have spent on getting them back anyway.
Pay less now or pay more later: two prices for the same thing, a smaller one paid today and a larger one paid on results or over time. Both close; one brings cash forward.
Free with strings: free only when the string (a deposit, a booked call, an upsell moment) makes the free customer pay off.</t>
  </si>
  <si>
    <t xml:space="preserve">In 'win your money back', who ends up refunded?</t>
  </si>
  <si>
    <t xml:space="preserve">The few who hit the stated result and followed every rule</t>
  </si>
  <si>
    <t xml:space="preserve">Choices: Everyone who asks / The few who hit the stated result and followed every rule / Nobody, it is a trick</t>
  </si>
  <si>
    <t xml:space="preserve">The three parts every attraction offer needs</t>
  </si>
  <si>
    <t xml:space="preserve">A clear result with a time on it. Not 'a great experience'; 'ten pounds in six weeks'.
A reason it is cheap or free that the customer believes: a challenge, a first-time price, a limited batch, a prize. Cheap with no reason reads as low quality.
A string that leads to the next offer: the results call, the check-in, the thing they have to come in for. That is where the upsell lives.</t>
  </si>
  <si>
    <t xml:space="preserve">Which attraction offer is missing something?</t>
  </si>
  <si>
    <t xml:space="preserve">'50% off everything this month'</t>
  </si>
  <si>
    <t xml:space="preserve">Choices: 'Six-week challenge, $500, win it back if you finish all 18 sessions' / '50% off everything this month' / 'Free strategy session, then we build your plan together'</t>
  </si>
  <si>
    <t xml:space="preserve">The attraction offer's price</t>
  </si>
  <si>
    <t xml:space="preserve">What the stranger pays for the first yes. Type 0 if the plan is free with strings; that is a real answer and the model will treat it as one.</t>
  </si>
  <si>
    <t xml:space="preserve">Price of the attraction offer</t>
  </si>
  <si>
    <t xml:space="preserve">Dollars. The cash collected up front, before any refund or credit.</t>
  </si>
  <si>
    <t xml:space="preserve">What the attraction offer costs to deliver</t>
  </si>
  <si>
    <t xml:space="preserve">Same idea as Foundations level 5, for this offer. Include the prize if it is a giveaway (prize cost divided by expected entrants) and the expected refunds if it is win-your-money-back (Prove level 11 sharpens that).</t>
  </si>
  <si>
    <t xml:space="preserve">Cost to deliver the attraction offer to one customer</t>
  </si>
  <si>
    <t xml:space="preserve">Dollars. Per customer, all in. 0 is allowed.</t>
  </si>
  <si>
    <t xml:space="preserve">Leads, and how many of them buy</t>
  </si>
  <si>
    <t xml:space="preserve">A lead is someone who raised a hand: a form, a call, a walk-in. The share who take the attraction offer is the conversion rate. Together with what you spend (Foundations 6) this gives the cost of a lead.</t>
  </si>
  <si>
    <t xml:space="preserve">Leads per month</t>
  </si>
  <si>
    <t xml:space="preserve">People who asked, booked or messaged. Last month is fine.</t>
  </si>
  <si>
    <t xml:space="preserve">Share of leads who take the attraction offer</t>
  </si>
  <si>
    <t xml:space="preserve">Type a percent, e.g. 25%. Buyers divided by leads, as a percent.</t>
  </si>
  <si>
    <t xml:space="preserve">Exercise: pick your attraction play</t>
  </si>
  <si>
    <t xml:space="preserve">The Plays page says which of these the numbers already support for you. Pick one. A second one comes on the Optimize band.</t>
  </si>
  <si>
    <t xml:space="preserve">Your attraction play</t>
  </si>
  <si>
    <t xml:space="preserve">Win your money back</t>
  </si>
  <si>
    <t xml:space="preserve">Pick one: Win your money back / Giveaway / Decoy / Buy some; get some free / Pay less now or pay more later / Free with strings</t>
  </si>
  <si>
    <t xml:space="preserve">Exercise: write the offer in one sentence</t>
  </si>
  <si>
    <t xml:space="preserve">About 8 minutes. The exercises: pick a play, write the offer, tick the design list.</t>
  </si>
  <si>
    <t xml:space="preserve">Use the frame: 'Get [the result] in [the time] for [the price], and [the reason it is cheap or the condition of the reward].' Then add the string: what happens next that leads to the upsell.
Say it out loud. If it takes two breaths, it is too long.</t>
  </si>
  <si>
    <t xml:space="preserve">The attraction offer, one sentence</t>
  </si>
  <si>
    <t xml:space="preserve">Lose ten pounds in six weeks for $500, and win it all back if you finish every session.</t>
  </si>
  <si>
    <t xml:space="preserve">Result, time, price, reason.</t>
  </si>
  <si>
    <t xml:space="preserve">The string: what leads to the next offer</t>
  </si>
  <si>
    <t xml:space="preserve">The week-two results check-in with a coach</t>
  </si>
  <si>
    <t xml:space="preserve">The results call, the week-two check-in, the pickup, the delivery.</t>
  </si>
  <si>
    <t xml:space="preserve">Checklist: attraction offer design</t>
  </si>
  <si>
    <t xml:space="preserve">Tick what the offer as written has. Anything unticked is the next thing to fix before it goes out.</t>
  </si>
  <si>
    <t xml:space="preserve">Names one result with a size and a time</t>
  </si>
  <si>
    <t xml:space="preserve">Gives a believable reason it is cheap or free</t>
  </si>
  <si>
    <t xml:space="preserve">Has a deadline or a limited number</t>
  </si>
  <si>
    <t xml:space="preserve">Has a string that puts the customer in front of the upsell</t>
  </si>
  <si>
    <t xml:space="preserve">Any money-back or reward has a measurable, written condition</t>
  </si>
  <si>
    <t xml:space="preserve">The price covers the cost to deliver it</t>
  </si>
  <si>
    <t xml:space="preserve">You can count who came in through it</t>
  </si>
  <si>
    <t xml:space="preserve">How many buyers actually show up</t>
  </si>
  <si>
    <t xml:space="preserve">About 2 minutes. Run it for real and type what happened.</t>
  </si>
  <si>
    <t xml:space="preserve">A customer who paid and never came in cannot be upsold. Show rate is the share of attraction buyers who consume the thing (attend, open, start). The upsell take rate on the next planet is measured on these people.</t>
  </si>
  <si>
    <t xml:space="preserve">Share of attraction buyers who show up or start</t>
  </si>
  <si>
    <t xml:space="preserve">Type a percent, e.g. 25%. From your first run. 100 if everyone did.</t>
  </si>
  <si>
    <t xml:space="preserve">What you actually paid back</t>
  </si>
  <si>
    <t xml:space="preserve">For win-your-money-back and any guarantee: the share of buyers who got a refund or credit. Type 0 if the play has no refund. This sharpens the attraction offer's real margin.</t>
  </si>
  <si>
    <t xml:space="preserve">Share of attraction buyers refunded or credited</t>
  </si>
  <si>
    <t xml:space="preserve">Type a percent, e.g. 25%. Refunds paid divided by buyers. 0 if none.</t>
  </si>
  <si>
    <t xml:space="preserve">Checklist: the first test run</t>
  </si>
  <si>
    <t xml:space="preserve">About 5 minutes. Run it for real and type what happened.</t>
  </si>
  <si>
    <t xml:space="preserve">One channel, one offer, one week. The point is to count, not to win.</t>
  </si>
  <si>
    <t xml:space="preserve">Ran on one channel only, so the count is clean</t>
  </si>
  <si>
    <t xml:space="preserve">Ran for a fixed period with a real deadline</t>
  </si>
  <si>
    <t xml:space="preserve">Counted leads</t>
  </si>
  <si>
    <t xml:space="preserve">Counted buyers</t>
  </si>
  <si>
    <t xml:space="preserve">Counted every dollar spent, including time</t>
  </si>
  <si>
    <t xml:space="preserve">Wrote down the top three reasons people said no</t>
  </si>
  <si>
    <t xml:space="preserve">Exercise: stack a second play</t>
  </si>
  <si>
    <t xml:space="preserve">About 2 minutes. Stack a second play and sharpen the numbers.</t>
  </si>
  <si>
    <t xml:space="preserve">Plays combine. A giveaway feeds a decoy (the losers get the cheap option beside the real one). Win-your-money-back stacks on a challenge. Pick the second play that feeds the first.</t>
  </si>
  <si>
    <t xml:space="preserve">The second attraction play</t>
  </si>
  <si>
    <t xml:space="preserve">Giveaway</t>
  </si>
  <si>
    <t xml:space="preserve">Pick one: Win your money back / Giveaway / Decoy / Buy some; get some free / Pay less now or pay more later / Free with strings / None yet</t>
  </si>
  <si>
    <t xml:space="preserve">The limit that makes the deadline real</t>
  </si>
  <si>
    <t xml:space="preserve">Scarcity only works when it is true. Decide how many you will take per run (seats, units, slots) and say it. When it sells out, it sells out.</t>
  </si>
  <si>
    <t xml:space="preserve">Customers you will take per run</t>
  </si>
  <si>
    <t xml:space="preserve">A number you would actually stop at.</t>
  </si>
  <si>
    <t xml:space="preserve">Checklist: sharpening the attraction offer</t>
  </si>
  <si>
    <t xml:space="preserve">Change one thing per run, in this order. Each tick is one run.</t>
  </si>
  <si>
    <t xml:space="preserve">Made the promise bigger or more specific</t>
  </si>
  <si>
    <t xml:space="preserve">Shortened the deadline or lowered the cap</t>
  </si>
  <si>
    <t xml:space="preserve">Added a bonus that costs you little and them a lot to get elsewhere</t>
  </si>
  <si>
    <t xml:space="preserve">Tested a second price point</t>
  </si>
  <si>
    <t xml:space="preserve">Cut the cost to deliver without cutting the result</t>
  </si>
  <si>
    <t xml:space="preserve">Planet 3 of 6: Upsell</t>
  </si>
  <si>
    <t xml:space="preserve">The bigger yes, asked at the moment it is easiest to say. Where the model makes its money.</t>
  </si>
  <si>
    <t xml:space="preserve">Why the moment after a yes is worth the most</t>
  </si>
  <si>
    <t xml:space="preserve">Someone who just paid you trusts you more than they will at any other point. They have decided you are worth money. Asking for a bigger yes in that window is far cheaper than finding a new customer.
The upsell is where the money model makes its money. The attraction offer pays for the customer; the upsell pays for the business.
The rule: the upsell must be a faster, bigger or easier way to get the same result they just bought. Not a different product. 'You want this; this gets you there sooner.'</t>
  </si>
  <si>
    <t xml:space="preserve">When is the upsell cheapest to make?</t>
  </si>
  <si>
    <t xml:space="preserve">Right after the first yes; or right after their first win</t>
  </si>
  <si>
    <t xml:space="preserve">Choices: A month after the first purchase, once they have seen results / Right after the first yes, or right after their first win / Before they buy anything, to anchor high</t>
  </si>
  <si>
    <t xml:space="preserve">The upsell plays</t>
  </si>
  <si>
    <t xml:space="preserve">Classic: the next thing they need to get the result faster or keep it. The membership after the challenge, the installation after the product.
Menu: several add-ons, they pick. People say yes to something more often than to one thing.
Anchor: show the biggest option first. The one you actually want to sell looks reasonable next to it.
Rollover: credit what they just paid toward the bigger thing. 'The $500 you paid comes off the $2,000 programme.' The first purchase becomes a deposit.</t>
  </si>
  <si>
    <t xml:space="preserve">What does a rollover upsell do with the money the customer already paid?</t>
  </si>
  <si>
    <t xml:space="preserve">Counts it toward the bigger offer; so the first purchase becomes a deposit</t>
  </si>
  <si>
    <t xml:space="preserve">Choices: Refunds it / Counts it toward the bigger offer, so the first purchase becomes a deposit / Ignores it</t>
  </si>
  <si>
    <t xml:space="preserve">The ask</t>
  </si>
  <si>
    <t xml:space="preserve">An upsell that is never offered has a take rate of zero. Most upsell problems are not the offer; it is that nobody asked.
Ask in one sentence, as a service: 'Since you want [result], the people who get there fastest also [next step]. Want me to add it?' Then stop talking.
Every customer is asked. Not the ones who look rich. Every one.</t>
  </si>
  <si>
    <t xml:space="preserve">The upsell take rate is 5%. What is the first thing to check?</t>
  </si>
  <si>
    <t xml:space="preserve">Whether every customer was actually offered it</t>
  </si>
  <si>
    <t xml:space="preserve">Choices: The price / Whether every customer was actually offered it / The product</t>
  </si>
  <si>
    <t xml:space="preserve">The upsell's price</t>
  </si>
  <si>
    <t xml:space="preserve">The bigger yes. If it is a payment plan, type the total here; the Downsell planet handles split terms.</t>
  </si>
  <si>
    <t xml:space="preserve">Price of the upsell</t>
  </si>
  <si>
    <t xml:space="preserve">Dollars. Total price, before any rollover credit.</t>
  </si>
  <si>
    <t xml:space="preserve">What the upsell costs to deliver</t>
  </si>
  <si>
    <t xml:space="preserve">About 2 minutes. Type your figures for this part of the model.</t>
  </si>
  <si>
    <t xml:space="preserve">Per customer, all in, for the whole thing you are selling.</t>
  </si>
  <si>
    <t xml:space="preserve">Cost to deliver the upsell to one customer</t>
  </si>
  <si>
    <t xml:space="preserve">Dollars. Materials, hours, seats. 0 is allowed.</t>
  </si>
  <si>
    <t xml:space="preserve">How many take it</t>
  </si>
  <si>
    <t xml:space="preserve">Of the customers offered the upsell, the share who say yes. If you have not run it yet, use a modest guess (one in five is a common starting point for a well-matched upsell) and mark it to revisit on Prove.</t>
  </si>
  <si>
    <t xml:space="preserve">Share of customers offered the upsell who take it</t>
  </si>
  <si>
    <t xml:space="preserve">Type a percent, e.g. 25%. Takers divided by those asked, as a percent.</t>
  </si>
  <si>
    <t xml:space="preserve">Exercise: pick your upsell play</t>
  </si>
  <si>
    <t xml:space="preserve">Classic if there is an obvious next step. Menu if you have several. Anchor if you have a premium tier. Rollover if the attraction offer's price is a meaningful part of the upsell's.</t>
  </si>
  <si>
    <t xml:space="preserve">Your upsell play</t>
  </si>
  <si>
    <t xml:space="preserve">Rollover: first payment becomes a deposit</t>
  </si>
  <si>
    <t xml:space="preserve">Pick one: Classic: the next step / Menu: they pick from add-ons / Anchor: biggest option first / Rollover: first payment becomes a deposit</t>
  </si>
  <si>
    <t xml:space="preserve">Exercise: write the upsell script</t>
  </si>
  <si>
    <t xml:space="preserve">One sentence to ask, one sentence for the most common no. The frame: 'Since you want [result], most people who get it fastest also [next step]. Want me to add that?'</t>
  </si>
  <si>
    <t xml:space="preserve">The ask, in one sentence</t>
  </si>
  <si>
    <t xml:space="preserve">Since you want the ten pounds gone for good, the people who keep it off go straight onto the year programme, and the $500 you paid comes off it. Want me to set that up?</t>
  </si>
  <si>
    <t xml:space="preserve">Say it as a service, not a sale.</t>
  </si>
  <si>
    <t xml:space="preserve">What you say to the most common no</t>
  </si>
  <si>
    <t xml:space="preserve">Totally fair. Would three payments make it work?</t>
  </si>
  <si>
    <t xml:space="preserve">Usually it leads to the downsell.</t>
  </si>
  <si>
    <t xml:space="preserve">Checklist: upsell design</t>
  </si>
  <si>
    <t xml:space="preserve">Tick what is true of the upsell as written.</t>
  </si>
  <si>
    <t xml:space="preserve">Offered within minutes of the first yes, or at the first win</t>
  </si>
  <si>
    <t xml:space="preserve">Gets the same result faster, bigger or easier</t>
  </si>
  <si>
    <t xml:space="preserve">Priced above the attraction offer</t>
  </si>
  <si>
    <t xml:space="preserve">Cost to deliver is known</t>
  </si>
  <si>
    <t xml:space="preserve">The ask fits in one sentence</t>
  </si>
  <si>
    <t xml:space="preserve">A no does not undo the first sale</t>
  </si>
  <si>
    <t xml:space="preserve">There is a way to make sure every customer is asked</t>
  </si>
  <si>
    <t xml:space="preserve">When it is offered</t>
  </si>
  <si>
    <t xml:space="preserve">About 1 minute. Run it for real and type what happened.</t>
  </si>
  <si>
    <t xml:space="preserve">Days after the first purchase. Day 0 is at the checkout. This decides whether the upsell's cash lands inside the 30 days.</t>
  </si>
  <si>
    <t xml:space="preserve">Days after the first purchase the upsell is offered</t>
  </si>
  <si>
    <t xml:space="preserve">Days. 0 if at checkout. 14 if at the two-week check-in.</t>
  </si>
  <si>
    <t xml:space="preserve">How many were actually asked</t>
  </si>
  <si>
    <t xml:space="preserve">From the first run: of the customers who showed up, the share who were offered the upsell at all. This is the number that is usually the problem.</t>
  </si>
  <si>
    <t xml:space="preserve">Share of customers who were offered the upsell</t>
  </si>
  <si>
    <t xml:space="preserve">Type a percent, e.g. 25%. Asked divided by customers who showed up.</t>
  </si>
  <si>
    <t xml:space="preserve">Checklist: the first upsell run</t>
  </si>
  <si>
    <t xml:space="preserve">Two weeks of asking every customer, counting, and listening.</t>
  </si>
  <si>
    <t xml:space="preserve">The script was used word for word</t>
  </si>
  <si>
    <t xml:space="preserve">Every customer was asked (a tally proves it)</t>
  </si>
  <si>
    <t xml:space="preserve">Counted asked and took</t>
  </si>
  <si>
    <t xml:space="preserve">Heard and wrote down the top reason for no</t>
  </si>
  <si>
    <t xml:space="preserve">Changed one thing for the next run</t>
  </si>
  <si>
    <t xml:space="preserve">A second upsell</t>
  </si>
  <si>
    <t xml:space="preserve">After the first upsell, a second one to the people who took it: the done-with-you tier, the equipment, the extra seats. Price and expected take.</t>
  </si>
  <si>
    <t xml:space="preserve">Price of the second upsell</t>
  </si>
  <si>
    <t xml:space="preserve">Dollars. Offered to takers of the first.</t>
  </si>
  <si>
    <t xml:space="preserve">Share of first-upsell takers who take it</t>
  </si>
  <si>
    <t xml:space="preserve">Type a percent, e.g. 25%. A guess is fine to start.</t>
  </si>
  <si>
    <t xml:space="preserve">The anchor price</t>
  </si>
  <si>
    <t xml:space="preserve">The biggest thing you could sell, priced as if someone will buy it. Some will. The rest see the real upsell as reasonable.</t>
  </si>
  <si>
    <t xml:space="preserve">Price of your top tier</t>
  </si>
  <si>
    <t xml:space="preserve">Dollars. Shown first, sold rarely.</t>
  </si>
  <si>
    <t xml:space="preserve">Checklist: sharpening the upsell</t>
  </si>
  <si>
    <t xml:space="preserve">One per run.</t>
  </si>
  <si>
    <t xml:space="preserve">Showed the anchor before the real upsell</t>
  </si>
  <si>
    <t xml:space="preserve">Turned one upsell into a short menu</t>
  </si>
  <si>
    <t xml:space="preserve">Credited the first payment toward the upsell</t>
  </si>
  <si>
    <t xml:space="preserve">Raised the price 10% and watched the take rate</t>
  </si>
  <si>
    <t xml:space="preserve">Added a second ask at the customer's first win</t>
  </si>
  <si>
    <t xml:space="preserve">Planet 4 of 6: Downsell</t>
  </si>
  <si>
    <t xml:space="preserve">The smaller yes after a no. Keeps the customer and recovers cash you would have lost.</t>
  </si>
  <si>
    <t xml:space="preserve">A no is not the end</t>
  </si>
  <si>
    <t xml:space="preserve">When a customer says no to the upsell, most businesses stop. The customer wanted the result a minute ago; what they said no to was the size or the terms.
A downsell offers a smaller yes: the same promise with less in the box, or the same box with easier terms. It recovers cash that was walking out, and it keeps the customer in the sequence for continuity.
Order matters: first change the terms (a payment plan), then the package (a lighter version), then the price. Cutting the price first teaches customers to say no.</t>
  </si>
  <si>
    <t xml:space="preserve">The customer says no to a $2,000 programme. What is the first downsell to try?</t>
  </si>
  <si>
    <t xml:space="preserve">The same programme at $2;000 in four payments</t>
  </si>
  <si>
    <t xml:space="preserve">Choices: $1,000 for the same programme / The same programme at $2,000 in four payments / A different product</t>
  </si>
  <si>
    <t xml:space="preserve">The downsell plays</t>
  </si>
  <si>
    <t xml:space="preserve">Payment plan: the same offer split over time. Usually the first thing to try, and often the only one needed.
Trial with a string: try it, and pay if you keep it, or pay a penalty if you do not do the work. The string keeps the free part from being free forever.
Lighter version: fewer parts, less access, less support, same result more slowly. Keep the promise, shrink the package.
Deposit and decide: a small payment to hold the price or the spot, decided later. Cash today, and a reason to come back.</t>
  </si>
  <si>
    <t xml:space="preserve">What makes a trial a downsell rather than a giveaway?</t>
  </si>
  <si>
    <t xml:space="preserve">There is a string: a payment if they keep it or do not do the work</t>
  </si>
  <si>
    <t xml:space="preserve">Choices: It is shorter / There is a string: a payment if they keep it or do not do the work / It is only for some people</t>
  </si>
  <si>
    <t xml:space="preserve">Where the downsell sits</t>
  </si>
  <si>
    <t xml:space="preserve">There are two nos in the model. The no to the attraction offer (a stranger who did not buy) and the no to the upsell (a customer who did not go bigger). Each can have a downsell.
Start with the second. Those people already paid you once, showed up, and heard the upsell. A smaller yes from them is the easiest cash in the business.
The downsell after the attraction offer comes on the Optimize band, once the rest works.</t>
  </si>
  <si>
    <t xml:space="preserve">Which downsell should be built first?</t>
  </si>
  <si>
    <t xml:space="preserve">The one for customers who said no to the upsell</t>
  </si>
  <si>
    <t xml:space="preserve">Choices: The one for strangers who did not buy the attraction offer / The one for customers who said no to the upsell / Both at once</t>
  </si>
  <si>
    <t xml:space="preserve">The downsell's price</t>
  </si>
  <si>
    <t xml:space="preserve">What the smaller yes costs the customer in total. For a payment plan on the same upsell, that may equal the upsell price; the terms are what changed.</t>
  </si>
  <si>
    <t xml:space="preserve">Price of the downsell</t>
  </si>
  <si>
    <t xml:space="preserve">Dollars. Total over all payments.</t>
  </si>
  <si>
    <t xml:space="preserve">What the downsell costs to deliver</t>
  </si>
  <si>
    <t xml:space="preserve">Per customer. A lighter version should cost less to deliver; a payment plan costs the same as the upsell.</t>
  </si>
  <si>
    <t xml:space="preserve">Cost to deliver the downsell to one customer</t>
  </si>
  <si>
    <t xml:space="preserve">Dollars. All in. 0 is allowed.</t>
  </si>
  <si>
    <t xml:space="preserve">Of the customers who said no to the upsell and were offered the downsell, the share who take it.</t>
  </si>
  <si>
    <t xml:space="preserve">Share of upsell nos who take the downsell</t>
  </si>
  <si>
    <t xml:space="preserve">Type a percent, e.g. 25%. Takers divided by those offered, as a percent.</t>
  </si>
  <si>
    <t xml:space="preserve">Exercise: pick your downsell play</t>
  </si>
  <si>
    <t xml:space="preserve">Payment plan unless there is a clear reason not to. The Plays page says which ones the numbers support.</t>
  </si>
  <si>
    <t xml:space="preserve">Your downsell play</t>
  </si>
  <si>
    <t xml:space="preserve">Payment plan</t>
  </si>
  <si>
    <t xml:space="preserve">Pick one: Payment plan / Trial with a string / Lighter version / Deposit and decide</t>
  </si>
  <si>
    <t xml:space="preserve">Exercise: write the downsell script</t>
  </si>
  <si>
    <t xml:space="preserve">It follows the no directly. 'Totally fair. Would it help if we did [terms or lighter version] instead? You would still get [result], just [the change].'</t>
  </si>
  <si>
    <t xml:space="preserve">The downsell, in one sentence</t>
  </si>
  <si>
    <t xml:space="preserve">No problem. We can do the same programme as three payments of $150; you still get the full year.</t>
  </si>
  <si>
    <t xml:space="preserve">Acknowledge the no, offer the smaller yes, keep the result.</t>
  </si>
  <si>
    <t xml:space="preserve">What exactly is smaller</t>
  </si>
  <si>
    <t xml:space="preserve">Nothing is cut; the terms are longer</t>
  </si>
  <si>
    <t xml:space="preserve">Fewer sessions, longer terms, less support, no guarantee. Name it.</t>
  </si>
  <si>
    <t xml:space="preserve">Checklist: downsell design</t>
  </si>
  <si>
    <t xml:space="preserve">About 4 minutes. The exercises: pick a play, write the offer, tick the design list.</t>
  </si>
  <si>
    <t xml:space="preserve">Tick what is true of the downsell as written.</t>
  </si>
  <si>
    <t xml:space="preserve">Keeps the same result, only the package or terms shrink</t>
  </si>
  <si>
    <t xml:space="preserve">Terms were tried before price</t>
  </si>
  <si>
    <t xml:space="preserve">Still covers its cost to deliver</t>
  </si>
  <si>
    <t xml:space="preserve">Still puts the customer in front of the continuity offer</t>
  </si>
  <si>
    <t xml:space="preserve">Is never advertised, only offered after a no</t>
  </si>
  <si>
    <t xml:space="preserve">The offer fits in one sentence</t>
  </si>
  <si>
    <t xml:space="preserve">The payment plan's shape</t>
  </si>
  <si>
    <t xml:space="preserve">How many payments, and how big the first one is. The first payment is what lands inside the 30 days; the rest is a promise.</t>
  </si>
  <si>
    <t xml:space="preserve">Number of payments</t>
  </si>
  <si>
    <t xml:space="preserve">1 if paid in full.</t>
  </si>
  <si>
    <t xml:space="preserve">Share of the price paid up front</t>
  </si>
  <si>
    <t xml:space="preserve">Type a percent, e.g. 25%. The first payment as a percent of the total. 100 if paid in full.</t>
  </si>
  <si>
    <t xml:space="preserve">How many plans fail</t>
  </si>
  <si>
    <t xml:space="preserve">Payment plans leak. The share of plan customers who stop paying before the end. Type 0 if none have.</t>
  </si>
  <si>
    <t xml:space="preserve">Share of payment plans that stop early</t>
  </si>
  <si>
    <t xml:space="preserve">Type a percent, e.g. 25%. Stopped divided by started.</t>
  </si>
  <si>
    <t xml:space="preserve">Checklist: the first downsell run</t>
  </si>
  <si>
    <t xml:space="preserve">About 4 minutes. Run it for real and type what happened.</t>
  </si>
  <si>
    <t xml:space="preserve">Two weeks, every no gets the downsell, count what happens.</t>
  </si>
  <si>
    <t xml:space="preserve">Every upsell no was offered the downsell</t>
  </si>
  <si>
    <t xml:space="preserve">Counted offered and took</t>
  </si>
  <si>
    <t xml:space="preserve">Payment plans are tracked to the last payment</t>
  </si>
  <si>
    <t xml:space="preserve">Wrote down why people said no to the downsell too</t>
  </si>
  <si>
    <t xml:space="preserve">A downsell for the first no</t>
  </si>
  <si>
    <t xml:space="preserve">For strangers who did not take the attraction offer: a lower entry. A single session, a smaller batch, a deposit. Price and expected take among those who said no.</t>
  </si>
  <si>
    <t xml:space="preserve">Price of the entry downsell</t>
  </si>
  <si>
    <t xml:space="preserve">Dollars. Offered to leads who did not buy the attraction offer.</t>
  </si>
  <si>
    <t xml:space="preserve">Share of attraction nos who take it</t>
  </si>
  <si>
    <t xml:space="preserve">Exercise: the second thing you can shrink</t>
  </si>
  <si>
    <t xml:space="preserve">If the first downsell is a payment plan, the second is a lighter version, and the other way round. Pick what you cut in the second one.</t>
  </si>
  <si>
    <t xml:space="preserve">What the second downsell cuts</t>
  </si>
  <si>
    <t xml:space="preserve">Support or check-ins</t>
  </si>
  <si>
    <t xml:space="preserve">Pick one: Time with you / Access or seats / Support or check-ins / The guarantee / Speed of the result</t>
  </si>
  <si>
    <t xml:space="preserve">Checklist: sharpening the downsell</t>
  </si>
  <si>
    <t xml:space="preserve">About 4 minutes. Stack a second play and sharpen the numbers.</t>
  </si>
  <si>
    <t xml:space="preserve">Raised the first payment's share</t>
  </si>
  <si>
    <t xml:space="preserve">Cut the number of payments</t>
  </si>
  <si>
    <t xml:space="preserve">Put every plan on automatic payment</t>
  </si>
  <si>
    <t xml:space="preserve">Added the second downsell after the second no</t>
  </si>
  <si>
    <t xml:space="preserve">Tested a deposit-and-decide for the walkaways</t>
  </si>
  <si>
    <t xml:space="preserve">Planet 5 of 6: Continuity</t>
  </si>
  <si>
    <t xml:space="preserve">The yes that repeats: getting customers to keep paying, which is what makes lifetime profit large.</t>
  </si>
  <si>
    <t xml:space="preserve">One sale into many</t>
  </si>
  <si>
    <t xml:space="preserve">A customer who pays once is a transaction. A customer who pays every month is an asset. Continuity is what turns the model from a series of launches into a business that grows while you sleep.
The lifetime gross profit of a customer is mostly continuity. A $150 a month membership with 8% monthly churn is worth about twelve and a half months, over $1,800 of revenue, from one yes.
Every earlier offer should end by placing the customer in front of the continuity offer.</t>
  </si>
  <si>
    <t xml:space="preserve">Monthly churn is 10%. On average how many months does a member stay?</t>
  </si>
  <si>
    <t xml:space="preserve">About 10</t>
  </si>
  <si>
    <t xml:space="preserve">Choices: About 10 / About 5 / About 20</t>
  </si>
  <si>
    <t xml:space="preserve">The continuity plays</t>
  </si>
  <si>
    <t xml:space="preserve">Bonus for committing: a gift, worth a lot to them and little to you, for joining the ongoing plan today.
Discount for a longer term: pay for a year, get it cheaper. Cash forward, churn removed.
Waived fee: the setup or first month is free if they join now. The fee exists so that waiving it means something.
Bonuses over time: something new arrives in month two, month three, month six. Reasons to stay, not just reasons to join.
The default: the ongoing plan is the normal thing to buy; the one-off is the exception you have to ask for.</t>
  </si>
  <si>
    <t xml:space="preserve">What is 'bonuses over time' for?</t>
  </si>
  <si>
    <t xml:space="preserve">Getting people to stay; by giving them something to wait for</t>
  </si>
  <si>
    <t xml:space="preserve">Choices: Getting people to join / Getting people to stay, by giving them something to wait for / Raising the price</t>
  </si>
  <si>
    <t xml:space="preserve">Churn is the tax</t>
  </si>
  <si>
    <t xml:space="preserve">Churn is the share of members who leave each month. Halving it doubles the value of every customer you already have, without a single new lead.
Measure it monthly, by cohort (people who joined the same month). A single average hides a leak in month two.
Most churn happens early, before the customer has had a win. The continuity offer's first job is to get them a win fast.</t>
  </si>
  <si>
    <t xml:space="preserve">Churn drops from 10% to 5% a month. What happens to the average member's lifetime value?</t>
  </si>
  <si>
    <t xml:space="preserve">It roughly doubles</t>
  </si>
  <si>
    <t xml:space="preserve">Choices: It goes up a little / It roughly doubles / Nothing until you raise prices</t>
  </si>
  <si>
    <t xml:space="preserve">The monthly price</t>
  </si>
  <si>
    <t xml:space="preserve">What a member pays each month. If it is yearly, divide by twelve here; the yearly option comes on Optimize.</t>
  </si>
  <si>
    <t xml:space="preserve">Continuity price per month</t>
  </si>
  <si>
    <t xml:space="preserve">Dollars. Per member, per month.</t>
  </si>
  <si>
    <t xml:space="preserve">What a member costs to serve each month</t>
  </si>
  <si>
    <t xml:space="preserve">Per member, per month: the classes they attend, the software seat, the check-in call, the shipment.</t>
  </si>
  <si>
    <t xml:space="preserve">Cost to serve one member for a month</t>
  </si>
  <si>
    <t xml:space="preserve">Who joins, and who leaves</t>
  </si>
  <si>
    <t xml:space="preserve">The share of customers who join continuity by the end of the sequence, and the share of members who leave each month. If you have no history, guess and revisit on Prove.</t>
  </si>
  <si>
    <t xml:space="preserve">Share of customers who join continuity</t>
  </si>
  <si>
    <t xml:space="preserve">Type a percent, e.g. 25%. Joiners divided by customers who finished the earlier offers.</t>
  </si>
  <si>
    <t xml:space="preserve">Monthly churn</t>
  </si>
  <si>
    <t xml:space="preserve">Type a percent, e.g. 25%. Members who left this month divided by members at the start of it.</t>
  </si>
  <si>
    <t xml:space="preserve">Exercise: pick your continuity play</t>
  </si>
  <si>
    <t xml:space="preserve">The default first: make the ongoing plan the normal purchase. Then one of the others to remove the first no.</t>
  </si>
  <si>
    <t xml:space="preserve">Your continuity play</t>
  </si>
  <si>
    <t xml:space="preserve">The default</t>
  </si>
  <si>
    <t xml:space="preserve">Pick one: Bonus for committing / Discount for a longer term / Waived fee / Bonuses over time / The default</t>
  </si>
  <si>
    <t xml:space="preserve">Exercise: write the continuity pitch</t>
  </si>
  <si>
    <t xml:space="preserve">Frame: 'To keep [result] going, most people stay on for [the ongoing plan]. It is [price] a month, and if you start today you also get [bonus].' Then the reason to stay: what arrives later.</t>
  </si>
  <si>
    <t xml:space="preserve">The pitch, one or two sentences</t>
  </si>
  <si>
    <t xml:space="preserve">To keep the weight off, most people stay on as members: $149 a month, and if you start today the first month's meal plans are included.</t>
  </si>
  <si>
    <t xml:space="preserve">Result, plan, price, the joining bonus.</t>
  </si>
  <si>
    <t xml:space="preserve">The reason to stay past month one</t>
  </si>
  <si>
    <t xml:space="preserve">A new eight-week block every two months, and a tracked weigh-in chart</t>
  </si>
  <si>
    <t xml:space="preserve">What arrives in month two, three, six. A tracked result counts.</t>
  </si>
  <si>
    <t xml:space="preserve">Checklist: continuity design</t>
  </si>
  <si>
    <t xml:space="preserve">Tick what is true of the continuity offer as written.</t>
  </si>
  <si>
    <t xml:space="preserve">The ongoing plan is the default purchase</t>
  </si>
  <si>
    <t xml:space="preserve">There is a reason to join today</t>
  </si>
  <si>
    <t xml:space="preserve">There is a reason to stay past month one</t>
  </si>
  <si>
    <t xml:space="preserve">The first month is built to deliver a visible win</t>
  </si>
  <si>
    <t xml:space="preserve">Billing is automatic</t>
  </si>
  <si>
    <t xml:space="preserve">Churn is measured monthly by cohort</t>
  </si>
  <si>
    <t xml:space="preserve">When the first month gets charged</t>
  </si>
  <si>
    <t xml:space="preserve">Days from the first purchase to the first continuity charge. If the membership starts after a six-week challenge, that is about 42, and the first month's cash is outside the 30 days. Charging at signup, with the plan starting later, moves it inside.</t>
  </si>
  <si>
    <t xml:space="preserve">Days from the first purchase to the first continuity charge</t>
  </si>
  <si>
    <t xml:space="preserve">Days. 0 if charged at signup.</t>
  </si>
  <si>
    <t xml:space="preserve">Who is still there at month three</t>
  </si>
  <si>
    <t xml:space="preserve">From a cohort that joined at least three months ago: the share still paying. The model compares it with what your churn figure predicts.</t>
  </si>
  <si>
    <t xml:space="preserve">Share of a cohort still paying at month three</t>
  </si>
  <si>
    <t xml:space="preserve">Type a percent, e.g. 25%. Still paying divided by joined.</t>
  </si>
  <si>
    <t xml:space="preserve">Checklist: the first continuity run</t>
  </si>
  <si>
    <t xml:space="preserve">One cohort, followed for three months.</t>
  </si>
  <si>
    <t xml:space="preserve">Every finishing customer was offered continuity</t>
  </si>
  <si>
    <t xml:space="preserve">The cohort is tagged by joining month</t>
  </si>
  <si>
    <t xml:space="preserve">The first-month win is tracked per member</t>
  </si>
  <si>
    <t xml:space="preserve">Every leaver was asked why</t>
  </si>
  <si>
    <t xml:space="preserve">Changed one thing for the next cohort</t>
  </si>
  <si>
    <t xml:space="preserve">The longer-term option</t>
  </si>
  <si>
    <t xml:space="preserve">A yearly (or six-month) plan at a discount, paid up front. It moves a year of cash into the first 30 days and removes churn for that year. Price and expected take among joiners.</t>
  </si>
  <si>
    <t xml:space="preserve">Price of the yearly plan, paid up front</t>
  </si>
  <si>
    <t xml:space="preserve">Dollars. Total for the year.</t>
  </si>
  <si>
    <t xml:space="preserve">Share of joiners who choose it</t>
  </si>
  <si>
    <t xml:space="preserve">Exercise: the second reason to stay</t>
  </si>
  <si>
    <t xml:space="preserve">Pick the retention play you add next. Each one answers 'why stay in month four?'</t>
  </si>
  <si>
    <t xml:space="preserve">The next reason to stay</t>
  </si>
  <si>
    <t xml:space="preserve">A result they can watch grow</t>
  </si>
  <si>
    <t xml:space="preserve">Pick one: A bonus that arrives every few months / A group they would miss / A result they can watch grow / A price locked while they stay / Milestones with rewards</t>
  </si>
  <si>
    <t xml:space="preserve">Checklist: sharpening continuity</t>
  </si>
  <si>
    <t xml:space="preserve">One per cohort.</t>
  </si>
  <si>
    <t xml:space="preserve">Offered the yearly plan at joining</t>
  </si>
  <si>
    <t xml:space="preserve">Added a month-two bonus</t>
  </si>
  <si>
    <t xml:space="preserve">Built a save offer for the moment someone cancels</t>
  </si>
  <si>
    <t xml:space="preserve">Chased failed payments the same day</t>
  </si>
  <si>
    <t xml:space="preserve">Reviewed churn by cohort monthly</t>
  </si>
  <si>
    <t xml:space="preserve">Planet 6 of 6: KPIs and Scale</t>
  </si>
  <si>
    <t xml:space="preserve">The six numbers to watch, the two thresholds, and how fast customer money can fund the next customer.</t>
  </si>
  <si>
    <t xml:space="preserve">The six numbers</t>
  </si>
  <si>
    <t xml:space="preserve">Cost of a customer (CAC): what you spend to get one.
Gross profit per sale: price minus the cost to deliver.
30-day cash: gross profit collected from a customer in their first 30 days, across the whole sequence.
Lifetime gross profit (LTGP): everything a customer earns you, less delivery, over their whole stay.
LTGP to CAC: how many times over a customer pays for themselves.
Payback days: how long until a customer has paid back their cost.</t>
  </si>
  <si>
    <t xml:space="preserve">Price $500, cost to deliver $120, cost of the customer $150. What is the gross profit per sale?</t>
  </si>
  <si>
    <t xml:space="preserve">$380</t>
  </si>
  <si>
    <t xml:space="preserve">Choices: $380 / $230 / $350</t>
  </si>
  <si>
    <t xml:space="preserve">The two thresholds</t>
  </si>
  <si>
    <t xml:space="preserve">30-day cash at least equal to CAC: you break even on each customer before the bills for getting them are due. You are alive.
30-day cash at least twice CAC: each customer funds the next one. You can grow as fast as you can deliver, with no outside money.
LTGP at least three times CAC: the business is worth running. Below that, the customers are barely paying for the marketing.</t>
  </si>
  <si>
    <t xml:space="preserve">30-day cash is $300 and CAC is $150. Which is true?</t>
  </si>
  <si>
    <t xml:space="preserve">Self-funding: each customer pays for the next</t>
  </si>
  <si>
    <t xml:space="preserve">Choices: Break even only / Self-funding: each customer pays for the next / Losing money</t>
  </si>
  <si>
    <t xml:space="preserve">The four ways to grow</t>
  </si>
  <si>
    <t xml:space="preserve">More customers (attraction). More per customer (upsell, downsell, price). More often (continuity). Less to deliver (margin).
Every business grows through those four, and only those four. When you are stuck, the constraint from Foundations level 8 names which one.
The model's charts move when you move any of them; try it on the Model page once your numbers are in.</t>
  </si>
  <si>
    <t xml:space="preserve">Which of these is not one of the four ways to grow?</t>
  </si>
  <si>
    <t xml:space="preserve">A bigger office</t>
  </si>
  <si>
    <t xml:space="preserve">Choices: Customers buy more often / A bigger office / Each sale costs less to deliver</t>
  </si>
  <si>
    <t xml:space="preserve">How many you can serve</t>
  </si>
  <si>
    <t xml:space="preserve">The ceiling on the other side: customers you can take on in a month before quality drops. The growth chart flattens here.</t>
  </si>
  <si>
    <t xml:space="preserve">Most new customers you can serve in a month</t>
  </si>
  <si>
    <t xml:space="preserve">Honest, at current staff and hours.</t>
  </si>
  <si>
    <t xml:space="preserve">What the business costs to keep open</t>
  </si>
  <si>
    <t xml:space="preserve">Rent, salaries, software, insurance: the monthly costs that do not change with one more customer. Gross profit has to cover this before there is any profit.</t>
  </si>
  <si>
    <t xml:space="preserve">Fixed costs per month</t>
  </si>
  <si>
    <t xml:space="preserve">Dollars. Everything that is due whether or not a customer buys.</t>
  </si>
  <si>
    <t xml:space="preserve">The loop: cash in, share back in</t>
  </si>
  <si>
    <t xml:space="preserve">Two figures that decide how fast the model can spin. The cash you can put toward getting customers each month is the ceiling before the model self-funds. The share of each month's 30-day cash you put back into ads is what makes the ceiling rise. 100 is all of it.</t>
  </si>
  <si>
    <t xml:space="preserve">Cash available for getting customers each month</t>
  </si>
  <si>
    <t xml:space="preserve">Dollars. What you could spend on ads and sales this month without missing payroll or rent.</t>
  </si>
  <si>
    <t xml:space="preserve">Share of 30-day cash reinvested in getting customers</t>
  </si>
  <si>
    <t xml:space="preserve">Type a percent, e.g. 25%. As a percent. 50 is half.</t>
  </si>
  <si>
    <t xml:space="preserve">Exercise: the one number on the wall</t>
  </si>
  <si>
    <t xml:space="preserve">About 1 minute. The exercises: pick a play, write the offer, tick the design list.</t>
  </si>
  <si>
    <t xml:space="preserve">Pick the one KPI the whole team sees every week. The constraint says which: customers means CAC or leads; per customer means 30-day cash; stay means churn.</t>
  </si>
  <si>
    <t xml:space="preserve">The number you watch weekly</t>
  </si>
  <si>
    <t xml:space="preserve">30-day cash per customer</t>
  </si>
  <si>
    <t xml:space="preserve">Pick one: Cost of a customer / 30-day cash per customer / 30-day ratio / Monthly churn / LTGP to CAC / Leads per week</t>
  </si>
  <si>
    <t xml:space="preserve">Exercise: the scoreboard</t>
  </si>
  <si>
    <t xml:space="preserve">About 3 minutes. The exercises: pick a play, write the offer, tick the design list.</t>
  </si>
  <si>
    <t xml:space="preserve">Where the numbers live, who updates them, and when. A number nobody owns is a number nobody has.</t>
  </si>
  <si>
    <t xml:space="preserve">Where the scoreboard lives</t>
  </si>
  <si>
    <t xml:space="preserve">The whiteboard by the front desk</t>
  </si>
  <si>
    <t xml:space="preserve">A sheet, a whiteboard, this page.</t>
  </si>
  <si>
    <t xml:space="preserve">Who updates it, and on which day</t>
  </si>
  <si>
    <t xml:space="preserve">Sam, every Monday</t>
  </si>
  <si>
    <t xml:space="preserve">One name, one day.</t>
  </si>
  <si>
    <t xml:space="preserve">Checklist: what the scoreboard shows</t>
  </si>
  <si>
    <t xml:space="preserve">Tick each row once it is on the board with a real number.</t>
  </si>
  <si>
    <t xml:space="preserve">Cost of a customer, this month</t>
  </si>
  <si>
    <t xml:space="preserve">30-day ratio against the two thresholds</t>
  </si>
  <si>
    <t xml:space="preserve">Upsell, downsell and continuity take rates</t>
  </si>
  <si>
    <t xml:space="preserve">Monthly churn by cohort</t>
  </si>
  <si>
    <t xml:space="preserve">The 30-day cash you measured</t>
  </si>
  <si>
    <t xml:space="preserve">After running the new sequence for a month: the cash actually collected per new customer in their first 30 days. The model page shows it against what the plan predicted and against the before figure.</t>
  </si>
  <si>
    <t xml:space="preserve">Measured 30-day cash per new customer, after the model</t>
  </si>
  <si>
    <t xml:space="preserve">Dollars. Collected, from a real cohort.</t>
  </si>
  <si>
    <t xml:space="preserve">The customers you got last month</t>
  </si>
  <si>
    <t xml:space="preserve">New customers in the first full month of the model, compared with the before figure from Foundations level 6.</t>
  </si>
  <si>
    <t xml:space="preserve">New customers last month, after the model</t>
  </si>
  <si>
    <t xml:space="preserve">First-time payers.</t>
  </si>
  <si>
    <t xml:space="preserve">Checklist: the monthly close</t>
  </si>
  <si>
    <t xml:space="preserve">Once a month, in this order.</t>
  </si>
  <si>
    <t xml:space="preserve">Total spent on getting customers, by channel</t>
  </si>
  <si>
    <t xml:space="preserve">New customers, by source</t>
  </si>
  <si>
    <t xml:space="preserve">30-day cash for last month's cohort</t>
  </si>
  <si>
    <t xml:space="preserve">Take rates for each offer</t>
  </si>
  <si>
    <t xml:space="preserve">Churn for every open cohort</t>
  </si>
  <si>
    <t xml:space="preserve">The numbers on this page updated</t>
  </si>
  <si>
    <t xml:space="preserve">A price test</t>
  </si>
  <si>
    <t xml:space="preserve">Raise the upsell price by a set percent for the next run and watch the take rate. Type the raise here; the model shows what take rate would leave you no worse off.</t>
  </si>
  <si>
    <t xml:space="preserve">Percent to raise the upsell price in the next run</t>
  </si>
  <si>
    <t xml:space="preserve">Type a percent, e.g. 25%. 10 is a common first test.</t>
  </si>
  <si>
    <t xml:space="preserve">Exercise: the next bottleneck</t>
  </si>
  <si>
    <t xml:space="preserve">Once the model self-funds, something else stops growth. Name it so the next quarter has a target.</t>
  </si>
  <si>
    <t xml:space="preserve">What stops growth next?</t>
  </si>
  <si>
    <t xml:space="preserve">Capacity to serve them</t>
  </si>
  <si>
    <t xml:space="preserve">Pick one: Cash to buy customers / Capacity to serve them / Leads / Conversion of leads / Cost or quality of delivery</t>
  </si>
  <si>
    <t xml:space="preserve">Checklist: the quarterly review</t>
  </si>
  <si>
    <t xml:space="preserve">About 8 minutes. Stack a second play and sharpen the numbers.</t>
  </si>
  <si>
    <t xml:space="preserve">Every three months, the whole model, top to bottom.</t>
  </si>
  <si>
    <t xml:space="preserve">Re-named the constraint</t>
  </si>
  <si>
    <t xml:space="preserve">Re-read every offer sentence out loud</t>
  </si>
  <si>
    <t xml:space="preserve">Killed or fixed the weakest offer</t>
  </si>
  <si>
    <t xml:space="preserve">Checked both thresholds on the quarter's real numbers</t>
  </si>
  <si>
    <t xml:space="preserve">Raised capacity or the price if the model is at the ceiling</t>
  </si>
  <si>
    <t xml:space="preserve">Dashboard: every figure the model can compute</t>
  </si>
  <si>
    <t xml:space="preserve">Nothing here is typed. Every cell is a formula over the answers on the planet sheets. A figure reads "not yet" until every number it needs is in.</t>
  </si>
  <si>
    <t xml:space="preserve">Foundations: the business today</t>
  </si>
  <si>
    <t xml:space="preserve">Gross profit per sale, today</t>
  </si>
  <si>
    <t xml:space="preserve">What one sale of your main offer leaves after delivering it.</t>
  </si>
  <si>
    <t xml:space="preserve">Gross margin, today</t>
  </si>
  <si>
    <t xml:space="preserve">The share of the price you keep after delivery. Above 50% is where most of the plays become affordable.</t>
  </si>
  <si>
    <t xml:space="preserve">Cost of a customer (CAC)</t>
  </si>
  <si>
    <t xml:space="preserve">What you spent to get customers, divided by the customers you got.</t>
  </si>
  <si>
    <t xml:space="preserve">First sale minus the cost of the customer</t>
  </si>
  <si>
    <t xml:space="preserve">Gross profit on the first sale, less what the customer cost. Negative means the first sale does not pay for the customer, which is exactly what the rest of the model is for.</t>
  </si>
  <si>
    <t xml:space="preserve">Cost per lead</t>
  </si>
  <si>
    <t xml:space="preserve">Spend divided by leads.</t>
  </si>
  <si>
    <t xml:space="preserve">Customers the funnel implies</t>
  </si>
  <si>
    <t xml:space="preserve">Leads times the attraction conversion rate. Compare with the customers you counted.</t>
  </si>
  <si>
    <t xml:space="preserve">30-day ratio, today (cash collected / CAC)</t>
  </si>
  <si>
    <t xml:space="preserve">What the business does now, before the sequence.</t>
  </si>
  <si>
    <t xml:space="preserve">Days to get cash back, today</t>
  </si>
  <si>
    <t xml:space="preserve">The before figure. The model's payback days go beside it.</t>
  </si>
  <si>
    <t xml:space="preserve">The sequence: each offer, per customer</t>
  </si>
  <si>
    <t xml:space="preserve">Attraction offer gross profit</t>
  </si>
  <si>
    <t xml:space="preserve">Price less delivery, per buyer.</t>
  </si>
  <si>
    <t xml:space="preserve">Upsell gross profit (per taker)</t>
  </si>
  <si>
    <t xml:space="preserve">Per taker.</t>
  </si>
  <si>
    <t xml:space="preserve">Upsell profit per customer</t>
  </si>
  <si>
    <t xml:space="preserve">Upsell gross profit times the take rate: what the upsell adds to every customer on average.</t>
  </si>
  <si>
    <t xml:space="preserve">Downsell gross profit (per taker)</t>
  </si>
  <si>
    <t xml:space="preserve">Downsell profit per customer</t>
  </si>
  <si>
    <t xml:space="preserve">Downsell gross profit, times the share who said no to the upsell, times the downsell take rate.</t>
  </si>
  <si>
    <t xml:space="preserve">Continuity gross profit per month</t>
  </si>
  <si>
    <t xml:space="preserve">Per member, per month.</t>
  </si>
  <si>
    <t xml:space="preserve">Continuity, first month, per customer</t>
  </si>
  <si>
    <t xml:space="preserve">Monthly gross profit times the share who join.</t>
  </si>
  <si>
    <t xml:space="preserve">Months a member stays, on average</t>
  </si>
  <si>
    <t xml:space="preserve">One divided by monthly churn.</t>
  </si>
  <si>
    <t xml:space="preserve">Continuity lifetime profit per customer</t>
  </si>
  <si>
    <t xml:space="preserve">Monthly gross profit, times the months a member stays, times the share who join.</t>
  </si>
  <si>
    <t xml:space="preserve">The headline: the 30-day rule and lifetime value</t>
  </si>
  <si>
    <t xml:space="preserve">30-day cash per customer (planned, gross profit)</t>
  </si>
  <si>
    <t xml:space="preserve">Gross profit the sequence collects from one customer in their first 30 days, assuming every offer is made inside the month. Prove levels U10, D10 and C10 check that.</t>
  </si>
  <si>
    <t xml:space="preserve">30-day cash collected per customer (before delivery)</t>
  </si>
  <si>
    <t xml:space="preserve">Cash before delivery costs: the figure to compare with what you counted at the bank. The gross profit twin is the headline.</t>
  </si>
  <si>
    <t xml:space="preserve">30-day ratio (planned)</t>
  </si>
  <si>
    <t xml:space="preserve">30-day cash divided by the cost of a customer. 1 is break even, 2 is self-funding.</t>
  </si>
  <si>
    <t xml:space="preserve">The most you could pay for a customer</t>
  </si>
  <si>
    <t xml:space="preserve">Half the 30-day cash: the cost of a customer that still leaves you self-funding.</t>
  </si>
  <si>
    <t xml:space="preserve">Lifetime gross profit per customer (LTGP)</t>
  </si>
  <si>
    <t xml:space="preserve">Everything the sequence earns from one customer, less delivery, over their whole stay.</t>
  </si>
  <si>
    <t xml:space="preserve">30-day cash per lead</t>
  </si>
  <si>
    <t xml:space="preserve">What a lead is worth to you in the first month, so you know what you can pay for one.</t>
  </si>
  <si>
    <t xml:space="preserve">Customers a month to cover fixed costs</t>
  </si>
  <si>
    <t xml:space="preserve">Fixed costs divided by 30-day cash per customer. Above this, the month is profitable on new customers alone.</t>
  </si>
  <si>
    <t xml:space="preserve">Customers you can afford per month</t>
  </si>
  <si>
    <t xml:space="preserve">Cash for getting customers divided by the cost of one. The scale ceiling before the model self-funds.</t>
  </si>
  <si>
    <t xml:space="preserve">Room to grow before capacity</t>
  </si>
  <si>
    <t xml:space="preserve">Customers per month you could add before you cannot serve them.</t>
  </si>
  <si>
    <t xml:space="preserve">Gross profit per hour of your time</t>
  </si>
  <si>
    <t xml:space="preserve">The 30-day cash per customer divided by the hours you put into one. Raise the price, cut the delivery, or hire, depending on whether you like this number.</t>
  </si>
  <si>
    <t xml:space="preserve">Prove: what actually happened</t>
  </si>
  <si>
    <t xml:space="preserve">Real upsell take across all customers</t>
  </si>
  <si>
    <t xml:space="preserve">Show rate, times the share asked, times the take rate when asked. The number that actually hits the bank.</t>
  </si>
  <si>
    <t xml:space="preserve">Attraction gross profit after refunds</t>
  </si>
  <si>
    <t xml:space="preserve">Gross profit less the price times the refund rate.</t>
  </si>
  <si>
    <t xml:space="preserve">Downsell cash inside 30 days (first payment only)</t>
  </si>
  <si>
    <t xml:space="preserve">Only the first payment lands inside the month.</t>
  </si>
  <si>
    <t xml:space="preserve">30-day cash, checked against timing</t>
  </si>
  <si>
    <t xml:space="preserve">The planned 30-day cash, dropping any offer whose cash lands after day 30 and counting only the first plan payment.</t>
  </si>
  <si>
    <t xml:space="preserve">Cash lost to failed payment plans, per customer</t>
  </si>
  <si>
    <t xml:space="preserve">The unpaid remainder times the default rate, spread over customers.</t>
  </si>
  <si>
    <t xml:space="preserve">Month-three retention, predicted by churn</t>
  </si>
  <si>
    <t xml:space="preserve">Month-three retention, measured</t>
  </si>
  <si>
    <t xml:space="preserve">30-day ratio, measured (cash collected / CAC)</t>
  </si>
  <si>
    <t xml:space="preserve">From a real cohort, after the model.</t>
  </si>
  <si>
    <t xml:space="preserve">Customer growth since the model</t>
  </si>
  <si>
    <t xml:space="preserve">New customers after, against before.</t>
  </si>
  <si>
    <t xml:space="preserve">Cash a full run brings in</t>
  </si>
  <si>
    <t xml:space="preserve">The cap times the 30-day cash per customer.</t>
  </si>
  <si>
    <t xml:space="preserve">Second upsell profit per customer</t>
  </si>
  <si>
    <t xml:space="preserve">Price times the second take rate times the first, spread over all customers. Delivery cost is not asked for; treat it as an upper bound.</t>
  </si>
  <si>
    <t xml:space="preserve">The upsell as a share of the anchor</t>
  </si>
  <si>
    <t xml:space="preserve">The upsell as a share of the anchor. Under a third reads as the sensible choice.</t>
  </si>
  <si>
    <t xml:space="preserve">Cash the yearly plan moves into month one</t>
  </si>
  <si>
    <t xml:space="preserve">The yearly price less the first month already counted, times the share who choose it, per customer.</t>
  </si>
  <si>
    <t xml:space="preserve">30-day cash with the yearly plan</t>
  </si>
  <si>
    <t xml:space="preserve">Planned 30-day cash plus the yearly plan's lift.</t>
  </si>
  <si>
    <t xml:space="preserve">LTGP with the second upsell and the yearly plan</t>
  </si>
  <si>
    <t xml:space="preserve">The tier-2 figure plus the Optimize band's additions.</t>
  </si>
  <si>
    <t xml:space="preserve">Entry downsell cash per lead</t>
  </si>
  <si>
    <t xml:space="preserve">Price times the take rate among the leads who did not buy.</t>
  </si>
  <si>
    <t xml:space="preserve">30-day cash per lead with the entry downsell</t>
  </si>
  <si>
    <t xml:space="preserve">Cash per lead, plus what the leads who said no now bring.</t>
  </si>
  <si>
    <t xml:space="preserve">Take rate that keeps a price test even</t>
  </si>
  <si>
    <t xml:space="preserve">If the raised price takes at least this share, you are no worse off.</t>
  </si>
  <si>
    <t xml:space="preserve">Chart data: the 30-day cash, offer by offer</t>
  </si>
  <si>
    <t xml:space="preserve">Offer</t>
  </si>
  <si>
    <t xml:space="preserve">Gross profit</t>
  </si>
  <si>
    <t xml:space="preserve">Cost of a customer (1x)</t>
  </si>
  <si>
    <t xml:space="preserve">Self-funding line (2x)</t>
  </si>
  <si>
    <t xml:space="preserve">Continuity, month 1</t>
  </si>
  <si>
    <t xml:space="preserve">Total, 30 days</t>
  </si>
  <si>
    <t xml:space="preserve">Text in a figure counts as 0 in the charts, so an unfinished chart reads low, never wrong.</t>
  </si>
  <si>
    <t xml:space="preserve">Chart data: before, planned, measured (cash collected in 30 days)</t>
  </si>
  <si>
    <t xml:space="preserve">Cash collected</t>
  </si>
  <si>
    <t xml:space="preserve">Cost of a customer</t>
  </si>
  <si>
    <t xml:space="preserve">Before (today)</t>
  </si>
  <si>
    <t xml:space="preserve">Planned</t>
  </si>
  <si>
    <t xml:space="preserve">Measured</t>
  </si>
  <si>
    <t xml:space="preserve">Chart data: the funnel, from 100 leads</t>
  </si>
  <si>
    <t xml:space="preserve">Stage</t>
  </si>
  <si>
    <t xml:space="preserve">People</t>
  </si>
  <si>
    <t xml:space="preserve">Leads</t>
  </si>
  <si>
    <t xml:space="preserve">Take the attraction offer</t>
  </si>
  <si>
    <t xml:space="preserve">Take the upsell</t>
  </si>
  <si>
    <t xml:space="preserve">Take the downsell</t>
  </si>
  <si>
    <t xml:space="preserve">Join continuity</t>
  </si>
  <si>
    <t xml:space="preserve">Chart data: twelve months if you reinvest the 30-day cash</t>
  </si>
  <si>
    <t xml:space="preserve">Month</t>
  </si>
  <si>
    <t xml:space="preserve">Budget for customers</t>
  </si>
  <si>
    <t xml:space="preserve">Customers, reinvesting</t>
  </si>
  <si>
    <t xml:space="preserve">Customers, flat budget</t>
  </si>
  <si>
    <t xml:space="preserve">Capacity</t>
  </si>
  <si>
    <t xml:space="preserve">Chart data: members left, month by month (100 join)</t>
  </si>
  <si>
    <t xml:space="preserve">Members left</t>
  </si>
  <si>
    <t xml:space="preserve">Chart data: cash coming back, day by day (gross profit, cumulative)</t>
  </si>
  <si>
    <t xml:space="preserve">Day</t>
  </si>
  <si>
    <t xml:space="preserve">Cumulative gross profit</t>
  </si>
  <si>
    <t xml:space="preserve">Paid back on day</t>
  </si>
  <si>
    <t xml:space="preserve">Payback days (planned, to the nearest 3 days)</t>
  </si>
  <si>
    <t xml:space="preserve">The first day in the table above where the cumulative gross profit passes the cost of a customer.</t>
  </si>
  <si>
    <t xml:space="preserve">Chart data: the model's health, six ways (share of target, capped at 100%)</t>
  </si>
  <si>
    <t xml:space="preserve">Measure</t>
  </si>
  <si>
    <t xml:space="preserve">Your figure</t>
  </si>
  <si>
    <t xml:space="preserve">Target</t>
  </si>
  <si>
    <t xml:space="preserve">Share of target</t>
  </si>
  <si>
    <t xml:space="preserve">Margin</t>
  </si>
  <si>
    <t xml:space="preserve">30-day ratio</t>
  </si>
  <si>
    <t xml:space="preserve">Upsell take</t>
  </si>
  <si>
    <t xml:space="preserve">Monthly retention</t>
  </si>
  <si>
    <t xml:space="preserve">Lead conversion</t>
  </si>
  <si>
    <t xml:space="preserve">Your money model: the four offers in order</t>
  </si>
  <si>
    <t xml:space="preserve">What you wrote on the Build bands, with the price and take rate beside each. Read it top to bottom: that is the sequence a customer walks.</t>
  </si>
  <si>
    <t xml:space="preserve">What you say</t>
  </si>
  <si>
    <t xml:space="preserve">Price</t>
  </si>
  <si>
    <t xml:space="preserve">Who says yes</t>
  </si>
  <si>
    <t xml:space="preserve">1. Attraction</t>
  </si>
  <si>
    <t xml:space="preserve">   then the string</t>
  </si>
  <si>
    <t xml:space="preserve">2. Upsell</t>
  </si>
  <si>
    <t xml:space="preserve">   on a no</t>
  </si>
  <si>
    <t xml:space="preserve">3. Downsell</t>
  </si>
  <si>
    <t xml:space="preserve">   what is smaller</t>
  </si>
  <si>
    <t xml:space="preserve">4. Continuity</t>
  </si>
  <si>
    <t xml:space="preserve">   the reason to stay</t>
  </si>
  <si>
    <t xml:space="preserve">The numbers that judge it</t>
  </si>
  <si>
    <t xml:space="preserve">Payback days</t>
  </si>
  <si>
    <t xml:space="preserve">Most you could pay for a customer</t>
  </si>
  <si>
    <t xml:space="preserve">The promise</t>
  </si>
  <si>
    <t xml:space="preserve">The constraint</t>
  </si>
  <si>
    <t xml:space="preserve">Where you start</t>
  </si>
  <si>
    <t xml:space="preserve">The plays: nineteen ways to build the four offers</t>
  </si>
  <si>
    <t xml:space="preserve">A play reads Open when your numbers say it fits, Waiting until then. The five steps under each are the way to run it; mark them Yes as you go.</t>
  </si>
  <si>
    <t xml:space="preserve">Play</t>
  </si>
  <si>
    <t xml:space="preserve">What it is, and the steps</t>
  </si>
  <si>
    <t xml:space="preserve">Open? / Done?</t>
  </si>
  <si>
    <t xml:space="preserve">Opens when</t>
  </si>
  <si>
    <t xml:space="preserve">The customer pays, and gets it back (or as credit) if they hit a stated result and follow the rules. Most will not; the ones who do are the customers you want.</t>
  </si>
  <si>
    <t xml:space="preserve">gross margin of at least 50%, so a refund does not sink you; a promise with a result you can measure</t>
  </si>
  <si>
    <t xml:space="preserve">1. Write the result and the deadline as a number anyone can check</t>
  </si>
  <si>
    <t xml:space="preserve">Yes when done</t>
  </si>
  <si>
    <t xml:space="preserve">2. List every rule they must follow to qualify (attendance, submissions, check-ins)</t>
  </si>
  <si>
    <t xml:space="preserve">3. Decide: cash refund, or credit toward the upsell</t>
  </si>
  <si>
    <t xml:space="preserve">4. Put the refund cost in the attraction offer's delivery cost</t>
  </si>
  <si>
    <t xml:space="preserve">5. Track who qualifies, and offer them the upsell first</t>
  </si>
  <si>
    <t xml:space="preserve">One big prize, many entrants, and everyone who did not win gets an offer. Cheap leads at volume.</t>
  </si>
  <si>
    <t xml:space="preserve">a cost per lead of $20 or more, so cheaper leads matter</t>
  </si>
  <si>
    <t xml:space="preserve">1. Pick a prize worth a lot to the customer and a known cost to you</t>
  </si>
  <si>
    <t xml:space="preserve">2. Set the entry: a form, a follow, a referral</t>
  </si>
  <si>
    <t xml:space="preserve">3. Write the consolation offer every non-winner gets</t>
  </si>
  <si>
    <t xml:space="preserve">4. Set a draw date and announce it</t>
  </si>
  <si>
    <t xml:space="preserve">5. Count entrants, buyers of the consolation offer, and cost</t>
  </si>
  <si>
    <t xml:space="preserve">Decoy</t>
  </si>
  <si>
    <t xml:space="preserve">A free or very cheap option next to the real one, so the real one looks like the sensible choice and the free one filters out people who would never pay.</t>
  </si>
  <si>
    <t xml:space="preserve">a paid attraction offer for the decoy to sit beside</t>
  </si>
  <si>
    <t xml:space="preserve">1. Design the decoy: less of the real thing, clearly worse value per dollar</t>
  </si>
  <si>
    <t xml:space="preserve">2. Show both side by side, the decoy first</t>
  </si>
  <si>
    <t xml:space="preserve">3. Make the decoy's string lead to the paid offer</t>
  </si>
  <si>
    <t xml:space="preserve">4. Count who picks which</t>
  </si>
  <si>
    <t xml:space="preserve">5. Raise the decoy's price if too many take it</t>
  </si>
  <si>
    <t xml:space="preserve">Buy some, get some free</t>
  </si>
  <si>
    <t xml:space="preserve">Bundle volume up front. The free part is margin you would have spent on getting the customer back anyway.</t>
  </si>
  <si>
    <t xml:space="preserve">gross margin of at least 60%, so the free units cost you little</t>
  </si>
  <si>
    <t xml:space="preserve">1. Pick the unit (sessions, months, boxes)</t>
  </si>
  <si>
    <t xml:space="preserve">2. Set the bundle so the free part is under a third of the total</t>
  </si>
  <si>
    <t xml:space="preserve">3. Price the bundle above the single unit times the paid count</t>
  </si>
  <si>
    <t xml:space="preserve">4. Say the free part out loud in the offer</t>
  </si>
  <si>
    <t xml:space="preserve">5. Compare cash per customer with the single-unit offer</t>
  </si>
  <si>
    <t xml:space="preserve">Pay less now or pay more later</t>
  </si>
  <si>
    <t xml:space="preserve">Two prices for the same thing: a smaller one paid today and a larger one paid on results or over time. Both close; one brings cash forward.</t>
  </si>
  <si>
    <t xml:space="preserve">a main offer of $500 or more, where the two prices differ enough to matter</t>
  </si>
  <si>
    <t xml:space="preserve">1. Set the pay-now price</t>
  </si>
  <si>
    <t xml:space="preserve">2. Set the pay-later price 20 to 40% higher</t>
  </si>
  <si>
    <t xml:space="preserve">3. Decide the later trigger: a date, a result, an instalment</t>
  </si>
  <si>
    <t xml:space="preserve">4. Present both, pay-now first</t>
  </si>
  <si>
    <t xml:space="preserve">5. Track which is chosen and the cash collected inside 30 days</t>
  </si>
  <si>
    <t xml:space="preserve">Free with strings</t>
  </si>
  <si>
    <t xml:space="preserve">Free only when the string (a deposit, a booked call, an upsell moment) makes the free customer pay off.</t>
  </si>
  <si>
    <t xml:space="preserve">an upsell with a known profit per customer; the cost of a customer</t>
  </si>
  <si>
    <t xml:space="preserve">1. Name the string: what they must do to get the free thing</t>
  </si>
  <si>
    <t xml:space="preserve">2. Put the upsell inside the string (the results call, the fitting, the pickup)</t>
  </si>
  <si>
    <t xml:space="preserve">3. Take a refundable deposit if no-shows are likely</t>
  </si>
  <si>
    <t xml:space="preserve">4. Count free takers, string completers, and upsell takers</t>
  </si>
  <si>
    <t xml:space="preserve">5. Kill it if free customers do not reach the upsell</t>
  </si>
  <si>
    <t xml:space="preserve">Classic upsell</t>
  </si>
  <si>
    <t xml:space="preserve">The next thing they need to get the result faster or keep it.</t>
  </si>
  <si>
    <t xml:space="preserve">an attraction offer with a price and a cost</t>
  </si>
  <si>
    <t xml:space="preserve">1. Name the next obstacle after the attraction offer</t>
  </si>
  <si>
    <t xml:space="preserve">2. Build the thing that removes it</t>
  </si>
  <si>
    <t xml:space="preserve">3. Price it above the attraction offer</t>
  </si>
  <si>
    <t xml:space="preserve">4. Write the one-sentence ask</t>
  </si>
  <si>
    <t xml:space="preserve">5. Ask every customer, and tally it</t>
  </si>
  <si>
    <t xml:space="preserve">Menu upsell</t>
  </si>
  <si>
    <t xml:space="preserve">Several add-ons, they pick. People say yes to something more often than to one thing.</t>
  </si>
  <si>
    <t xml:space="preserve">an upsell take rate under 30%, where choice tends to help</t>
  </si>
  <si>
    <t xml:space="preserve">1. List three to five add-ons that each move the result</t>
  </si>
  <si>
    <t xml:space="preserve">2. Price each so any two beat the single upsell</t>
  </si>
  <si>
    <t xml:space="preserve">3. Present the menu after the first yes</t>
  </si>
  <si>
    <t xml:space="preserve">4. Count which combinations sell</t>
  </si>
  <si>
    <t xml:space="preserve">5. Drop the one nobody picks</t>
  </si>
  <si>
    <t xml:space="preserve">Anchor upsell</t>
  </si>
  <si>
    <t xml:space="preserve">Show the biggest option first. The one you want to sell looks reasonable next to it.</t>
  </si>
  <si>
    <t xml:space="preserve">an upsell of $1,000 or more, where the anchor has room above it</t>
  </si>
  <si>
    <t xml:space="preserve">1. Design the top tier as if someone will buy it</t>
  </si>
  <si>
    <t xml:space="preserve">2. Price it at least three times the real upsell</t>
  </si>
  <si>
    <t xml:space="preserve">3. Present it first, then the real one</t>
  </si>
  <si>
    <t xml:space="preserve">4. Count anchor buyers separately</t>
  </si>
  <si>
    <t xml:space="preserve">5. Raise the real upsell's price if the take rate holds</t>
  </si>
  <si>
    <t xml:space="preserve">Rollover upsell</t>
  </si>
  <si>
    <t xml:space="preserve">Credit what they just paid toward the bigger thing. The first purchase becomes a deposit.</t>
  </si>
  <si>
    <t xml:space="preserve">a paid attraction offer to roll over; an upsell price</t>
  </si>
  <si>
    <t xml:space="preserve">1. State the credit: 'the [attraction price] you paid comes off'</t>
  </si>
  <si>
    <t xml:space="preserve">2. Set a deadline on the credit (this week, this visit)</t>
  </si>
  <si>
    <t xml:space="preserve">3. Show the upsell price after the credit</t>
  </si>
  <si>
    <t xml:space="preserve">4. Track rollover takers against ordinary takers</t>
  </si>
  <si>
    <t xml:space="preserve">5. Widen the credit if the take rate is low</t>
  </si>
  <si>
    <t xml:space="preserve">The same offer split over time. Usually the first thing to try.</t>
  </si>
  <si>
    <t xml:space="preserve">an upsell of $300 or more, where splitting helps</t>
  </si>
  <si>
    <t xml:space="preserve">1. Set the number of payments (three is common)</t>
  </si>
  <si>
    <t xml:space="preserve">2. Make the first payment the largest</t>
  </si>
  <si>
    <t xml:space="preserve">3. Put every plan on automatic billing</t>
  </si>
  <si>
    <t xml:space="preserve">4. Offer it only after the no, never on the price list</t>
  </si>
  <si>
    <t xml:space="preserve">5. Track plans to their last payment</t>
  </si>
  <si>
    <t xml:space="preserve">Trial with a string</t>
  </si>
  <si>
    <t xml:space="preserve">Try it, and pay if you keep it, or pay a penalty if you do not do the work.</t>
  </si>
  <si>
    <t xml:space="preserve">a continuity offer for the trial to lead into</t>
  </si>
  <si>
    <t xml:space="preserve">1. Set the trial length (shorter than the first win)</t>
  </si>
  <si>
    <t xml:space="preserve">2. Write the string: the payment or penalty, and its trigger</t>
  </si>
  <si>
    <t xml:space="preserve">3. Take card details up front</t>
  </si>
  <si>
    <t xml:space="preserve">4. Check in before the trial ends</t>
  </si>
  <si>
    <t xml:space="preserve">5. Count trial starts, conversions and penalties</t>
  </si>
  <si>
    <t xml:space="preserve">Lighter version</t>
  </si>
  <si>
    <t xml:space="preserve">Fewer parts, less access, less support, same result more slowly. Keep the promise, shrink the package.</t>
  </si>
  <si>
    <t xml:space="preserve">an upsell with a delivery cost you can shrink</t>
  </si>
  <si>
    <t xml:space="preserve">1. List the parts of the upsell</t>
  </si>
  <si>
    <t xml:space="preserve">2. Remove the ones that cost you most and the customer least</t>
  </si>
  <si>
    <t xml:space="preserve">3. Price it between the attraction offer and the upsell</t>
  </si>
  <si>
    <t xml:space="preserve">4. Keep the string to continuity</t>
  </si>
  <si>
    <t xml:space="preserve">5. Compare its take rate with the payment plan's</t>
  </si>
  <si>
    <t xml:space="preserve">Deposit and decide</t>
  </si>
  <si>
    <t xml:space="preserve">A small payment to hold the price or the spot, decided later. Cash today, and a reason to come back.</t>
  </si>
  <si>
    <t xml:space="preserve">a cap per run, so holding a spot means something</t>
  </si>
  <si>
    <t xml:space="preserve">1. Set the deposit (5 to 10% of the upsell)</t>
  </si>
  <si>
    <t xml:space="preserve">2. Say what it holds: the price, the spot, the bonus</t>
  </si>
  <si>
    <t xml:space="preserve">3. Set the decide-by date</t>
  </si>
  <si>
    <t xml:space="preserve">4. Follow up the day before</t>
  </si>
  <si>
    <t xml:space="preserve">5. Count deposits, conversions and refunds</t>
  </si>
  <si>
    <t xml:space="preserve">Bonus for committing</t>
  </si>
  <si>
    <t xml:space="preserve">A gift, worth a lot to them and little to you, for joining the ongoing plan today.</t>
  </si>
  <si>
    <t xml:space="preserve">a continuity join rate under 70%, so the first no is the problem</t>
  </si>
  <si>
    <t xml:space="preserve">1. Pick a bonus that costs you under one month's gross profit</t>
  </si>
  <si>
    <t xml:space="preserve">2. Make it available only at joining</t>
  </si>
  <si>
    <t xml:space="preserve">3. Say it in the pitch</t>
  </si>
  <si>
    <t xml:space="preserve">4. Count join rates with and without it</t>
  </si>
  <si>
    <t xml:space="preserve">5. Rotate it every quarter</t>
  </si>
  <si>
    <t xml:space="preserve">Discount for a longer term</t>
  </si>
  <si>
    <t xml:space="preserve">Pay for a year, get it cheaper. Cash forward, churn removed.</t>
  </si>
  <si>
    <t xml:space="preserve">members staying six months or more on average, so a year is believable</t>
  </si>
  <si>
    <t xml:space="preserve">1. Price the year at ten months or so</t>
  </si>
  <si>
    <t xml:space="preserve">2. Offer it at joining and at month three</t>
  </si>
  <si>
    <t xml:space="preserve">3. Show the monthly price beside it</t>
  </si>
  <si>
    <t xml:space="preserve">4. Count yearly takers</t>
  </si>
  <si>
    <t xml:space="preserve">5. Put the cash in the 30-day figure on level C13</t>
  </si>
  <si>
    <t xml:space="preserve">Waived fee</t>
  </si>
  <si>
    <t xml:space="preserve">The setup or first month is free if they join now. The fee exists so waiving it means something.</t>
  </si>
  <si>
    <t xml:space="preserve">a continuity offer that makes a gross profit each month</t>
  </si>
  <si>
    <t xml:space="preserve">1. Add a real setup fee to the price list</t>
  </si>
  <si>
    <t xml:space="preserve">2. Waive it for joining on the day</t>
  </si>
  <si>
    <t xml:space="preserve">3. Bill the first month at joining</t>
  </si>
  <si>
    <t xml:space="preserve">4. Count join rates before and after</t>
  </si>
  <si>
    <t xml:space="preserve">5. Keep the fee on the list</t>
  </si>
  <si>
    <t xml:space="preserve">Bonuses over time</t>
  </si>
  <si>
    <t xml:space="preserve">Something new arrives in month two, three and six. Reasons to stay, not just reasons to join.</t>
  </si>
  <si>
    <t xml:space="preserve">monthly churn of 5% or more, so staying is the problem</t>
  </si>
  <si>
    <t xml:space="preserve">1. List one thing to add in months two, three and six</t>
  </si>
  <si>
    <t xml:space="preserve">2. Announce the schedule at joining</t>
  </si>
  <si>
    <t xml:space="preserve">3. Deliver on the day, and say so</t>
  </si>
  <si>
    <t xml:space="preserve">4. Watch churn by cohort</t>
  </si>
  <si>
    <t xml:space="preserve">5. Move the best bonus earlier if month two leaks</t>
  </si>
  <si>
    <t xml:space="preserve">The ongoing plan is the normal thing to buy; the one-off is the exception you have to ask for.</t>
  </si>
  <si>
    <t xml:space="preserve">a continuity price</t>
  </si>
  <si>
    <t xml:space="preserve">1. Put the ongoing plan first on every price list</t>
  </si>
  <si>
    <t xml:space="preserve">2. Price the one-off higher per month than the plan</t>
  </si>
  <si>
    <t xml:space="preserve">3. Train the script to assume the plan</t>
  </si>
  <si>
    <t xml:space="preserve">4. Count how many ask for the one-off</t>
  </si>
  <si>
    <t xml:space="preserve">5. Remove the one-off if under one in ten ask</t>
  </si>
</sst>
</file>

<file path=xl/styles.xml><?xml version="1.0" encoding="utf-8"?>
<styleSheet xmlns="http://schemas.openxmlformats.org/spreadsheetml/2006/main">
  <numFmts count="8">
    <numFmt numFmtId="164" formatCode="General"/>
    <numFmt numFmtId="165" formatCode="General"/>
    <numFmt numFmtId="166" formatCode="0.0\x"/>
    <numFmt numFmtId="167" formatCode="\$#,##0.00;&quot;($&quot;#,##0.00\);\-"/>
    <numFmt numFmtId="168" formatCode="#,##0"/>
    <numFmt numFmtId="169" formatCode="0.0%"/>
    <numFmt numFmtId="170" formatCode="\$#,##0;&quot;($&quot;#,##0\);\-"/>
    <numFmt numFmtId="171" formatCode="0.0"/>
  </numFmts>
  <fonts count="27">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sz val="11"/>
      <color theme="1"/>
      <name val="Arial"/>
      <family val="2"/>
      <charset val="1"/>
    </font>
    <font>
      <b val="true"/>
      <sz val="12"/>
      <color rgb="FF000000"/>
      <name val="Arial"/>
      <family val="0"/>
      <charset val="1"/>
    </font>
    <font>
      <b val="true"/>
      <sz val="11"/>
      <color rgb="FF000000"/>
      <name val="Arial"/>
      <family val="0"/>
      <charset val="1"/>
    </font>
    <font>
      <b val="true"/>
      <sz val="11"/>
      <color rgb="FF0000FF"/>
      <name val="Arial"/>
      <family val="0"/>
      <charset val="1"/>
    </font>
    <font>
      <i val="true"/>
      <sz val="9"/>
      <color rgb="FF6B6B6B"/>
      <name val="Arial"/>
      <family val="0"/>
      <charset val="1"/>
    </font>
    <font>
      <sz val="10"/>
      <color rgb="FF0000FF"/>
      <name val="Arial"/>
      <family val="0"/>
      <charset val="1"/>
    </font>
    <font>
      <b val="true"/>
      <sz val="10"/>
      <color rgb="FF1F2A44"/>
      <name val="Arial"/>
      <family val="0"/>
      <charset val="1"/>
    </font>
    <font>
      <sz val="10"/>
      <color rgb="FF6B6B6B"/>
      <name val="Arial"/>
      <family val="0"/>
      <charset val="1"/>
    </font>
    <font>
      <sz val="9"/>
      <color rgb="FF6B6B6B"/>
      <name val="Arial"/>
      <family val="0"/>
      <charset val="1"/>
    </font>
    <font>
      <b val="true"/>
      <sz val="10"/>
      <color rgb="FF000000"/>
      <name val="Arial"/>
      <family val="0"/>
      <charset val="1"/>
    </font>
    <font>
      <b val="true"/>
      <sz val="14"/>
      <color rgb="FF008000"/>
      <name val="Arial"/>
      <family val="0"/>
      <charset val="1"/>
    </font>
    <font>
      <b val="true"/>
      <sz val="16"/>
      <color rgb="FFFFFFFF"/>
      <name val="Arial"/>
      <family val="0"/>
      <charset val="1"/>
    </font>
    <font>
      <sz val="10"/>
      <color rgb="FF333333"/>
      <name val="Arial"/>
      <family val="0"/>
      <charset val="1"/>
    </font>
    <font>
      <sz val="10"/>
      <color rgb="FF1F2A44"/>
      <name val="Arial"/>
      <family val="0"/>
      <charset val="1"/>
    </font>
    <font>
      <b val="true"/>
      <sz val="12"/>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8000"/>
      <name val="Arial"/>
      <family val="0"/>
      <charset val="1"/>
    </font>
    <font>
      <sz val="10"/>
      <color rgb="FF000000"/>
      <name val="Arial"/>
      <family val="0"/>
      <charset val="1"/>
    </font>
    <font>
      <b val="true"/>
      <sz val="10"/>
      <color rgb="FF008000"/>
      <name val="Arial"/>
      <family val="0"/>
      <charset val="1"/>
    </font>
  </fonts>
  <fills count="11">
    <fill>
      <patternFill patternType="none"/>
    </fill>
    <fill>
      <patternFill patternType="gray125"/>
    </fill>
    <fill>
      <patternFill patternType="solid">
        <fgColor rgb="FF1F2A44"/>
        <bgColor rgb="FF333333"/>
      </patternFill>
    </fill>
    <fill>
      <patternFill patternType="solid">
        <fgColor rgb="FFFFFF00"/>
        <bgColor rgb="FFFFFF00"/>
      </patternFill>
    </fill>
    <fill>
      <patternFill patternType="solid">
        <fgColor rgb="FFF3F4F6"/>
        <bgColor rgb="FFE8EEF9"/>
      </patternFill>
    </fill>
    <fill>
      <patternFill patternType="solid">
        <fgColor rgb="FFE8EEF9"/>
        <bgColor rgb="FFEFEAFB"/>
      </patternFill>
    </fill>
    <fill>
      <patternFill patternType="solid">
        <fgColor rgb="FFE6F4EA"/>
        <bgColor rgb="FFE8EEF9"/>
      </patternFill>
    </fill>
    <fill>
      <patternFill patternType="solid">
        <fgColor rgb="FFFDF1E1"/>
        <bgColor rgb="FFFBF3D9"/>
      </patternFill>
    </fill>
    <fill>
      <patternFill patternType="solid">
        <fgColor rgb="FFEFEAFB"/>
        <bgColor rgb="FFE8EEF9"/>
      </patternFill>
    </fill>
    <fill>
      <patternFill patternType="solid">
        <fgColor rgb="FFFBF3D9"/>
        <bgColor rgb="FFFDF1E1"/>
      </patternFill>
    </fill>
    <fill>
      <patternFill patternType="solid">
        <fgColor rgb="FF3B4A6B"/>
        <bgColor rgb="FF333333"/>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7" fontId="11" fillId="3" borderId="1" xfId="0" applyFont="true" applyBorder="true" applyAlignment="true" applyProtection="false">
      <alignment horizontal="general" vertical="top" textRotation="0" wrapText="true" indent="0" shrinkToFit="false"/>
      <protection locked="true" hidden="false"/>
    </xf>
    <xf numFmtId="167" fontId="14" fillId="0" borderId="1" xfId="0" applyFont="true" applyBorder="true" applyAlignment="true" applyProtection="false">
      <alignment horizontal="general" vertical="top" textRotation="0" wrapText="true" indent="0" shrinkToFit="false"/>
      <protection locked="true" hidden="false"/>
    </xf>
    <xf numFmtId="167" fontId="19" fillId="0" borderId="1" xfId="0" applyFont="true" applyBorder="true" applyAlignment="true" applyProtection="false">
      <alignment horizontal="general" vertical="top" textRotation="0" wrapText="true" indent="0" shrinkToFit="false"/>
      <protection locked="true" hidden="false"/>
    </xf>
    <xf numFmtId="168" fontId="11" fillId="3" borderId="1" xfId="0" applyFont="true" applyBorder="true" applyAlignment="true" applyProtection="false">
      <alignment horizontal="general" vertical="top" textRotation="0" wrapText="true" indent="0" shrinkToFit="false"/>
      <protection locked="true" hidden="false"/>
    </xf>
    <xf numFmtId="168" fontId="14" fillId="0" borderId="1" xfId="0" applyFont="true" applyBorder="true" applyAlignment="true" applyProtection="false">
      <alignment horizontal="general" vertical="top" textRotation="0" wrapText="true" indent="0" shrinkToFit="false"/>
      <protection locked="true" hidden="false"/>
    </xf>
    <xf numFmtId="168" fontId="19" fillId="0" borderId="1" xfId="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4" fontId="6" fillId="8" borderId="1" xfId="0" applyFont="tru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false" applyProtection="false">
      <alignment horizontal="general" vertical="bottom" textRotation="0" wrapText="false" indent="0" shrinkToFit="false"/>
      <protection locked="true" hidden="false"/>
    </xf>
    <xf numFmtId="164" fontId="8" fillId="9" borderId="1" xfId="0" applyFont="true" applyBorder="true" applyAlignment="false" applyProtection="false">
      <alignment horizontal="general" vertical="bottom" textRotation="0" wrapText="false" indent="0" shrinkToFit="false"/>
      <protection locked="true" hidden="false"/>
    </xf>
    <xf numFmtId="164" fontId="6" fillId="9" borderId="1" xfId="0" applyFont="true" applyBorder="true" applyAlignment="false" applyProtection="false">
      <alignment horizontal="general" vertical="bottom" textRotation="0" wrapText="false" indent="0" shrinkToFit="false"/>
      <protection locked="true" hidden="false"/>
    </xf>
    <xf numFmtId="164" fontId="10" fillId="9" borderId="1" xfId="0" applyFont="true" applyBorder="true" applyAlignment="false" applyProtection="false">
      <alignment horizontal="general" vertical="bottom" textRotation="0" wrapText="false" indent="0" shrinkToFit="false"/>
      <protection locked="true" hidden="false"/>
    </xf>
    <xf numFmtId="169" fontId="11" fillId="3" borderId="1" xfId="0" applyFont="true" applyBorder="true" applyAlignment="true" applyProtection="false">
      <alignment horizontal="general" vertical="top" textRotation="0" wrapText="true" indent="0" shrinkToFit="false"/>
      <protection locked="true" hidden="false"/>
    </xf>
    <xf numFmtId="169" fontId="14" fillId="0" borderId="1" xfId="0" applyFont="true" applyBorder="true" applyAlignment="true" applyProtection="false">
      <alignment horizontal="general" vertical="top" textRotation="0" wrapText="true" indent="0" shrinkToFit="false"/>
      <protection locked="true" hidden="false"/>
    </xf>
    <xf numFmtId="169" fontId="19" fillId="0" borderId="1" xfId="0" applyFont="true" applyBorder="true" applyAlignment="true" applyProtection="false">
      <alignment horizontal="general" vertical="top" textRotation="0" wrapText="true" indent="0" shrinkToFit="false"/>
      <protection locked="true" hidden="false"/>
    </xf>
    <xf numFmtId="164" fontId="20" fillId="10" borderId="0" xfId="0" applyFont="true" applyBorder="false" applyAlignment="false" applyProtection="false">
      <alignment horizontal="general" vertical="bottom" textRotation="0" wrapText="false" indent="0" shrinkToFit="false"/>
      <protection locked="true" hidden="false"/>
    </xf>
    <xf numFmtId="164" fontId="6" fillId="10" borderId="0" xfId="0" applyFont="true" applyBorder="false" applyAlignment="false" applyProtection="false">
      <alignment horizontal="general" vertical="bottom" textRotation="0" wrapText="false" indent="0" shrinkToFit="false"/>
      <protection locked="true" hidden="false"/>
    </xf>
    <xf numFmtId="170" fontId="12" fillId="0" borderId="1" xfId="0" applyFont="true" applyBorder="true" applyAlignment="true" applyProtection="false">
      <alignment horizontal="right"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71" fontId="12" fillId="0" borderId="1" xfId="0" applyFont="true" applyBorder="true" applyAlignment="true" applyProtection="false">
      <alignment horizontal="right" vertical="bottom" textRotation="0" wrapText="fals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70" fontId="24"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6" fontId="26" fillId="0" borderId="1" xfId="0" applyFont="true" applyBorder="true" applyAlignment="true" applyProtection="false">
      <alignment horizontal="left" vertical="bottom" textRotation="0" wrapText="true" indent="0" shrinkToFit="false"/>
      <protection locked="true" hidden="false"/>
    </xf>
    <xf numFmtId="168" fontId="26" fillId="0" borderId="1" xfId="0" applyFont="true" applyBorder="true" applyAlignment="true" applyProtection="false">
      <alignment horizontal="left" vertical="bottom" textRotation="0" wrapText="true" indent="0" shrinkToFit="false"/>
      <protection locked="true" hidden="false"/>
    </xf>
    <xf numFmtId="170" fontId="26" fillId="0" borderId="1" xfId="0" applyFont="true" applyBorder="true" applyAlignment="true" applyProtection="false">
      <alignment horizontal="left" vertical="bottom" textRotation="0" wrapText="true" indent="0" shrinkToFit="false"/>
      <protection locked="true" hidden="false"/>
    </xf>
    <xf numFmtId="164" fontId="26" fillId="0" borderId="1" xfId="0" applyFont="true" applyBorder="true" applyAlignment="true" applyProtection="false">
      <alignment horizontal="left" vertical="bottom" textRotation="0" wrapText="tru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006100"/>
      </font>
      <fill>
        <patternFill>
          <bgColor rgb="FFC6EFCE"/>
        </patternFill>
      </fill>
    </dxf>
    <dxf>
      <fill>
        <patternFill>
          <bgColor rgb="FFFFEB9C"/>
        </patternFill>
      </fill>
    </dxf>
    <dxf>
      <fill>
        <patternFill>
          <bgColor rgb="FFFFC7CE"/>
        </patternFill>
      </fill>
    </dxf>
    <dxf>
      <font>
        <name val="Arial"/>
        <charset val="1"/>
        <family val="0"/>
        <b val="1"/>
        <color rgb="FF006100"/>
      </font>
    </dxf>
    <dxf>
      <font>
        <name val="Arial"/>
        <charset val="1"/>
        <family val="0"/>
        <b val="1"/>
        <color rgb="FF9C5700"/>
      </font>
    </dxf>
    <dxf>
      <font>
        <name val="Arial"/>
        <charset val="1"/>
        <family val="0"/>
        <b val="1"/>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D9D9D9"/>
      <rgbColor rgb="FF878787"/>
      <rgbColor rgb="FF9999FF"/>
      <rgbColor rgb="FFBE4B48"/>
      <rgbColor rgb="FFFBF3D9"/>
      <rgbColor rgb="FFE6F4E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E8EEF9"/>
      <rgbColor rgb="FFC6EFCE"/>
      <rgbColor rgb="FFFFEB9C"/>
      <rgbColor rgb="FFEFEAFB"/>
      <rgbColor rgb="FFFDF1E1"/>
      <rgbColor rgb="FFF3F4F6"/>
      <rgbColor rgb="FFFFC7CE"/>
      <rgbColor rgb="FF4A7EBB"/>
      <rgbColor rgb="FF33CCCC"/>
      <rgbColor rgb="FF98B855"/>
      <rgbColor rgb="FFFFCC00"/>
      <rgbColor rgb="FFFF9900"/>
      <rgbColor rgb="FFFF6600"/>
      <rgbColor rgb="FF6B6B6B"/>
      <rgbColor rgb="FF969696"/>
      <rgbColor rgb="FF1F2A44"/>
      <rgbColor rgb="FF4F81BD"/>
      <rgbColor rgb="FF006100"/>
      <rgbColor rgb="FF333300"/>
      <rgbColor rgb="FF9C5700"/>
      <rgbColor rgb="FF993366"/>
      <rgbColor rgb="FF3B4A6B"/>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30-day cash, offer by offer</a:t>
            </a:r>
          </a:p>
        </c:rich>
      </c:tx>
      <c:overlay val="0"/>
      <c:spPr>
        <a:noFill/>
        <a:ln w="0">
          <a:noFill/>
        </a:ln>
      </c:spPr>
    </c:title>
    <c:autoTitleDeleted val="0"/>
    <c:plotArea>
      <c:barChart>
        <c:barDir val="col"/>
        <c:grouping val="clustered"/>
        <c:varyColors val="0"/>
        <c:ser>
          <c:idx val="0"/>
          <c:order val="0"/>
          <c:tx>
            <c:strRef>
              <c:f>Dashboard!B61</c:f>
              <c:strCache>
                <c:ptCount val="1"/>
                <c:pt idx="0">
                  <c:v>Gross profit</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Dashboard!$A$62:$A$66</c:f>
              <c:strCache>
                <c:ptCount val="5"/>
                <c:pt idx="0">
                  <c:v>Attraction</c:v>
                </c:pt>
                <c:pt idx="1">
                  <c:v>Upsell</c:v>
                </c:pt>
                <c:pt idx="2">
                  <c:v>Downsell</c:v>
                </c:pt>
                <c:pt idx="3">
                  <c:v>Continuity, month 1</c:v>
                </c:pt>
                <c:pt idx="4">
                  <c:v>Total, 30 days</c:v>
                </c:pt>
              </c:strCache>
            </c:strRef>
          </c:cat>
          <c:val>
            <c:numRef>
              <c:f>Dashboard!$B$62:$B$66</c:f>
              <c:numCache>
                <c:formatCode>\$#,##0;"($"#,##0\);\-</c:formatCode>
                <c:ptCount val="5"/>
                <c:pt idx="0">
                  <c:v>380</c:v>
                </c:pt>
                <c:pt idx="1">
                  <c:v>225</c:v>
                </c:pt>
                <c:pt idx="2">
                  <c:v>45</c:v>
                </c:pt>
                <c:pt idx="3">
                  <c:v>65.4</c:v>
                </c:pt>
                <c:pt idx="4">
                  <c:v>715.4</c:v>
                </c:pt>
              </c:numCache>
            </c:numRef>
          </c:val>
        </c:ser>
        <c:gapWidth val="150"/>
        <c:overlap val="0"/>
        <c:axId val="41366853"/>
        <c:axId val="86075051"/>
      </c:barChart>
      <c:lineChart>
        <c:grouping val="standard"/>
        <c:varyColors val="0"/>
        <c:ser>
          <c:idx val="1"/>
          <c:order val="1"/>
          <c:tx>
            <c:strRef>
              <c:f>Dashboard!C61</c:f>
              <c:strCache>
                <c:ptCount val="1"/>
                <c:pt idx="0">
                  <c:v>Cost of a customer (1x)</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Dashboard!$A$62:$A$66</c:f>
              <c:strCache>
                <c:ptCount val="5"/>
                <c:pt idx="0">
                  <c:v>Attraction</c:v>
                </c:pt>
                <c:pt idx="1">
                  <c:v>Upsell</c:v>
                </c:pt>
                <c:pt idx="2">
                  <c:v>Downsell</c:v>
                </c:pt>
                <c:pt idx="3">
                  <c:v>Continuity, month 1</c:v>
                </c:pt>
                <c:pt idx="4">
                  <c:v>Total, 30 days</c:v>
                </c:pt>
              </c:strCache>
            </c:strRef>
          </c:cat>
          <c:val>
            <c:numRef>
              <c:f>Dashboard!$C$62:$C$66</c:f>
              <c:numCache>
                <c:formatCode>\$#,##0;"($"#,##0\);\-</c:formatCode>
                <c:ptCount val="5"/>
                <c:pt idx="0">
                  <c:v>150</c:v>
                </c:pt>
                <c:pt idx="1">
                  <c:v>150</c:v>
                </c:pt>
                <c:pt idx="2">
                  <c:v>150</c:v>
                </c:pt>
                <c:pt idx="3">
                  <c:v>150</c:v>
                </c:pt>
                <c:pt idx="4">
                  <c:v>150</c:v>
                </c:pt>
              </c:numCache>
            </c:numRef>
          </c:val>
          <c:smooth val="1"/>
        </c:ser>
        <c:ser>
          <c:idx val="2"/>
          <c:order val="2"/>
          <c:tx>
            <c:strRef>
              <c:f>Dashboard!D61</c:f>
              <c:strCache>
                <c:ptCount val="1"/>
                <c:pt idx="0">
                  <c:v>Self-funding line (2x)</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Dashboard!$A$62:$A$66</c:f>
              <c:strCache>
                <c:ptCount val="5"/>
                <c:pt idx="0">
                  <c:v>Attraction</c:v>
                </c:pt>
                <c:pt idx="1">
                  <c:v>Upsell</c:v>
                </c:pt>
                <c:pt idx="2">
                  <c:v>Downsell</c:v>
                </c:pt>
                <c:pt idx="3">
                  <c:v>Continuity, month 1</c:v>
                </c:pt>
                <c:pt idx="4">
                  <c:v>Total, 30 days</c:v>
                </c:pt>
              </c:strCache>
            </c:strRef>
          </c:cat>
          <c:val>
            <c:numRef>
              <c:f>Dashboard!$D$62:$D$66</c:f>
              <c:numCache>
                <c:formatCode>\$#,##0;"($"#,##0\);\-</c:formatCode>
                <c:ptCount val="5"/>
                <c:pt idx="0">
                  <c:v>300</c:v>
                </c:pt>
                <c:pt idx="1">
                  <c:v>300</c:v>
                </c:pt>
                <c:pt idx="2">
                  <c:v>300</c:v>
                </c:pt>
                <c:pt idx="3">
                  <c:v>300</c:v>
                </c:pt>
                <c:pt idx="4">
                  <c:v>300</c:v>
                </c:pt>
              </c:numCache>
            </c:numRef>
          </c:val>
          <c:smooth val="1"/>
        </c:ser>
        <c:hiLowLines>
          <c:spPr>
            <a:ln w="0">
              <a:noFill/>
            </a:ln>
          </c:spPr>
        </c:hiLowLines>
        <c:marker val="0"/>
        <c:axId val="41366853"/>
        <c:axId val="86075051"/>
      </c:lineChart>
      <c:catAx>
        <c:axId val="4136685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75051"/>
        <c:crosses val="autoZero"/>
        <c:auto val="1"/>
        <c:lblAlgn val="ctr"/>
        <c:lblOffset val="100"/>
        <c:noMultiLvlLbl val="0"/>
      </c:catAx>
      <c:valAx>
        <c:axId val="860750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Gross profit per customer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36685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Before, planned, measured</a:t>
            </a:r>
          </a:p>
        </c:rich>
      </c:tx>
      <c:overlay val="0"/>
      <c:spPr>
        <a:noFill/>
        <a:ln w="0">
          <a:noFill/>
        </a:ln>
      </c:spPr>
    </c:title>
    <c:autoTitleDeleted val="0"/>
    <c:plotArea>
      <c:barChart>
        <c:barDir val="col"/>
        <c:grouping val="clustered"/>
        <c:varyColors val="0"/>
        <c:ser>
          <c:idx val="0"/>
          <c:order val="0"/>
          <c:tx>
            <c:strRef>
              <c:f>Dashboard!B81</c:f>
              <c:strCache>
                <c:ptCount val="1"/>
                <c:pt idx="0">
                  <c:v>Cash collected</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Dashboard!$A$82:$A$84</c:f>
              <c:strCache>
                <c:ptCount val="3"/>
                <c:pt idx="0">
                  <c:v>Before (today)</c:v>
                </c:pt>
                <c:pt idx="1">
                  <c:v>Planned</c:v>
                </c:pt>
                <c:pt idx="2">
                  <c:v>Measured</c:v>
                </c:pt>
              </c:strCache>
            </c:strRef>
          </c:cat>
          <c:val>
            <c:numRef>
              <c:f>Dashboard!$B$82:$B$84</c:f>
              <c:numCache>
                <c:formatCode>\$#,##0;"($"#,##0\);\-</c:formatCode>
                <c:ptCount val="3"/>
                <c:pt idx="0">
                  <c:v>199</c:v>
                </c:pt>
                <c:pt idx="1">
                  <c:v>1024.4</c:v>
                </c:pt>
                <c:pt idx="2">
                  <c:v>760</c:v>
                </c:pt>
              </c:numCache>
            </c:numRef>
          </c:val>
        </c:ser>
        <c:gapWidth val="150"/>
        <c:overlap val="0"/>
        <c:axId val="94939744"/>
        <c:axId val="84186474"/>
      </c:barChart>
      <c:lineChart>
        <c:grouping val="standard"/>
        <c:varyColors val="0"/>
        <c:ser>
          <c:idx val="1"/>
          <c:order val="1"/>
          <c:tx>
            <c:strRef>
              <c:f>Dashboard!C81</c:f>
              <c:strCache>
                <c:ptCount val="1"/>
                <c:pt idx="0">
                  <c:v>Cost of a customer</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Dashboard!$A$82:$A$84</c:f>
              <c:strCache>
                <c:ptCount val="3"/>
                <c:pt idx="0">
                  <c:v>Before (today)</c:v>
                </c:pt>
                <c:pt idx="1">
                  <c:v>Planned</c:v>
                </c:pt>
                <c:pt idx="2">
                  <c:v>Measured</c:v>
                </c:pt>
              </c:strCache>
            </c:strRef>
          </c:cat>
          <c:val>
            <c:numRef>
              <c:f>Dashboard!$C$82:$C$84</c:f>
              <c:numCache>
                <c:formatCode>\$#,##0;"($"#,##0\);\-</c:formatCode>
                <c:ptCount val="3"/>
                <c:pt idx="0">
                  <c:v>150</c:v>
                </c:pt>
                <c:pt idx="1">
                  <c:v>150</c:v>
                </c:pt>
                <c:pt idx="2">
                  <c:v>150</c:v>
                </c:pt>
              </c:numCache>
            </c:numRef>
          </c:val>
          <c:smooth val="1"/>
        </c:ser>
        <c:hiLowLines>
          <c:spPr>
            <a:ln w="0">
              <a:noFill/>
            </a:ln>
          </c:spPr>
        </c:hiLowLines>
        <c:marker val="0"/>
        <c:axId val="94939744"/>
        <c:axId val="84186474"/>
      </c:lineChart>
      <c:catAx>
        <c:axId val="949397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186474"/>
        <c:crosses val="autoZero"/>
        <c:auto val="1"/>
        <c:lblAlgn val="ctr"/>
        <c:lblOffset val="100"/>
        <c:noMultiLvlLbl val="0"/>
      </c:catAx>
      <c:valAx>
        <c:axId val="841864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customer, first 30 days</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93974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sequence as a funnel (from 100 leads)</a:t>
            </a:r>
          </a:p>
        </c:rich>
      </c:tx>
      <c:overlay val="0"/>
      <c:spPr>
        <a:noFill/>
        <a:ln w="0">
          <a:noFill/>
        </a:ln>
      </c:spPr>
    </c:title>
    <c:autoTitleDeleted val="0"/>
    <c:plotArea>
      <c:barChart>
        <c:barDir val="bar"/>
        <c:grouping val="clustered"/>
        <c:varyColors val="0"/>
        <c:ser>
          <c:idx val="0"/>
          <c:order val="0"/>
          <c:tx>
            <c:strRef>
              <c:f>Dashboard!B101</c:f>
              <c:strCache>
                <c:ptCount val="1"/>
                <c:pt idx="0">
                  <c:v>People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Dashboard!$A$102:$A$106</c:f>
              <c:strCache>
                <c:ptCount val="5"/>
                <c:pt idx="0">
                  <c:v>Leads</c:v>
                </c:pt>
                <c:pt idx="1">
                  <c:v>Take the attraction offer</c:v>
                </c:pt>
                <c:pt idx="2">
                  <c:v>Take the upsell</c:v>
                </c:pt>
                <c:pt idx="3">
                  <c:v>Take the downsell</c:v>
                </c:pt>
                <c:pt idx="4">
                  <c:v>Join continuity</c:v>
                </c:pt>
              </c:strCache>
            </c:strRef>
          </c:cat>
          <c:val>
            <c:numRef>
              <c:f>Dashboard!$B$102:$B$106</c:f>
              <c:numCache>
                <c:formatCode>0.0</c:formatCode>
                <c:ptCount val="5"/>
                <c:pt idx="0">
                  <c:v>100</c:v>
                </c:pt>
                <c:pt idx="1">
                  <c:v>10</c:v>
                </c:pt>
                <c:pt idx="2">
                  <c:v>2.5</c:v>
                </c:pt>
                <c:pt idx="3">
                  <c:v>3</c:v>
                </c:pt>
                <c:pt idx="4">
                  <c:v>6</c:v>
                </c:pt>
              </c:numCache>
            </c:numRef>
          </c:val>
        </c:ser>
        <c:gapWidth val="150"/>
        <c:overlap val="0"/>
        <c:axId val="38615525"/>
        <c:axId val="47423322"/>
      </c:barChart>
      <c:catAx>
        <c:axId val="3861552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23322"/>
        <c:crosses val="autoZero"/>
        <c:auto val="1"/>
        <c:lblAlgn val="ctr"/>
        <c:lblOffset val="100"/>
        <c:noMultiLvlLbl val="0"/>
      </c:catAx>
      <c:valAx>
        <c:axId val="47423322"/>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155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Customers per month: reinvesting against a flat budget</a:t>
            </a:r>
          </a:p>
        </c:rich>
      </c:tx>
      <c:overlay val="0"/>
      <c:spPr>
        <a:noFill/>
        <a:ln w="0">
          <a:noFill/>
        </a:ln>
      </c:spPr>
    </c:title>
    <c:autoTitleDeleted val="0"/>
    <c:plotArea>
      <c:lineChart>
        <c:grouping val="standard"/>
        <c:varyColors val="0"/>
        <c:ser>
          <c:idx val="0"/>
          <c:order val="0"/>
          <c:tx>
            <c:strRef>
              <c:f>Dashboard!C121</c:f>
              <c:strCache>
                <c:ptCount val="1"/>
                <c:pt idx="0">
                  <c:v>Customers, reinvesting</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Dashboard!$A$122:$A$133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Dashboard!$C$122:$C$133</c:f>
              <c:numCache>
                <c:formatCode>0.0</c:formatCode>
                <c:ptCount val="12"/>
                <c:pt idx="0">
                  <c:v>53.3333333333333</c:v>
                </c:pt>
                <c:pt idx="1">
                  <c:v>80</c:v>
                </c:pt>
                <c:pt idx="2">
                  <c:v>80</c:v>
                </c:pt>
                <c:pt idx="3">
                  <c:v>80</c:v>
                </c:pt>
                <c:pt idx="4">
                  <c:v>80</c:v>
                </c:pt>
                <c:pt idx="5">
                  <c:v>80</c:v>
                </c:pt>
                <c:pt idx="6">
                  <c:v>80</c:v>
                </c:pt>
                <c:pt idx="7">
                  <c:v>80</c:v>
                </c:pt>
                <c:pt idx="8">
                  <c:v>80</c:v>
                </c:pt>
                <c:pt idx="9">
                  <c:v>80</c:v>
                </c:pt>
                <c:pt idx="10">
                  <c:v>80</c:v>
                </c:pt>
                <c:pt idx="11">
                  <c:v>80</c:v>
                </c:pt>
              </c:numCache>
            </c:numRef>
          </c:val>
          <c:smooth val="1"/>
        </c:ser>
        <c:ser>
          <c:idx val="1"/>
          <c:order val="1"/>
          <c:tx>
            <c:strRef>
              <c:f>Dashboard!D121</c:f>
              <c:strCache>
                <c:ptCount val="1"/>
                <c:pt idx="0">
                  <c:v>Customers, flat budget</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Dashboard!$A$122:$A$133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Dashboard!$D$122:$D$133</c:f>
              <c:numCache>
                <c:formatCode>0.0</c:formatCode>
                <c:ptCount val="12"/>
                <c:pt idx="0">
                  <c:v>53.3333333333333</c:v>
                </c:pt>
                <c:pt idx="1">
                  <c:v>53.3333333333333</c:v>
                </c:pt>
                <c:pt idx="2">
                  <c:v>53.3333333333333</c:v>
                </c:pt>
                <c:pt idx="3">
                  <c:v>53.3333333333333</c:v>
                </c:pt>
                <c:pt idx="4">
                  <c:v>53.3333333333333</c:v>
                </c:pt>
                <c:pt idx="5">
                  <c:v>53.3333333333333</c:v>
                </c:pt>
                <c:pt idx="6">
                  <c:v>53.3333333333333</c:v>
                </c:pt>
                <c:pt idx="7">
                  <c:v>53.3333333333333</c:v>
                </c:pt>
                <c:pt idx="8">
                  <c:v>53.3333333333333</c:v>
                </c:pt>
                <c:pt idx="9">
                  <c:v>53.3333333333333</c:v>
                </c:pt>
                <c:pt idx="10">
                  <c:v>53.3333333333333</c:v>
                </c:pt>
                <c:pt idx="11">
                  <c:v>53.3333333333333</c:v>
                </c:pt>
              </c:numCache>
            </c:numRef>
          </c:val>
          <c:smooth val="1"/>
        </c:ser>
        <c:ser>
          <c:idx val="2"/>
          <c:order val="2"/>
          <c:tx>
            <c:strRef>
              <c:f>Dashboard!E121</c:f>
              <c:strCache>
                <c:ptCount val="1"/>
                <c:pt idx="0">
                  <c:v>Capacity</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Dashboard!$A$122:$A$133</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Dashboard!$E$122:$E$133</c:f>
              <c:numCache>
                <c:formatCode>#,##0</c:formatCode>
                <c:ptCount val="12"/>
                <c:pt idx="0">
                  <c:v>80</c:v>
                </c:pt>
                <c:pt idx="1">
                  <c:v>80</c:v>
                </c:pt>
                <c:pt idx="2">
                  <c:v>80</c:v>
                </c:pt>
                <c:pt idx="3">
                  <c:v>80</c:v>
                </c:pt>
                <c:pt idx="4">
                  <c:v>80</c:v>
                </c:pt>
                <c:pt idx="5">
                  <c:v>80</c:v>
                </c:pt>
                <c:pt idx="6">
                  <c:v>80</c:v>
                </c:pt>
                <c:pt idx="7">
                  <c:v>80</c:v>
                </c:pt>
                <c:pt idx="8">
                  <c:v>80</c:v>
                </c:pt>
                <c:pt idx="9">
                  <c:v>80</c:v>
                </c:pt>
                <c:pt idx="10">
                  <c:v>80</c:v>
                </c:pt>
                <c:pt idx="11">
                  <c:v>80</c:v>
                </c:pt>
              </c:numCache>
            </c:numRef>
          </c:val>
          <c:smooth val="1"/>
        </c:ser>
        <c:hiLowLines>
          <c:spPr>
            <a:ln w="0">
              <a:noFill/>
            </a:ln>
          </c:spPr>
        </c:hiLowLines>
        <c:marker val="0"/>
        <c:axId val="13518717"/>
        <c:axId val="22410011"/>
      </c:lineChart>
      <c:catAx>
        <c:axId val="1351871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410011"/>
        <c:crosses val="autoZero"/>
        <c:auto val="1"/>
        <c:lblAlgn val="ctr"/>
        <c:lblOffset val="100"/>
        <c:noMultiLvlLbl val="0"/>
      </c:catAx>
      <c:valAx>
        <c:axId val="224100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New customers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51871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Members left, month by month</a:t>
            </a:r>
          </a:p>
        </c:rich>
      </c:tx>
      <c:overlay val="0"/>
      <c:spPr>
        <a:noFill/>
        <a:ln w="0">
          <a:noFill/>
        </a:ln>
      </c:spPr>
    </c:title>
    <c:autoTitleDeleted val="0"/>
    <c:plotArea>
      <c:lineChart>
        <c:grouping val="standard"/>
        <c:varyColors val="0"/>
        <c:ser>
          <c:idx val="0"/>
          <c:order val="0"/>
          <c:tx>
            <c:strRef>
              <c:f>Dashboard!B141</c:f>
              <c:strCache>
                <c:ptCount val="1"/>
                <c:pt idx="0">
                  <c:v>Members left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Dashboard!$A$142:$A$154</c:f>
              <c:strCache>
                <c:ptCount val="13"/>
                <c:pt idx="0">
                  <c:v>0</c:v>
                </c:pt>
                <c:pt idx="1">
                  <c:v>1</c:v>
                </c:pt>
                <c:pt idx="2">
                  <c:v>2</c:v>
                </c:pt>
                <c:pt idx="3">
                  <c:v>3</c:v>
                </c:pt>
                <c:pt idx="4">
                  <c:v>4</c:v>
                </c:pt>
                <c:pt idx="5">
                  <c:v>5</c:v>
                </c:pt>
                <c:pt idx="6">
                  <c:v>6</c:v>
                </c:pt>
                <c:pt idx="7">
                  <c:v>7</c:v>
                </c:pt>
                <c:pt idx="8">
                  <c:v>8</c:v>
                </c:pt>
                <c:pt idx="9">
                  <c:v>9</c:v>
                </c:pt>
                <c:pt idx="10">
                  <c:v>10</c:v>
                </c:pt>
                <c:pt idx="11">
                  <c:v>11</c:v>
                </c:pt>
                <c:pt idx="12">
                  <c:v>12</c:v>
                </c:pt>
              </c:strCache>
            </c:strRef>
          </c:cat>
          <c:val>
            <c:numRef>
              <c:f>Dashboard!$B$142:$B$154</c:f>
              <c:numCache>
                <c:formatCode>0.0</c:formatCode>
                <c:ptCount val="13"/>
                <c:pt idx="0">
                  <c:v>100</c:v>
                </c:pt>
                <c:pt idx="1">
                  <c:v>92</c:v>
                </c:pt>
                <c:pt idx="2">
                  <c:v>84.64</c:v>
                </c:pt>
                <c:pt idx="3">
                  <c:v>77.8688</c:v>
                </c:pt>
                <c:pt idx="4">
                  <c:v>71.639296</c:v>
                </c:pt>
                <c:pt idx="5">
                  <c:v>65.90815232</c:v>
                </c:pt>
                <c:pt idx="6">
                  <c:v>60.6355001344</c:v>
                </c:pt>
                <c:pt idx="7">
                  <c:v>55.784660123648</c:v>
                </c:pt>
                <c:pt idx="8">
                  <c:v>51.3218873137562</c:v>
                </c:pt>
                <c:pt idx="9">
                  <c:v>47.2161363286557</c:v>
                </c:pt>
                <c:pt idx="10">
                  <c:v>43.4388454223632</c:v>
                </c:pt>
                <c:pt idx="11">
                  <c:v>39.9637377885742</c:v>
                </c:pt>
                <c:pt idx="12">
                  <c:v>36.7666387654882</c:v>
                </c:pt>
              </c:numCache>
            </c:numRef>
          </c:val>
          <c:smooth val="1"/>
        </c:ser>
        <c:hiLowLines>
          <c:spPr>
            <a:ln w="0">
              <a:noFill/>
            </a:ln>
          </c:spPr>
        </c:hiLowLines>
        <c:marker val="0"/>
        <c:axId val="56125492"/>
        <c:axId val="60956254"/>
      </c:lineChart>
      <c:catAx>
        <c:axId val="5612549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956254"/>
        <c:crosses val="autoZero"/>
        <c:auto val="1"/>
        <c:lblAlgn val="ctr"/>
        <c:lblOffset val="100"/>
        <c:noMultiLvlLbl val="0"/>
      </c:catAx>
      <c:valAx>
        <c:axId val="6095625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Of 100 who joined</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1254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coming back against the cost of a customer</a:t>
            </a:r>
          </a:p>
        </c:rich>
      </c:tx>
      <c:overlay val="0"/>
      <c:spPr>
        <a:noFill/>
        <a:ln w="0">
          <a:noFill/>
        </a:ln>
      </c:spPr>
    </c:title>
    <c:autoTitleDeleted val="0"/>
    <c:plotArea>
      <c:lineChart>
        <c:grouping val="standard"/>
        <c:varyColors val="0"/>
        <c:ser>
          <c:idx val="0"/>
          <c:order val="0"/>
          <c:tx>
            <c:strRef>
              <c:f>Dashboard!B161</c:f>
              <c:strCache>
                <c:ptCount val="1"/>
                <c:pt idx="0">
                  <c:v>Cumulative gross profit</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Dashboard!$A$162:$A$192</c:f>
              <c:strCache>
                <c:ptCount val="31"/>
                <c:pt idx="0">
                  <c:v>0</c:v>
                </c:pt>
                <c:pt idx="1">
                  <c:v>3</c:v>
                </c:pt>
                <c:pt idx="2">
                  <c:v>6</c:v>
                </c:pt>
                <c:pt idx="3">
                  <c:v>9</c:v>
                </c:pt>
                <c:pt idx="4">
                  <c:v>12</c:v>
                </c:pt>
                <c:pt idx="5">
                  <c:v>15</c:v>
                </c:pt>
                <c:pt idx="6">
                  <c:v>18</c:v>
                </c:pt>
                <c:pt idx="7">
                  <c:v>21</c:v>
                </c:pt>
                <c:pt idx="8">
                  <c:v>24</c:v>
                </c:pt>
                <c:pt idx="9">
                  <c:v>27</c:v>
                </c:pt>
                <c:pt idx="10">
                  <c:v>30</c:v>
                </c:pt>
                <c:pt idx="11">
                  <c:v>33</c:v>
                </c:pt>
                <c:pt idx="12">
                  <c:v>36</c:v>
                </c:pt>
                <c:pt idx="13">
                  <c:v>39</c:v>
                </c:pt>
                <c:pt idx="14">
                  <c:v>42</c:v>
                </c:pt>
                <c:pt idx="15">
                  <c:v>45</c:v>
                </c:pt>
                <c:pt idx="16">
                  <c:v>48</c:v>
                </c:pt>
                <c:pt idx="17">
                  <c:v>51</c:v>
                </c:pt>
                <c:pt idx="18">
                  <c:v>54</c:v>
                </c:pt>
                <c:pt idx="19">
                  <c:v>57</c:v>
                </c:pt>
                <c:pt idx="20">
                  <c:v>60</c:v>
                </c:pt>
                <c:pt idx="21">
                  <c:v>63</c:v>
                </c:pt>
                <c:pt idx="22">
                  <c:v>66</c:v>
                </c:pt>
                <c:pt idx="23">
                  <c:v>69</c:v>
                </c:pt>
                <c:pt idx="24">
                  <c:v>72</c:v>
                </c:pt>
                <c:pt idx="25">
                  <c:v>75</c:v>
                </c:pt>
                <c:pt idx="26">
                  <c:v>78</c:v>
                </c:pt>
                <c:pt idx="27">
                  <c:v>81</c:v>
                </c:pt>
                <c:pt idx="28">
                  <c:v>84</c:v>
                </c:pt>
                <c:pt idx="29">
                  <c:v>87</c:v>
                </c:pt>
                <c:pt idx="30">
                  <c:v>90</c:v>
                </c:pt>
              </c:strCache>
            </c:strRef>
          </c:cat>
          <c:val>
            <c:numRef>
              <c:f>Dashboard!$B$162:$B$192</c:f>
              <c:numCache>
                <c:formatCode>\$#,##0;"($"#,##0\);\-</c:formatCode>
                <c:ptCount val="31"/>
                <c:pt idx="0">
                  <c:v>380</c:v>
                </c:pt>
                <c:pt idx="1">
                  <c:v>650</c:v>
                </c:pt>
                <c:pt idx="2">
                  <c:v>650</c:v>
                </c:pt>
                <c:pt idx="3">
                  <c:v>650</c:v>
                </c:pt>
                <c:pt idx="4">
                  <c:v>650</c:v>
                </c:pt>
                <c:pt idx="5">
                  <c:v>650</c:v>
                </c:pt>
                <c:pt idx="6">
                  <c:v>650</c:v>
                </c:pt>
                <c:pt idx="7">
                  <c:v>650</c:v>
                </c:pt>
                <c:pt idx="8">
                  <c:v>650</c:v>
                </c:pt>
                <c:pt idx="9">
                  <c:v>650</c:v>
                </c:pt>
                <c:pt idx="10">
                  <c:v>650</c:v>
                </c:pt>
                <c:pt idx="11">
                  <c:v>650</c:v>
                </c:pt>
                <c:pt idx="12">
                  <c:v>650</c:v>
                </c:pt>
                <c:pt idx="13">
                  <c:v>650</c:v>
                </c:pt>
                <c:pt idx="14">
                  <c:v>715.4</c:v>
                </c:pt>
                <c:pt idx="15">
                  <c:v>715.4</c:v>
                </c:pt>
                <c:pt idx="16">
                  <c:v>715.4</c:v>
                </c:pt>
                <c:pt idx="17">
                  <c:v>715.4</c:v>
                </c:pt>
                <c:pt idx="18">
                  <c:v>715.4</c:v>
                </c:pt>
                <c:pt idx="19">
                  <c:v>715.4</c:v>
                </c:pt>
                <c:pt idx="20">
                  <c:v>715.4</c:v>
                </c:pt>
                <c:pt idx="21">
                  <c:v>715.4</c:v>
                </c:pt>
                <c:pt idx="22">
                  <c:v>715.4</c:v>
                </c:pt>
                <c:pt idx="23">
                  <c:v>715.4</c:v>
                </c:pt>
                <c:pt idx="24">
                  <c:v>775.568</c:v>
                </c:pt>
                <c:pt idx="25">
                  <c:v>775.568</c:v>
                </c:pt>
                <c:pt idx="26">
                  <c:v>775.568</c:v>
                </c:pt>
                <c:pt idx="27">
                  <c:v>775.568</c:v>
                </c:pt>
                <c:pt idx="28">
                  <c:v>775.568</c:v>
                </c:pt>
                <c:pt idx="29">
                  <c:v>775.568</c:v>
                </c:pt>
                <c:pt idx="30">
                  <c:v>775.568</c:v>
                </c:pt>
              </c:numCache>
            </c:numRef>
          </c:val>
          <c:smooth val="1"/>
        </c:ser>
        <c:ser>
          <c:idx val="1"/>
          <c:order val="1"/>
          <c:tx>
            <c:strRef>
              <c:f>Dashboard!C161</c:f>
              <c:strCache>
                <c:ptCount val="1"/>
                <c:pt idx="0">
                  <c:v>Cost of a customer</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Dashboard!$A$162:$A$192</c:f>
              <c:strCache>
                <c:ptCount val="31"/>
                <c:pt idx="0">
                  <c:v>0</c:v>
                </c:pt>
                <c:pt idx="1">
                  <c:v>3</c:v>
                </c:pt>
                <c:pt idx="2">
                  <c:v>6</c:v>
                </c:pt>
                <c:pt idx="3">
                  <c:v>9</c:v>
                </c:pt>
                <c:pt idx="4">
                  <c:v>12</c:v>
                </c:pt>
                <c:pt idx="5">
                  <c:v>15</c:v>
                </c:pt>
                <c:pt idx="6">
                  <c:v>18</c:v>
                </c:pt>
                <c:pt idx="7">
                  <c:v>21</c:v>
                </c:pt>
                <c:pt idx="8">
                  <c:v>24</c:v>
                </c:pt>
                <c:pt idx="9">
                  <c:v>27</c:v>
                </c:pt>
                <c:pt idx="10">
                  <c:v>30</c:v>
                </c:pt>
                <c:pt idx="11">
                  <c:v>33</c:v>
                </c:pt>
                <c:pt idx="12">
                  <c:v>36</c:v>
                </c:pt>
                <c:pt idx="13">
                  <c:v>39</c:v>
                </c:pt>
                <c:pt idx="14">
                  <c:v>42</c:v>
                </c:pt>
                <c:pt idx="15">
                  <c:v>45</c:v>
                </c:pt>
                <c:pt idx="16">
                  <c:v>48</c:v>
                </c:pt>
                <c:pt idx="17">
                  <c:v>51</c:v>
                </c:pt>
                <c:pt idx="18">
                  <c:v>54</c:v>
                </c:pt>
                <c:pt idx="19">
                  <c:v>57</c:v>
                </c:pt>
                <c:pt idx="20">
                  <c:v>60</c:v>
                </c:pt>
                <c:pt idx="21">
                  <c:v>63</c:v>
                </c:pt>
                <c:pt idx="22">
                  <c:v>66</c:v>
                </c:pt>
                <c:pt idx="23">
                  <c:v>69</c:v>
                </c:pt>
                <c:pt idx="24">
                  <c:v>72</c:v>
                </c:pt>
                <c:pt idx="25">
                  <c:v>75</c:v>
                </c:pt>
                <c:pt idx="26">
                  <c:v>78</c:v>
                </c:pt>
                <c:pt idx="27">
                  <c:v>81</c:v>
                </c:pt>
                <c:pt idx="28">
                  <c:v>84</c:v>
                </c:pt>
                <c:pt idx="29">
                  <c:v>87</c:v>
                </c:pt>
                <c:pt idx="30">
                  <c:v>90</c:v>
                </c:pt>
              </c:strCache>
            </c:strRef>
          </c:cat>
          <c:val>
            <c:numRef>
              <c:f>Dashboard!$C$162:$C$192</c:f>
              <c:numCache>
                <c:formatCode>\$#,##0;"($"#,##0\);\-</c:formatCode>
                <c:ptCount val="31"/>
                <c:pt idx="0">
                  <c:v>150</c:v>
                </c:pt>
                <c:pt idx="1">
                  <c:v>150</c:v>
                </c:pt>
                <c:pt idx="2">
                  <c:v>150</c:v>
                </c:pt>
                <c:pt idx="3">
                  <c:v>150</c:v>
                </c:pt>
                <c:pt idx="4">
                  <c:v>150</c:v>
                </c:pt>
                <c:pt idx="5">
                  <c:v>150</c:v>
                </c:pt>
                <c:pt idx="6">
                  <c:v>150</c:v>
                </c:pt>
                <c:pt idx="7">
                  <c:v>150</c:v>
                </c:pt>
                <c:pt idx="8">
                  <c:v>150</c:v>
                </c:pt>
                <c:pt idx="9">
                  <c:v>150</c:v>
                </c:pt>
                <c:pt idx="10">
                  <c:v>150</c:v>
                </c:pt>
                <c:pt idx="11">
                  <c:v>150</c:v>
                </c:pt>
                <c:pt idx="12">
                  <c:v>150</c:v>
                </c:pt>
                <c:pt idx="13">
                  <c:v>150</c:v>
                </c:pt>
                <c:pt idx="14">
                  <c:v>150</c:v>
                </c:pt>
                <c:pt idx="15">
                  <c:v>150</c:v>
                </c:pt>
                <c:pt idx="16">
                  <c:v>150</c:v>
                </c:pt>
                <c:pt idx="17">
                  <c:v>150</c:v>
                </c:pt>
                <c:pt idx="18">
                  <c:v>150</c:v>
                </c:pt>
                <c:pt idx="19">
                  <c:v>150</c:v>
                </c:pt>
                <c:pt idx="20">
                  <c:v>150</c:v>
                </c:pt>
                <c:pt idx="21">
                  <c:v>150</c:v>
                </c:pt>
                <c:pt idx="22">
                  <c:v>150</c:v>
                </c:pt>
                <c:pt idx="23">
                  <c:v>150</c:v>
                </c:pt>
                <c:pt idx="24">
                  <c:v>150</c:v>
                </c:pt>
                <c:pt idx="25">
                  <c:v>150</c:v>
                </c:pt>
                <c:pt idx="26">
                  <c:v>150</c:v>
                </c:pt>
                <c:pt idx="27">
                  <c:v>150</c:v>
                </c:pt>
                <c:pt idx="28">
                  <c:v>150</c:v>
                </c:pt>
                <c:pt idx="29">
                  <c:v>150</c:v>
                </c:pt>
                <c:pt idx="30">
                  <c:v>150</c:v>
                </c:pt>
              </c:numCache>
            </c:numRef>
          </c:val>
          <c:smooth val="1"/>
        </c:ser>
        <c:hiLowLines>
          <c:spPr>
            <a:ln w="0">
              <a:noFill/>
            </a:ln>
          </c:spPr>
        </c:hiLowLines>
        <c:marker val="0"/>
        <c:axId val="83666938"/>
        <c:axId val="27642561"/>
      </c:lineChart>
      <c:catAx>
        <c:axId val="8366693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642561"/>
        <c:crosses val="autoZero"/>
        <c:auto val="1"/>
        <c:lblAlgn val="ctr"/>
        <c:lblOffset val="100"/>
        <c:noMultiLvlLbl val="0"/>
      </c:catAx>
      <c:valAx>
        <c:axId val="2764256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per customer</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66693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model's health, six ways</a:t>
            </a:r>
          </a:p>
        </c:rich>
      </c:tx>
      <c:overlay val="0"/>
      <c:spPr>
        <a:noFill/>
        <a:ln w="0">
          <a:noFill/>
        </a:ln>
      </c:spPr>
    </c:title>
    <c:autoTitleDeleted val="0"/>
    <c:plotArea>
      <c:radarChart>
        <c:radarStyle val="filled"/>
        <c:varyColors val="0"/>
        <c:ser>
          <c:idx val="0"/>
          <c:order val="0"/>
          <c:tx>
            <c:strRef>
              <c:f>Dashboard!D197</c:f>
              <c:strCache>
                <c:ptCount val="1"/>
                <c:pt idx="0">
                  <c:v>Share of target</c:v>
                </c:pt>
              </c:strCache>
            </c:strRef>
          </c:tx>
          <c:spPr>
            <a:solidFill>
              <a:srgbClr val="4f81bd"/>
            </a:solidFill>
            <a:ln w="0">
              <a:noFill/>
            </a:ln>
          </c:spP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Dashboard!$A$198:$A$203</c:f>
              <c:strCache>
                <c:ptCount val="6"/>
                <c:pt idx="0">
                  <c:v>Margin</c:v>
                </c:pt>
                <c:pt idx="1">
                  <c:v>30-day ratio</c:v>
                </c:pt>
                <c:pt idx="2">
                  <c:v>LTGP to CAC</c:v>
                </c:pt>
                <c:pt idx="3">
                  <c:v>Upsell take</c:v>
                </c:pt>
                <c:pt idx="4">
                  <c:v>Monthly retention</c:v>
                </c:pt>
                <c:pt idx="5">
                  <c:v>Lead conversion</c:v>
                </c:pt>
              </c:strCache>
            </c:strRef>
          </c:cat>
          <c:val>
            <c:numRef>
              <c:f>Dashboard!$D$198:$D$203</c:f>
              <c:numCache>
                <c:formatCode>0.0%</c:formatCode>
                <c:ptCount val="6"/>
                <c:pt idx="0">
                  <c:v>1</c:v>
                </c:pt>
                <c:pt idx="1">
                  <c:v>1</c:v>
                </c:pt>
                <c:pt idx="2">
                  <c:v>1</c:v>
                </c:pt>
                <c:pt idx="3">
                  <c:v>0.833333333333333</c:v>
                </c:pt>
                <c:pt idx="4">
                  <c:v>0.968421052631579</c:v>
                </c:pt>
                <c:pt idx="5">
                  <c:v>0.5</c:v>
                </c:pt>
              </c:numCache>
            </c:numRef>
          </c:val>
        </c:ser>
        <c:axId val="5134870"/>
        <c:axId val="63161298"/>
      </c:radarChart>
      <c:catAx>
        <c:axId val="5134870"/>
        <c:scaling>
          <c:orientation val="maxMin"/>
        </c:scaling>
        <c:delete val="0"/>
        <c:axPos val="b"/>
        <c:numFmt formatCode="General" sourceLinked="1"/>
        <c:majorTickMark val="none"/>
        <c:minorTickMark val="none"/>
        <c:tickLblPos val="nextTo"/>
        <c:spPr>
          <a:ln w="9360">
            <a:noFill/>
          </a:ln>
        </c:spPr>
        <c:txPr>
          <a:bodyPr/>
          <a:lstStyle/>
          <a:p>
            <a:pPr>
              <a:defRPr b="0" sz="1000" spc="-1" strike="noStrike">
                <a:solidFill>
                  <a:srgbClr val="000000"/>
                </a:solidFill>
                <a:latin typeface="Calibri"/>
              </a:defRPr>
            </a:pPr>
          </a:p>
        </c:txPr>
        <c:crossAx val="63161298"/>
        <c:crosses val="autoZero"/>
        <c:auto val="1"/>
        <c:lblAlgn val="ctr"/>
        <c:lblOffset val="100"/>
        <c:noMultiLvlLbl val="0"/>
      </c:catAx>
      <c:valAx>
        <c:axId val="63161298"/>
        <c:scaling>
          <c:orientation val="minMax"/>
          <c:max val="1"/>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34870"/>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58</xdr:row>
      <xdr:rowOff>131040</xdr:rowOff>
    </xdr:from>
    <xdr:to>
      <xdr:col>16</xdr:col>
      <xdr:colOff>409320</xdr:colOff>
      <xdr:row>75</xdr:row>
      <xdr:rowOff>132120</xdr:rowOff>
    </xdr:to>
    <xdr:graphicFrame>
      <xdr:nvGraphicFramePr>
        <xdr:cNvPr id="0" name="Chart 1"/>
        <xdr:cNvGraphicFramePr/>
      </xdr:nvGraphicFramePr>
      <xdr:xfrm>
        <a:off x="15694200" y="185547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78</xdr:row>
      <xdr:rowOff>130680</xdr:rowOff>
    </xdr:from>
    <xdr:to>
      <xdr:col>16</xdr:col>
      <xdr:colOff>409320</xdr:colOff>
      <xdr:row>95</xdr:row>
      <xdr:rowOff>131760</xdr:rowOff>
    </xdr:to>
    <xdr:graphicFrame>
      <xdr:nvGraphicFramePr>
        <xdr:cNvPr id="1" name="Chart 2"/>
        <xdr:cNvGraphicFramePr/>
      </xdr:nvGraphicFramePr>
      <xdr:xfrm>
        <a:off x="15694200" y="22364640"/>
        <a:ext cx="647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98</xdr:row>
      <xdr:rowOff>131040</xdr:rowOff>
    </xdr:from>
    <xdr:to>
      <xdr:col>16</xdr:col>
      <xdr:colOff>409320</xdr:colOff>
      <xdr:row>115</xdr:row>
      <xdr:rowOff>132120</xdr:rowOff>
    </xdr:to>
    <xdr:graphicFrame>
      <xdr:nvGraphicFramePr>
        <xdr:cNvPr id="2" name="Chart 3"/>
        <xdr:cNvGraphicFramePr/>
      </xdr:nvGraphicFramePr>
      <xdr:xfrm>
        <a:off x="15694200" y="26174880"/>
        <a:ext cx="64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118</xdr:row>
      <xdr:rowOff>131040</xdr:rowOff>
    </xdr:from>
    <xdr:to>
      <xdr:col>16</xdr:col>
      <xdr:colOff>409320</xdr:colOff>
      <xdr:row>135</xdr:row>
      <xdr:rowOff>132120</xdr:rowOff>
    </xdr:to>
    <xdr:graphicFrame>
      <xdr:nvGraphicFramePr>
        <xdr:cNvPr id="3" name="Chart 4"/>
        <xdr:cNvGraphicFramePr/>
      </xdr:nvGraphicFramePr>
      <xdr:xfrm>
        <a:off x="15694200" y="29984760"/>
        <a:ext cx="647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138</xdr:row>
      <xdr:rowOff>130680</xdr:rowOff>
    </xdr:from>
    <xdr:to>
      <xdr:col>16</xdr:col>
      <xdr:colOff>409320</xdr:colOff>
      <xdr:row>155</xdr:row>
      <xdr:rowOff>131760</xdr:rowOff>
    </xdr:to>
    <xdr:graphicFrame>
      <xdr:nvGraphicFramePr>
        <xdr:cNvPr id="4" name="Chart 5"/>
        <xdr:cNvGraphicFramePr/>
      </xdr:nvGraphicFramePr>
      <xdr:xfrm>
        <a:off x="15694200" y="33794640"/>
        <a:ext cx="647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0</xdr:colOff>
      <xdr:row>158</xdr:row>
      <xdr:rowOff>131040</xdr:rowOff>
    </xdr:from>
    <xdr:to>
      <xdr:col>16</xdr:col>
      <xdr:colOff>409320</xdr:colOff>
      <xdr:row>175</xdr:row>
      <xdr:rowOff>132120</xdr:rowOff>
    </xdr:to>
    <xdr:graphicFrame>
      <xdr:nvGraphicFramePr>
        <xdr:cNvPr id="5" name="Chart 6"/>
        <xdr:cNvGraphicFramePr/>
      </xdr:nvGraphicFramePr>
      <xdr:xfrm>
        <a:off x="15694200" y="37604880"/>
        <a:ext cx="647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0</xdr:colOff>
      <xdr:row>194</xdr:row>
      <xdr:rowOff>130680</xdr:rowOff>
    </xdr:from>
    <xdr:to>
      <xdr:col>16</xdr:col>
      <xdr:colOff>409320</xdr:colOff>
      <xdr:row>211</xdr:row>
      <xdr:rowOff>131760</xdr:rowOff>
    </xdr:to>
    <xdr:graphicFrame>
      <xdr:nvGraphicFramePr>
        <xdr:cNvPr id="6" name="Chart 7"/>
        <xdr:cNvGraphicFramePr/>
      </xdr:nvGraphicFramePr>
      <xdr:xfrm>
        <a:off x="15694200" y="44786520"/>
        <a:ext cx="647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7" min="2" style="0" width="14"/>
    <col collapsed="false" customWidth="true" hidden="false" outlineLevel="0" max="8" min="8" style="0" width="40"/>
  </cols>
  <sheetData>
    <row r="1" customFormat="false" ht="22.0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c r="B3" s="3"/>
      <c r="C3" s="3"/>
      <c r="D3" s="3"/>
      <c r="E3" s="3"/>
      <c r="F3" s="3"/>
      <c r="G3" s="3"/>
      <c r="H3" s="3"/>
    </row>
    <row r="4" customFormat="false" ht="15" hidden="false" customHeight="false" outlineLevel="0" collapsed="false">
      <c r="A4" s="4" t="s">
        <v>2</v>
      </c>
      <c r="B4" s="3"/>
      <c r="C4" s="3"/>
      <c r="D4" s="3"/>
      <c r="E4" s="3"/>
      <c r="F4" s="3"/>
      <c r="G4" s="3"/>
      <c r="H4" s="3"/>
    </row>
    <row r="5" customFormat="false" ht="30" hidden="false" customHeight="true" outlineLevel="0" collapsed="false">
      <c r="A5" s="5" t="s">
        <v>3</v>
      </c>
      <c r="B5" s="5"/>
      <c r="C5" s="5"/>
      <c r="D5" s="5"/>
      <c r="E5" s="5"/>
      <c r="F5" s="5"/>
      <c r="G5" s="5"/>
      <c r="H5" s="5"/>
    </row>
    <row r="6" customFormat="false" ht="30" hidden="false" customHeight="true" outlineLevel="0" collapsed="false">
      <c r="A6" s="5" t="s">
        <v>4</v>
      </c>
      <c r="B6" s="5"/>
      <c r="C6" s="5"/>
      <c r="D6" s="5"/>
      <c r="E6" s="5"/>
      <c r="F6" s="5"/>
      <c r="G6" s="5"/>
      <c r="H6" s="5"/>
    </row>
    <row r="7" customFormat="false" ht="30" hidden="false" customHeight="true" outlineLevel="0" collapsed="false">
      <c r="A7" s="5" t="s">
        <v>5</v>
      </c>
      <c r="B7" s="5"/>
      <c r="C7" s="5"/>
      <c r="D7" s="5"/>
      <c r="E7" s="5"/>
      <c r="F7" s="5"/>
      <c r="G7" s="5"/>
      <c r="H7" s="5"/>
    </row>
    <row r="8" customFormat="false" ht="30" hidden="false" customHeight="true" outlineLevel="0" collapsed="false">
      <c r="A8" s="5" t="s">
        <v>6</v>
      </c>
      <c r="B8" s="5"/>
      <c r="C8" s="5"/>
      <c r="D8" s="5"/>
      <c r="E8" s="5"/>
      <c r="F8" s="5"/>
      <c r="G8" s="5"/>
      <c r="H8" s="5"/>
    </row>
    <row r="9" customFormat="false" ht="30" hidden="false" customHeight="true" outlineLevel="0" collapsed="false">
      <c r="A9" s="5" t="s">
        <v>7</v>
      </c>
      <c r="B9" s="5"/>
      <c r="C9" s="5"/>
      <c r="D9" s="5"/>
      <c r="E9" s="5"/>
      <c r="F9" s="5"/>
      <c r="G9" s="5"/>
      <c r="H9" s="5"/>
    </row>
    <row r="10" customFormat="false" ht="15" hidden="false" customHeight="false" outlineLevel="0" collapsed="false">
      <c r="A10" s="3"/>
      <c r="B10" s="3"/>
      <c r="C10" s="3"/>
      <c r="D10" s="3"/>
      <c r="E10" s="3"/>
      <c r="F10" s="3"/>
      <c r="G10" s="3"/>
      <c r="H10" s="3"/>
    </row>
    <row r="11" customFormat="false" ht="30" hidden="false" customHeight="true" outlineLevel="0" collapsed="false">
      <c r="A11" s="6" t="s">
        <v>8</v>
      </c>
      <c r="B11" s="7" t="s">
        <v>9</v>
      </c>
      <c r="C11" s="8" t="s">
        <v>10</v>
      </c>
      <c r="D11" s="8"/>
      <c r="E11" s="8"/>
      <c r="F11" s="8"/>
      <c r="G11" s="8"/>
      <c r="H11" s="8"/>
    </row>
    <row r="12" customFormat="false" ht="15" hidden="false" customHeight="false" outlineLevel="0" collapsed="false">
      <c r="A12" s="3"/>
      <c r="B12" s="3"/>
      <c r="C12" s="3"/>
      <c r="D12" s="3"/>
      <c r="E12" s="3"/>
      <c r="F12" s="3"/>
      <c r="G12" s="3"/>
      <c r="H12" s="3"/>
    </row>
    <row r="13" customFormat="false" ht="15" hidden="false" customHeight="false" outlineLevel="0" collapsed="false">
      <c r="A13" s="4" t="s">
        <v>11</v>
      </c>
      <c r="B13" s="3"/>
      <c r="C13" s="3"/>
      <c r="D13" s="3"/>
      <c r="E13" s="3"/>
      <c r="F13" s="3"/>
      <c r="G13" s="3"/>
      <c r="H13" s="3"/>
    </row>
    <row r="14" customFormat="false" ht="15" hidden="false" customHeight="false" outlineLevel="0" collapsed="false">
      <c r="A14" s="9" t="s">
        <v>12</v>
      </c>
      <c r="B14" s="10" t="s">
        <v>13</v>
      </c>
      <c r="C14" s="10"/>
      <c r="D14" s="10"/>
      <c r="E14" s="10"/>
      <c r="F14" s="10"/>
      <c r="G14" s="10"/>
      <c r="H14" s="10"/>
    </row>
    <row r="15" customFormat="false" ht="15" hidden="false" customHeight="false" outlineLevel="0" collapsed="false">
      <c r="A15" s="11" t="s">
        <v>14</v>
      </c>
      <c r="B15" s="10" t="s">
        <v>15</v>
      </c>
      <c r="C15" s="10"/>
      <c r="D15" s="10"/>
      <c r="E15" s="10"/>
      <c r="F15" s="10"/>
      <c r="G15" s="10"/>
      <c r="H15" s="10"/>
    </row>
    <row r="16" customFormat="false" ht="15" hidden="false" customHeight="false" outlineLevel="0" collapsed="false">
      <c r="A16" s="12" t="s">
        <v>16</v>
      </c>
      <c r="B16" s="10" t="s">
        <v>17</v>
      </c>
      <c r="C16" s="10"/>
      <c r="D16" s="10"/>
      <c r="E16" s="10"/>
      <c r="F16" s="10"/>
      <c r="G16" s="10"/>
      <c r="H16" s="10"/>
    </row>
    <row r="17" customFormat="false" ht="15" hidden="false" customHeight="false" outlineLevel="0" collapsed="false">
      <c r="A17" s="13" t="s">
        <v>18</v>
      </c>
      <c r="B17" s="10" t="s">
        <v>19</v>
      </c>
      <c r="C17" s="10"/>
      <c r="D17" s="10"/>
      <c r="E17" s="10"/>
      <c r="F17" s="10"/>
      <c r="G17" s="10"/>
      <c r="H17" s="10"/>
    </row>
    <row r="18" customFormat="false" ht="15" hidden="false" customHeight="false" outlineLevel="0" collapsed="false">
      <c r="A18" s="3"/>
      <c r="B18" s="3"/>
      <c r="C18" s="3"/>
      <c r="D18" s="3"/>
      <c r="E18" s="3"/>
      <c r="F18" s="3"/>
      <c r="G18" s="3"/>
      <c r="H18" s="3"/>
    </row>
    <row r="19" customFormat="false" ht="15" hidden="false" customHeight="false" outlineLevel="0" collapsed="false">
      <c r="A19" s="4" t="s">
        <v>20</v>
      </c>
      <c r="B19" s="3"/>
      <c r="C19" s="3"/>
      <c r="D19" s="3"/>
      <c r="E19" s="3"/>
      <c r="F19" s="3"/>
      <c r="G19" s="3"/>
      <c r="H19" s="3"/>
    </row>
    <row r="20" customFormat="false" ht="15" hidden="false" customHeight="false" outlineLevel="0" collapsed="false">
      <c r="A20" s="14" t="s">
        <v>21</v>
      </c>
      <c r="B20" s="14" t="s">
        <v>22</v>
      </c>
      <c r="C20" s="14" t="s">
        <v>23</v>
      </c>
      <c r="D20" s="14" t="s">
        <v>24</v>
      </c>
      <c r="E20" s="14" t="s">
        <v>25</v>
      </c>
      <c r="F20" s="14" t="s">
        <v>26</v>
      </c>
      <c r="G20" s="14" t="s">
        <v>27</v>
      </c>
      <c r="H20" s="14" t="s">
        <v>28</v>
      </c>
    </row>
    <row r="21" customFormat="false" ht="15" hidden="false" customHeight="false" outlineLevel="0" collapsed="false">
      <c r="A21" s="15" t="s">
        <v>29</v>
      </c>
      <c r="B21" s="16" t="n">
        <f aca="false">COUNTIFS('1 Foundations'!$H:$H,"Done",'1 Foundations'!$B:$B,"Learn")</f>
        <v>3</v>
      </c>
      <c r="C21" s="16" t="n">
        <f aca="false">COUNTIFS('1 Foundations'!$H:$H,"Done",'1 Foundations'!$B:$B,"Numbers")</f>
        <v>3</v>
      </c>
      <c r="D21" s="16" t="n">
        <f aca="false">COUNTIFS('1 Foundations'!$H:$H,"Done",'1 Foundations'!$B:$B,"Build")</f>
        <v>3</v>
      </c>
      <c r="E21" s="16" t="n">
        <f aca="false">COUNTIFS('1 Foundations'!$H:$H,"Done",'1 Foundations'!$B:$B,"Prove")</f>
        <v>3</v>
      </c>
      <c r="F21" s="16" t="n">
        <f aca="false">COUNTIFS('1 Foundations'!$H:$H,"Done",'1 Foundations'!$B:$B,"Optimize")</f>
        <v>3</v>
      </c>
      <c r="G21" s="17" t="str">
        <f aca="false">COUNTIF('1 Foundations'!$H:$H,"Done")&amp;" of 15"</f>
        <v>15 of 15</v>
      </c>
      <c r="H21" s="18" t="str">
        <f aca="false">HYPERLINK("#'1 Foundations'!A1","Open 1 Foundations")</f>
        <v>Open 1 Foundations</v>
      </c>
    </row>
    <row r="22" customFormat="false" ht="15" hidden="false" customHeight="false" outlineLevel="0" collapsed="false">
      <c r="A22" s="15" t="s">
        <v>30</v>
      </c>
      <c r="B22" s="16" t="n">
        <f aca="false">COUNTIFS('2 Attraction'!$H:$H,"Done",'2 Attraction'!$B:$B,"Learn")</f>
        <v>3</v>
      </c>
      <c r="C22" s="16" t="n">
        <f aca="false">COUNTIFS('2 Attraction'!$H:$H,"Done",'2 Attraction'!$B:$B,"Numbers")</f>
        <v>3</v>
      </c>
      <c r="D22" s="16" t="n">
        <f aca="false">COUNTIFS('2 Attraction'!$H:$H,"Done",'2 Attraction'!$B:$B,"Build")</f>
        <v>3</v>
      </c>
      <c r="E22" s="16" t="n">
        <f aca="false">COUNTIFS('2 Attraction'!$H:$H,"Done",'2 Attraction'!$B:$B,"Prove")</f>
        <v>3</v>
      </c>
      <c r="F22" s="16" t="n">
        <f aca="false">COUNTIFS('2 Attraction'!$H:$H,"Done",'2 Attraction'!$B:$B,"Optimize")</f>
        <v>3</v>
      </c>
      <c r="G22" s="17" t="str">
        <f aca="false">COUNTIF('2 Attraction'!$H:$H,"Done")&amp;" of 15"</f>
        <v>15 of 15</v>
      </c>
      <c r="H22" s="18" t="str">
        <f aca="false">HYPERLINK("#'2 Attraction'!A1","Open 2 Attraction")</f>
        <v>Open 2 Attraction</v>
      </c>
    </row>
    <row r="23" customFormat="false" ht="15" hidden="false" customHeight="false" outlineLevel="0" collapsed="false">
      <c r="A23" s="15" t="s">
        <v>31</v>
      </c>
      <c r="B23" s="16" t="n">
        <f aca="false">COUNTIFS('3 Upsell'!$H:$H,"Done",'3 Upsell'!$B:$B,"Learn")</f>
        <v>3</v>
      </c>
      <c r="C23" s="16" t="n">
        <f aca="false">COUNTIFS('3 Upsell'!$H:$H,"Done",'3 Upsell'!$B:$B,"Numbers")</f>
        <v>3</v>
      </c>
      <c r="D23" s="16" t="n">
        <f aca="false">COUNTIFS('3 Upsell'!$H:$H,"Done",'3 Upsell'!$B:$B,"Build")</f>
        <v>3</v>
      </c>
      <c r="E23" s="16" t="n">
        <f aca="false">COUNTIFS('3 Upsell'!$H:$H,"Done",'3 Upsell'!$B:$B,"Prove")</f>
        <v>3</v>
      </c>
      <c r="F23" s="16" t="n">
        <f aca="false">COUNTIFS('3 Upsell'!$H:$H,"Done",'3 Upsell'!$B:$B,"Optimize")</f>
        <v>3</v>
      </c>
      <c r="G23" s="17" t="str">
        <f aca="false">COUNTIF('3 Upsell'!$H:$H,"Done")&amp;" of 15"</f>
        <v>15 of 15</v>
      </c>
      <c r="H23" s="18" t="str">
        <f aca="false">HYPERLINK("#'3 Upsell'!A1","Open 3 Upsell")</f>
        <v>Open 3 Upsell</v>
      </c>
    </row>
    <row r="24" customFormat="false" ht="15" hidden="false" customHeight="false" outlineLevel="0" collapsed="false">
      <c r="A24" s="15" t="s">
        <v>32</v>
      </c>
      <c r="B24" s="16" t="n">
        <f aca="false">COUNTIFS('4 Downsell'!$H:$H,"Done",'4 Downsell'!$B:$B,"Learn")</f>
        <v>3</v>
      </c>
      <c r="C24" s="16" t="n">
        <f aca="false">COUNTIFS('4 Downsell'!$H:$H,"Done",'4 Downsell'!$B:$B,"Numbers")</f>
        <v>3</v>
      </c>
      <c r="D24" s="16" t="n">
        <f aca="false">COUNTIFS('4 Downsell'!$H:$H,"Done",'4 Downsell'!$B:$B,"Build")</f>
        <v>3</v>
      </c>
      <c r="E24" s="16" t="n">
        <f aca="false">COUNTIFS('4 Downsell'!$H:$H,"Done",'4 Downsell'!$B:$B,"Prove")</f>
        <v>3</v>
      </c>
      <c r="F24" s="16" t="n">
        <f aca="false">COUNTIFS('4 Downsell'!$H:$H,"Done",'4 Downsell'!$B:$B,"Optimize")</f>
        <v>3</v>
      </c>
      <c r="G24" s="17" t="str">
        <f aca="false">COUNTIF('4 Downsell'!$H:$H,"Done")&amp;" of 15"</f>
        <v>15 of 15</v>
      </c>
      <c r="H24" s="18" t="str">
        <f aca="false">HYPERLINK("#'4 Downsell'!A1","Open 4 Downsell")</f>
        <v>Open 4 Downsell</v>
      </c>
    </row>
    <row r="25" customFormat="false" ht="15" hidden="false" customHeight="false" outlineLevel="0" collapsed="false">
      <c r="A25" s="15" t="s">
        <v>33</v>
      </c>
      <c r="B25" s="16" t="n">
        <f aca="false">COUNTIFS('5 Continuity'!$H:$H,"Done",'5 Continuity'!$B:$B,"Learn")</f>
        <v>3</v>
      </c>
      <c r="C25" s="16" t="n">
        <f aca="false">COUNTIFS('5 Continuity'!$H:$H,"Done",'5 Continuity'!$B:$B,"Numbers")</f>
        <v>3</v>
      </c>
      <c r="D25" s="16" t="n">
        <f aca="false">COUNTIFS('5 Continuity'!$H:$H,"Done",'5 Continuity'!$B:$B,"Build")</f>
        <v>3</v>
      </c>
      <c r="E25" s="16" t="n">
        <f aca="false">COUNTIFS('5 Continuity'!$H:$H,"Done",'5 Continuity'!$B:$B,"Prove")</f>
        <v>3</v>
      </c>
      <c r="F25" s="16" t="n">
        <f aca="false">COUNTIFS('5 Continuity'!$H:$H,"Done",'5 Continuity'!$B:$B,"Optimize")</f>
        <v>3</v>
      </c>
      <c r="G25" s="17" t="str">
        <f aca="false">COUNTIF('5 Continuity'!$H:$H,"Done")&amp;" of 15"</f>
        <v>15 of 15</v>
      </c>
      <c r="H25" s="18" t="str">
        <f aca="false">HYPERLINK("#'5 Continuity'!A1","Open 5 Continuity")</f>
        <v>Open 5 Continuity</v>
      </c>
    </row>
    <row r="26" customFormat="false" ht="15" hidden="false" customHeight="false" outlineLevel="0" collapsed="false">
      <c r="A26" s="15" t="s">
        <v>34</v>
      </c>
      <c r="B26" s="16" t="n">
        <f aca="false">COUNTIFS('6 KPIs and Scale'!$H:$H,"Done",'6 KPIs and Scale'!$B:$B,"Learn")</f>
        <v>3</v>
      </c>
      <c r="C26" s="16" t="n">
        <f aca="false">COUNTIFS('6 KPIs and Scale'!$H:$H,"Done",'6 KPIs and Scale'!$B:$B,"Numbers")</f>
        <v>3</v>
      </c>
      <c r="D26" s="16" t="n">
        <f aca="false">COUNTIFS('6 KPIs and Scale'!$H:$H,"Done",'6 KPIs and Scale'!$B:$B,"Build")</f>
        <v>3</v>
      </c>
      <c r="E26" s="16" t="n">
        <f aca="false">COUNTIFS('6 KPIs and Scale'!$H:$H,"Done",'6 KPIs and Scale'!$B:$B,"Prove")</f>
        <v>3</v>
      </c>
      <c r="F26" s="16" t="n">
        <f aca="false">COUNTIFS('6 KPIs and Scale'!$H:$H,"Done",'6 KPIs and Scale'!$B:$B,"Optimize")</f>
        <v>3</v>
      </c>
      <c r="G26" s="17" t="str">
        <f aca="false">COUNTIF('6 KPIs and Scale'!$H:$H,"Done")&amp;" of 15"</f>
        <v>15 of 15</v>
      </c>
      <c r="H26" s="18" t="str">
        <f aca="false">HYPERLINK("#'6 KPIs and Scale'!A1","Open 6 KPIs and Scale")</f>
        <v>Open 6 KPIs and Scale</v>
      </c>
    </row>
    <row r="27" customFormat="false" ht="15" hidden="false" customHeight="false" outlineLevel="0" collapsed="false">
      <c r="A27" s="3"/>
      <c r="B27" s="3"/>
      <c r="C27" s="3"/>
      <c r="D27" s="3"/>
      <c r="E27" s="3"/>
      <c r="F27" s="3"/>
      <c r="G27" s="3"/>
      <c r="H27" s="3"/>
    </row>
    <row r="28" customFormat="false" ht="30" hidden="false" customHeight="true" outlineLevel="0" collapsed="false">
      <c r="A28" s="4" t="s">
        <v>35</v>
      </c>
      <c r="B28" s="19" t="n">
        <f aca="false">IF(ISNUMBER(ratio30),ratio30,"not yet")</f>
        <v>4.76933333333333</v>
      </c>
      <c r="C28" s="5" t="str">
        <f aca="false">IF(ISNUMBER(ratio30),IF(ratio30&gt;=2,"Every customer pays for the next one.",IF(ratio30&gt;=1,"Break even inside the month. Twice the cost is the self-funding line.","Not yet paying back inside 30 days.")),"Needs the Numbers band on Foundations, Attraction, Upsell, Downsell and Continuity.")</f>
        <v>Every customer pays for the next one.</v>
      </c>
      <c r="D28" s="5"/>
      <c r="E28" s="5"/>
      <c r="F28" s="5"/>
      <c r="G28" s="5"/>
      <c r="H28" s="5"/>
    </row>
    <row r="29" customFormat="false" ht="17.35" hidden="false" customHeight="false" outlineLevel="0" collapsed="false">
      <c r="A29" s="4" t="s">
        <v>36</v>
      </c>
      <c r="B29" s="19" t="n">
        <f aca="false">IF(ISNUMBER(ltgpCac),ltgpCac,"not yet")</f>
        <v>9.78333333333333</v>
      </c>
      <c r="C29" s="10" t="s">
        <v>37</v>
      </c>
      <c r="D29" s="10"/>
      <c r="E29" s="10"/>
      <c r="F29" s="10"/>
      <c r="G29" s="10"/>
      <c r="H29" s="10"/>
    </row>
    <row r="30" customFormat="false" ht="15" hidden="false" customHeight="false" outlineLevel="0" collapsed="false">
      <c r="A30" s="3"/>
      <c r="B30" s="3"/>
      <c r="C30" s="3"/>
      <c r="D30" s="3"/>
      <c r="E30" s="3"/>
      <c r="F30" s="3"/>
      <c r="G30" s="3"/>
      <c r="H30" s="3"/>
    </row>
    <row r="31" customFormat="false" ht="15" hidden="false" customHeight="false" outlineLevel="0" collapsed="false">
      <c r="A31" s="4" t="s">
        <v>38</v>
      </c>
      <c r="B31" s="3"/>
      <c r="C31" s="3"/>
      <c r="D31" s="3"/>
      <c r="E31" s="3"/>
      <c r="F31" s="3"/>
      <c r="G31" s="3"/>
      <c r="H31" s="3"/>
    </row>
    <row r="32" customFormat="false" ht="27.75" hidden="false" customHeight="true" outlineLevel="0" collapsed="false">
      <c r="A32" s="20" t="s">
        <v>39</v>
      </c>
      <c r="B32" s="20"/>
      <c r="C32" s="20"/>
      <c r="D32" s="20"/>
      <c r="E32" s="20"/>
      <c r="F32" s="20"/>
      <c r="G32" s="20"/>
      <c r="H32" s="20"/>
    </row>
    <row r="33" customFormat="false" ht="27.75" hidden="false" customHeight="true" outlineLevel="0" collapsed="false">
      <c r="A33" s="20" t="s">
        <v>40</v>
      </c>
      <c r="B33" s="20"/>
      <c r="C33" s="20"/>
      <c r="D33" s="20"/>
      <c r="E33" s="20"/>
      <c r="F33" s="20"/>
      <c r="G33" s="20"/>
      <c r="H33" s="20"/>
    </row>
    <row r="34" customFormat="false" ht="27.75" hidden="false" customHeight="true" outlineLevel="0" collapsed="false">
      <c r="A34" s="20" t="s">
        <v>41</v>
      </c>
      <c r="B34" s="20"/>
      <c r="C34" s="20"/>
      <c r="D34" s="20"/>
      <c r="E34" s="20"/>
      <c r="F34" s="20"/>
      <c r="G34" s="20"/>
      <c r="H34" s="20"/>
    </row>
  </sheetData>
  <mergeCells count="17">
    <mergeCell ref="A1:H1"/>
    <mergeCell ref="A2:H2"/>
    <mergeCell ref="A5:H5"/>
    <mergeCell ref="A6:H6"/>
    <mergeCell ref="A7:H7"/>
    <mergeCell ref="A8:H8"/>
    <mergeCell ref="A9:H9"/>
    <mergeCell ref="C11:H11"/>
    <mergeCell ref="B14:H14"/>
    <mergeCell ref="B15:H15"/>
    <mergeCell ref="B16:H16"/>
    <mergeCell ref="B17:H17"/>
    <mergeCell ref="C28:H28"/>
    <mergeCell ref="C29:H29"/>
    <mergeCell ref="A32:H32"/>
    <mergeCell ref="A33:H33"/>
    <mergeCell ref="A34:H34"/>
  </mergeCells>
  <conditionalFormatting sqref="B21:F26">
    <cfRule type="cellIs" priority="2" operator="equal" aboveAverage="0" equalAverage="0" bottom="0" percent="0" rank="0" text="" dxfId="0">
      <formula>3</formula>
    </cfRule>
    <cfRule type="cellIs" priority="3" operator="between" aboveAverage="0" equalAverage="0" bottom="0" percent="0" rank="0" text="" dxfId="1">
      <formula>1</formula>
      <formula>2</formula>
    </cfRule>
  </conditionalFormatting>
  <dataValidations count="1">
    <dataValidation allowBlank="false" errorStyle="stop" operator="between" showDropDown="false" showErrorMessage="false" showInputMessage="false" sqref="B11"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42</v>
      </c>
      <c r="B1" s="21"/>
      <c r="C1" s="21"/>
      <c r="D1" s="21"/>
      <c r="E1" s="21"/>
      <c r="F1" s="21"/>
      <c r="G1" s="21"/>
      <c r="H1" s="21"/>
    </row>
    <row r="2" customFormat="false" ht="15" hidden="false" customHeight="false" outlineLevel="0" collapsed="false">
      <c r="A2" s="2" t="s">
        <v>43</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53</v>
      </c>
      <c r="D5" s="26"/>
      <c r="E5" s="26"/>
      <c r="F5" s="26"/>
      <c r="G5" s="27" t="s">
        <v>54</v>
      </c>
      <c r="H5" s="23" t="str">
        <f aca="false">IF(F7="","",IF(F7="A sequence of offers: the first yes; a bigger yes; a smaller yes after a no; and a repeating yes","Done","Not yet"))</f>
        <v>Done</v>
      </c>
    </row>
    <row r="6" customFormat="false" ht="102" hidden="false" customHeight="true" outlineLevel="0" collapsed="false">
      <c r="A6" s="3"/>
      <c r="B6" s="3"/>
      <c r="C6" s="28" t="s">
        <v>55</v>
      </c>
      <c r="D6" s="28"/>
      <c r="E6" s="28"/>
      <c r="F6" s="28"/>
      <c r="G6" s="28"/>
      <c r="H6" s="28"/>
    </row>
    <row r="7" customFormat="false" ht="45.75" hidden="false" customHeight="true" outlineLevel="0" collapsed="false">
      <c r="A7" s="3"/>
      <c r="B7" s="3"/>
      <c r="C7" s="29" t="s">
        <v>56</v>
      </c>
      <c r="D7" s="30"/>
      <c r="E7" s="31" t="s">
        <v>57</v>
      </c>
      <c r="F7" s="32" t="str">
        <f aca="false">IF(useExample="Yes",E7,D7)</f>
        <v>A sequence of offers: the first yes; a bigger yes; a smaller yes after a no; and a repeating yes</v>
      </c>
      <c r="G7" s="33" t="str">
        <f aca="false">IF(F7="","",IF(F7="A sequence of offers: the first yes; a bigger yes; a smaller yes after a no; and a repeating yes","Right. One price is one offer. A money model is the order of offers around it and what each one is for.","Not quite. One price is one offer. A money model is the order of offers around it and what each one is for."))</f>
        <v>Right. One price is one offer. A money model is the order of offers around it and what each one is for.</v>
      </c>
      <c r="H7" s="34"/>
    </row>
    <row r="8" customFormat="false" ht="30" hidden="false" customHeight="true" outlineLevel="0" collapsed="false">
      <c r="A8" s="3"/>
      <c r="B8" s="3"/>
      <c r="C8" s="35" t="s">
        <v>58</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59</v>
      </c>
      <c r="D10" s="26"/>
      <c r="E10" s="26"/>
      <c r="F10" s="26"/>
      <c r="G10" s="27" t="s">
        <v>54</v>
      </c>
      <c r="H10" s="23" t="str">
        <f aca="false">IF(F12="","",IF(F12="At least $150; and ideally $300 or more","Done","Not yet"))</f>
        <v>Done</v>
      </c>
    </row>
    <row r="11" customFormat="false" ht="102" hidden="false" customHeight="true" outlineLevel="0" collapsed="false">
      <c r="A11" s="3"/>
      <c r="B11" s="3"/>
      <c r="C11" s="28" t="s">
        <v>60</v>
      </c>
      <c r="D11" s="28"/>
      <c r="E11" s="28"/>
      <c r="F11" s="28"/>
      <c r="G11" s="28"/>
      <c r="H11" s="28"/>
    </row>
    <row r="12" customFormat="false" ht="45.75" hidden="false" customHeight="true" outlineLevel="0" collapsed="false">
      <c r="A12" s="3"/>
      <c r="B12" s="3"/>
      <c r="C12" s="29" t="s">
        <v>61</v>
      </c>
      <c r="D12" s="30"/>
      <c r="E12" s="31" t="s">
        <v>62</v>
      </c>
      <c r="F12" s="32" t="str">
        <f aca="false">IF(useExample="Yes",E12,D12)</f>
        <v>At least $150; and ideally $300 or more</v>
      </c>
      <c r="G12" s="33" t="str">
        <f aca="false">IF(F12="","",IF(F12="At least $150; and ideally $300 or more","Right. Break-even inside 30 days keeps you alive. Twice the cost lets the next customer be bought with this one's money.","Not quite. Break-even inside 30 days keeps you alive. Twice the cost lets the next customer be bought with this one's money."))</f>
        <v>Right. Break-even inside 30 days keeps you alive. Twice the cost lets the next customer be bought with this one's money.</v>
      </c>
      <c r="H12" s="34"/>
    </row>
    <row r="13" customFormat="false" ht="30" hidden="false" customHeight="true" outlineLevel="0" collapsed="false">
      <c r="A13" s="3"/>
      <c r="B13" s="3"/>
      <c r="C13" s="35" t="s">
        <v>63</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64</v>
      </c>
      <c r="D15" s="26"/>
      <c r="E15" s="26"/>
      <c r="F15" s="26"/>
      <c r="G15" s="27" t="s">
        <v>54</v>
      </c>
      <c r="H15" s="23" t="str">
        <f aca="false">IF(F17="","",IF(F17="A downsell: the same promise in a lighter or easier form","Done","Not yet"))</f>
        <v>Done</v>
      </c>
    </row>
    <row r="16" customFormat="false" ht="129.75" hidden="false" customHeight="true" outlineLevel="0" collapsed="false">
      <c r="A16" s="3"/>
      <c r="B16" s="3"/>
      <c r="C16" s="28" t="s">
        <v>65</v>
      </c>
      <c r="D16" s="28"/>
      <c r="E16" s="28"/>
      <c r="F16" s="28"/>
      <c r="G16" s="28"/>
      <c r="H16" s="28"/>
    </row>
    <row r="17" customFormat="false" ht="45.75" hidden="false" customHeight="true" outlineLevel="0" collapsed="false">
      <c r="A17" s="3"/>
      <c r="B17" s="3"/>
      <c r="C17" s="29" t="s">
        <v>66</v>
      </c>
      <c r="D17" s="30"/>
      <c r="E17" s="31" t="s">
        <v>67</v>
      </c>
      <c r="F17" s="32" t="str">
        <f aca="false">IF(useExample="Yes",E17,D17)</f>
        <v>A downsell: the same promise in a lighter or easier form</v>
      </c>
      <c r="G17" s="33" t="str">
        <f aca="false">IF(F17="","",IF(F17="A downsell: the same promise in a lighter or easier form","Right. A no to the price or the size is not a no to the result. The downsell keeps the customer and some of the cash.","Not quite. A no to the price or the size is not a no to the result. The downsell keeps the customer and some of the cash."))</f>
        <v>Right. A no to the price or the size is not a no to the result. The downsell keeps the customer and some of the cash.</v>
      </c>
      <c r="H17" s="34"/>
    </row>
    <row r="18" customFormat="false" ht="15.75" hidden="false" customHeight="true" outlineLevel="0" collapsed="false">
      <c r="A18" s="3"/>
      <c r="B18" s="3"/>
      <c r="C18" s="35" t="s">
        <v>68</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70</v>
      </c>
      <c r="D20" s="39"/>
      <c r="E20" s="39"/>
      <c r="F20" s="39"/>
      <c r="G20" s="40" t="s">
        <v>71</v>
      </c>
      <c r="H20" s="36" t="str">
        <f aca="false">IF(F22&lt;&gt;"","Done","")</f>
        <v>Done</v>
      </c>
    </row>
    <row r="21" customFormat="false" ht="18" hidden="false" customHeight="true" outlineLevel="0" collapsed="false">
      <c r="A21" s="3"/>
      <c r="B21" s="3"/>
      <c r="C21" s="28" t="s">
        <v>72</v>
      </c>
      <c r="D21" s="28"/>
      <c r="E21" s="28"/>
      <c r="F21" s="28"/>
      <c r="G21" s="28"/>
      <c r="H21" s="28"/>
    </row>
    <row r="22" customFormat="false" ht="57.75" hidden="false" customHeight="true" outlineLevel="0" collapsed="false">
      <c r="A22" s="3"/>
      <c r="B22" s="3"/>
      <c r="C22" s="33" t="s">
        <v>73</v>
      </c>
      <c r="D22" s="41"/>
      <c r="E22" s="42" t="n">
        <v>199</v>
      </c>
      <c r="F22" s="43" t="n">
        <f aca="false">IF(useExample="Yes",E22,IF(D22="","",D22))</f>
        <v>199</v>
      </c>
      <c r="G22" s="35" t="s">
        <v>74</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75</v>
      </c>
      <c r="D24" s="39"/>
      <c r="E24" s="39"/>
      <c r="F24" s="39"/>
      <c r="G24" s="40" t="s">
        <v>76</v>
      </c>
      <c r="H24" s="36" t="str">
        <f aca="false">IF(F26&lt;&gt;"","Done","")</f>
        <v>Done</v>
      </c>
    </row>
    <row r="25" customFormat="false" ht="31.5" hidden="false" customHeight="true" outlineLevel="0" collapsed="false">
      <c r="A25" s="3"/>
      <c r="B25" s="3"/>
      <c r="C25" s="28" t="s">
        <v>77</v>
      </c>
      <c r="D25" s="28"/>
      <c r="E25" s="28"/>
      <c r="F25" s="28"/>
      <c r="G25" s="28"/>
      <c r="H25" s="28"/>
    </row>
    <row r="26" customFormat="false" ht="43.5" hidden="false" customHeight="true" outlineLevel="0" collapsed="false">
      <c r="A26" s="3"/>
      <c r="B26" s="3"/>
      <c r="C26" s="33" t="s">
        <v>78</v>
      </c>
      <c r="D26" s="41"/>
      <c r="E26" s="42" t="n">
        <v>60</v>
      </c>
      <c r="F26" s="43" t="n">
        <f aca="false">IF(useExample="Yes",E26,IF(D26="","",D26))</f>
        <v>60</v>
      </c>
      <c r="G26" s="35" t="s">
        <v>79</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80</v>
      </c>
      <c r="D28" s="39"/>
      <c r="E28" s="39"/>
      <c r="F28" s="39"/>
      <c r="G28" s="40" t="s">
        <v>81</v>
      </c>
      <c r="H28" s="36" t="str">
        <f aca="false">IF(AND(F30&lt;&gt;"",F31&lt;&gt;""),"Done",IF(OR(F30&lt;&gt;"",F31&lt;&gt;""),"Part",""))</f>
        <v>Done</v>
      </c>
    </row>
    <row r="29" customFormat="false" ht="45.75" hidden="false" customHeight="true" outlineLevel="0" collapsed="false">
      <c r="A29" s="3"/>
      <c r="B29" s="3"/>
      <c r="C29" s="28" t="s">
        <v>82</v>
      </c>
      <c r="D29" s="28"/>
      <c r="E29" s="28"/>
      <c r="F29" s="28"/>
      <c r="G29" s="28"/>
      <c r="H29" s="28"/>
    </row>
    <row r="30" customFormat="false" ht="30" hidden="false" customHeight="true" outlineLevel="0" collapsed="false">
      <c r="A30" s="3"/>
      <c r="B30" s="3"/>
      <c r="C30" s="33" t="s">
        <v>83</v>
      </c>
      <c r="D30" s="41"/>
      <c r="E30" s="42" t="n">
        <v>6000</v>
      </c>
      <c r="F30" s="43" t="n">
        <f aca="false">IF(useExample="Yes",E30,IF(D30="","",D30))</f>
        <v>6000</v>
      </c>
      <c r="G30" s="35" t="s">
        <v>84</v>
      </c>
      <c r="H30" s="34"/>
    </row>
    <row r="31" customFormat="false" ht="30" hidden="false" customHeight="true" outlineLevel="0" collapsed="false">
      <c r="A31" s="3"/>
      <c r="B31" s="3"/>
      <c r="C31" s="33" t="s">
        <v>85</v>
      </c>
      <c r="D31" s="44"/>
      <c r="E31" s="45" t="n">
        <v>40</v>
      </c>
      <c r="F31" s="46" t="n">
        <f aca="false">IF(useExample="Yes",E31,IF(D31="","",D31))</f>
        <v>40</v>
      </c>
      <c r="G31" s="35" t="s">
        <v>86</v>
      </c>
      <c r="H31" s="34"/>
    </row>
    <row r="32" customFormat="false" ht="15" hidden="false" customHeight="false" outlineLevel="0" collapsed="false">
      <c r="A32" s="3"/>
      <c r="B32" s="3"/>
      <c r="C32" s="3"/>
      <c r="D32" s="3"/>
      <c r="E32" s="3"/>
      <c r="F32" s="3"/>
      <c r="G32" s="3"/>
      <c r="H32" s="3"/>
    </row>
    <row r="33" customFormat="false" ht="15" hidden="false" customHeight="false" outlineLevel="0" collapsed="false">
      <c r="A33" s="47" t="n">
        <v>7</v>
      </c>
      <c r="B33" s="48" t="s">
        <v>87</v>
      </c>
      <c r="C33" s="49" t="s">
        <v>88</v>
      </c>
      <c r="D33" s="50"/>
      <c r="E33" s="50"/>
      <c r="F33" s="50"/>
      <c r="G33" s="51" t="s">
        <v>89</v>
      </c>
      <c r="H33" s="47" t="str">
        <f aca="false">IF(AND(F35&lt;&gt;"",F36&lt;&gt;""),"Done",IF(OR(F35&lt;&gt;"",F36&lt;&gt;""),"Part",""))</f>
        <v>Done</v>
      </c>
    </row>
    <row r="34" customFormat="false" ht="73.5" hidden="false" customHeight="true" outlineLevel="0" collapsed="false">
      <c r="A34" s="3"/>
      <c r="B34" s="3"/>
      <c r="C34" s="28" t="s">
        <v>90</v>
      </c>
      <c r="D34" s="28"/>
      <c r="E34" s="28"/>
      <c r="F34" s="28"/>
      <c r="G34" s="28"/>
      <c r="H34" s="28"/>
    </row>
    <row r="35" customFormat="false" ht="43.5" hidden="false" customHeight="true" outlineLevel="0" collapsed="false">
      <c r="A35" s="3"/>
      <c r="B35" s="3"/>
      <c r="C35" s="33" t="s">
        <v>91</v>
      </c>
      <c r="D35" s="30"/>
      <c r="E35" s="31" t="s">
        <v>92</v>
      </c>
      <c r="F35" s="52" t="str">
        <f aca="false">IF(useExample="Yes",E35,IF(D35="","",D35))</f>
        <v>Busy parents who stopped exercising</v>
      </c>
      <c r="G35" s="35" t="s">
        <v>93</v>
      </c>
      <c r="H35" s="34"/>
    </row>
    <row r="36" customFormat="false" ht="30" hidden="false" customHeight="true" outlineLevel="0" collapsed="false">
      <c r="A36" s="3"/>
      <c r="B36" s="3"/>
      <c r="C36" s="33" t="s">
        <v>94</v>
      </c>
      <c r="D36" s="30"/>
      <c r="E36" s="31" t="s">
        <v>95</v>
      </c>
      <c r="F36" s="52" t="str">
        <f aca="false">IF(useExample="Yes",E36,IF(D36="","",D36))</f>
        <v>Lose the first ten pounds in six weeks</v>
      </c>
      <c r="G36" s="35" t="s">
        <v>96</v>
      </c>
      <c r="H36" s="34"/>
    </row>
    <row r="37" customFormat="false" ht="15" hidden="false" customHeight="false" outlineLevel="0" collapsed="false">
      <c r="A37" s="3"/>
      <c r="B37" s="3"/>
      <c r="C37" s="3"/>
      <c r="D37" s="3"/>
      <c r="E37" s="3"/>
      <c r="F37" s="3"/>
      <c r="G37" s="3"/>
      <c r="H37" s="3"/>
    </row>
    <row r="38" customFormat="false" ht="15" hidden="false" customHeight="false" outlineLevel="0" collapsed="false">
      <c r="A38" s="47" t="n">
        <v>8</v>
      </c>
      <c r="B38" s="48" t="s">
        <v>87</v>
      </c>
      <c r="C38" s="49" t="s">
        <v>97</v>
      </c>
      <c r="D38" s="50"/>
      <c r="E38" s="50"/>
      <c r="F38" s="50"/>
      <c r="G38" s="51" t="s">
        <v>98</v>
      </c>
      <c r="H38" s="47" t="str">
        <f aca="false">IF(F40&lt;&gt;"","Done","")</f>
        <v>Done</v>
      </c>
    </row>
    <row r="39" customFormat="false" ht="45.75" hidden="false" customHeight="true" outlineLevel="0" collapsed="false">
      <c r="A39" s="3"/>
      <c r="B39" s="3"/>
      <c r="C39" s="28" t="s">
        <v>99</v>
      </c>
      <c r="D39" s="28"/>
      <c r="E39" s="28"/>
      <c r="F39" s="28"/>
      <c r="G39" s="28"/>
      <c r="H39" s="28"/>
    </row>
    <row r="40" customFormat="false" ht="43.5" hidden="false" customHeight="true" outlineLevel="0" collapsed="false">
      <c r="A40" s="3"/>
      <c r="B40" s="3"/>
      <c r="C40" s="33" t="s">
        <v>100</v>
      </c>
      <c r="D40" s="30"/>
      <c r="E40" s="31" t="s">
        <v>101</v>
      </c>
      <c r="F40" s="52" t="str">
        <f aca="false">IF(useExample="Yes",E40,IF(D40="","",D40))</f>
        <v>Each customer does not pay enough</v>
      </c>
      <c r="G40" s="35" t="s">
        <v>102</v>
      </c>
      <c r="H40" s="34"/>
    </row>
    <row r="41" customFormat="false" ht="15" hidden="false" customHeight="false" outlineLevel="0" collapsed="false">
      <c r="A41" s="3"/>
      <c r="B41" s="3"/>
      <c r="C41" s="3"/>
      <c r="D41" s="3"/>
      <c r="E41" s="3"/>
      <c r="F41" s="3"/>
      <c r="G41" s="3"/>
      <c r="H41" s="3"/>
    </row>
    <row r="42" customFormat="false" ht="15" hidden="false" customHeight="false" outlineLevel="0" collapsed="false">
      <c r="A42" s="47" t="n">
        <v>9</v>
      </c>
      <c r="B42" s="48" t="s">
        <v>87</v>
      </c>
      <c r="C42" s="49" t="s">
        <v>103</v>
      </c>
      <c r="D42" s="50"/>
      <c r="E42" s="50"/>
      <c r="F42" s="50"/>
      <c r="G42" s="51" t="s">
        <v>104</v>
      </c>
      <c r="H42" s="47" t="str">
        <f aca="false">IF(AND(F44&lt;&gt;"",F45&lt;&gt;"",F46&lt;&gt;"",F47&lt;&gt;""),"Done",IF(OR(F44&lt;&gt;"",F45&lt;&gt;"",F46&lt;&gt;"",F47&lt;&gt;""),"Part",""))</f>
        <v>Done</v>
      </c>
    </row>
    <row r="43" customFormat="false" ht="31.5" hidden="false" customHeight="true" outlineLevel="0" collapsed="false">
      <c r="A43" s="3"/>
      <c r="B43" s="3"/>
      <c r="C43" s="28" t="s">
        <v>105</v>
      </c>
      <c r="D43" s="28"/>
      <c r="E43" s="28"/>
      <c r="F43" s="28"/>
      <c r="G43" s="28"/>
      <c r="H43" s="28"/>
    </row>
    <row r="44" customFormat="false" ht="30" hidden="false" customHeight="true" outlineLevel="0" collapsed="false">
      <c r="A44" s="3"/>
      <c r="B44" s="3"/>
      <c r="C44" s="33" t="s">
        <v>106</v>
      </c>
      <c r="D44" s="30"/>
      <c r="E44" s="31" t="s">
        <v>107</v>
      </c>
      <c r="F44" s="52" t="str">
        <f aca="false">IF(useExample="Yes",E44,IF(D44="","",D44))</f>
        <v>A $199 six-week class pass</v>
      </c>
      <c r="G44" s="35" t="s">
        <v>108</v>
      </c>
      <c r="H44" s="34"/>
    </row>
    <row r="45" customFormat="false" ht="30" hidden="false" customHeight="true" outlineLevel="0" collapsed="false">
      <c r="A45" s="3"/>
      <c r="B45" s="3"/>
      <c r="C45" s="33" t="s">
        <v>109</v>
      </c>
      <c r="D45" s="30"/>
      <c r="E45" s="31" t="s">
        <v>110</v>
      </c>
      <c r="F45" s="52" t="str">
        <f aca="false">IF(useExample="Yes",E45,IF(D45="","",D45))</f>
        <v>Nothing</v>
      </c>
      <c r="G45" s="35" t="s">
        <v>111</v>
      </c>
      <c r="H45" s="34"/>
    </row>
    <row r="46" customFormat="false" ht="15.75" hidden="false" customHeight="true" outlineLevel="0" collapsed="false">
      <c r="A46" s="3"/>
      <c r="B46" s="3"/>
      <c r="C46" s="33" t="s">
        <v>112</v>
      </c>
      <c r="D46" s="30"/>
      <c r="E46" s="31" t="s">
        <v>110</v>
      </c>
      <c r="F46" s="52" t="str">
        <f aca="false">IF(useExample="Yes",E46,IF(D46="","",D46))</f>
        <v>Nothing</v>
      </c>
      <c r="G46" s="35" t="s">
        <v>113</v>
      </c>
      <c r="H46" s="34"/>
    </row>
    <row r="47" customFormat="false" ht="30" hidden="false" customHeight="true" outlineLevel="0" collapsed="false">
      <c r="A47" s="3"/>
      <c r="B47" s="3"/>
      <c r="C47" s="33" t="s">
        <v>114</v>
      </c>
      <c r="D47" s="30"/>
      <c r="E47" s="31" t="s">
        <v>110</v>
      </c>
      <c r="F47" s="52" t="str">
        <f aca="false">IF(useExample="Yes",E47,IF(D47="","",D47))</f>
        <v>Nothing</v>
      </c>
      <c r="G47" s="35" t="s">
        <v>115</v>
      </c>
      <c r="H47" s="34"/>
    </row>
    <row r="48" customFormat="false" ht="15" hidden="false" customHeight="false" outlineLevel="0" collapsed="false">
      <c r="A48" s="3"/>
      <c r="B48" s="3"/>
      <c r="C48" s="3"/>
      <c r="D48" s="3"/>
      <c r="E48" s="3"/>
      <c r="F48" s="3"/>
      <c r="G48" s="3"/>
      <c r="H48" s="3"/>
    </row>
    <row r="49" customFormat="false" ht="15" hidden="false" customHeight="false" outlineLevel="0" collapsed="false">
      <c r="A49" s="53" t="n">
        <v>10</v>
      </c>
      <c r="B49" s="54" t="s">
        <v>116</v>
      </c>
      <c r="C49" s="55" t="s">
        <v>117</v>
      </c>
      <c r="D49" s="56"/>
      <c r="E49" s="56"/>
      <c r="F49" s="56"/>
      <c r="G49" s="57" t="s">
        <v>118</v>
      </c>
      <c r="H49" s="53" t="str">
        <f aca="false">IF(F51&lt;&gt;"","Done","")</f>
        <v>Done</v>
      </c>
    </row>
    <row r="50" customFormat="false" ht="31.5" hidden="false" customHeight="true" outlineLevel="0" collapsed="false">
      <c r="A50" s="3"/>
      <c r="B50" s="3"/>
      <c r="C50" s="28" t="s">
        <v>119</v>
      </c>
      <c r="D50" s="28"/>
      <c r="E50" s="28"/>
      <c r="F50" s="28"/>
      <c r="G50" s="28"/>
      <c r="H50" s="28"/>
    </row>
    <row r="51" customFormat="false" ht="43.5" hidden="false" customHeight="true" outlineLevel="0" collapsed="false">
      <c r="A51" s="3"/>
      <c r="B51" s="3"/>
      <c r="C51" s="33" t="s">
        <v>120</v>
      </c>
      <c r="D51" s="44"/>
      <c r="E51" s="45" t="n">
        <v>21</v>
      </c>
      <c r="F51" s="46" t="n">
        <f aca="false">IF(useExample="Yes",E51,IF(D51="","",D51))</f>
        <v>21</v>
      </c>
      <c r="G51" s="35" t="s">
        <v>121</v>
      </c>
      <c r="H51" s="34"/>
    </row>
    <row r="52" customFormat="false" ht="15" hidden="false" customHeight="false" outlineLevel="0" collapsed="false">
      <c r="A52" s="3"/>
      <c r="B52" s="3"/>
      <c r="C52" s="3"/>
      <c r="D52" s="3"/>
      <c r="E52" s="3"/>
      <c r="F52" s="3"/>
      <c r="G52" s="3"/>
      <c r="H52" s="3"/>
    </row>
    <row r="53" customFormat="false" ht="15" hidden="false" customHeight="false" outlineLevel="0" collapsed="false">
      <c r="A53" s="53" t="n">
        <v>11</v>
      </c>
      <c r="B53" s="54" t="s">
        <v>116</v>
      </c>
      <c r="C53" s="55" t="s">
        <v>122</v>
      </c>
      <c r="D53" s="56"/>
      <c r="E53" s="56"/>
      <c r="F53" s="56"/>
      <c r="G53" s="57" t="s">
        <v>123</v>
      </c>
      <c r="H53" s="53" t="str">
        <f aca="false">IF(F55&lt;&gt;"","Done","")</f>
        <v>Done</v>
      </c>
    </row>
    <row r="54" customFormat="false" ht="31.5" hidden="false" customHeight="true" outlineLevel="0" collapsed="false">
      <c r="A54" s="3"/>
      <c r="B54" s="3"/>
      <c r="C54" s="28" t="s">
        <v>124</v>
      </c>
      <c r="D54" s="28"/>
      <c r="E54" s="28"/>
      <c r="F54" s="28"/>
      <c r="G54" s="28"/>
      <c r="H54" s="28"/>
    </row>
    <row r="55" customFormat="false" ht="43.5" hidden="false" customHeight="true" outlineLevel="0" collapsed="false">
      <c r="A55" s="3"/>
      <c r="B55" s="3"/>
      <c r="C55" s="33" t="s">
        <v>125</v>
      </c>
      <c r="D55" s="41"/>
      <c r="E55" s="42" t="n">
        <v>199</v>
      </c>
      <c r="F55" s="43" t="n">
        <f aca="false">IF(useExample="Yes",E55,IF(D55="","",D55))</f>
        <v>199</v>
      </c>
      <c r="G55" s="35" t="s">
        <v>126</v>
      </c>
      <c r="H55" s="34"/>
    </row>
    <row r="56" customFormat="false" ht="15" hidden="false" customHeight="false" outlineLevel="0" collapsed="false">
      <c r="A56" s="3"/>
      <c r="B56" s="3"/>
      <c r="C56" s="3"/>
      <c r="D56" s="3"/>
      <c r="E56" s="3"/>
      <c r="F56" s="3"/>
      <c r="G56" s="3"/>
      <c r="H56" s="3"/>
    </row>
    <row r="57" customFormat="false" ht="15" hidden="false" customHeight="false" outlineLevel="0" collapsed="false">
      <c r="A57" s="53" t="n">
        <v>12</v>
      </c>
      <c r="B57" s="54" t="s">
        <v>116</v>
      </c>
      <c r="C57" s="55" t="s">
        <v>127</v>
      </c>
      <c r="D57" s="56"/>
      <c r="E57" s="56"/>
      <c r="F57" s="56"/>
      <c r="G57" s="57" t="s">
        <v>128</v>
      </c>
      <c r="H57" s="53" t="str">
        <f aca="false">IF(COUNTIF(F59:F63,"Yes")=5,"Done",IF(COUNTIF(F59:F63,"Yes")&gt;0,"Part",""))</f>
        <v>Done</v>
      </c>
    </row>
    <row r="58" customFormat="false" ht="31.5" hidden="false" customHeight="true" outlineLevel="0" collapsed="false">
      <c r="A58" s="3"/>
      <c r="B58" s="3"/>
      <c r="C58" s="28" t="s">
        <v>129</v>
      </c>
      <c r="D58" s="28"/>
      <c r="E58" s="28"/>
      <c r="F58" s="28"/>
      <c r="G58" s="28"/>
      <c r="H58" s="28"/>
    </row>
    <row r="59" customFormat="false" ht="15" hidden="false" customHeight="false" outlineLevel="0" collapsed="false">
      <c r="A59" s="3"/>
      <c r="B59" s="3"/>
      <c r="C59" s="33" t="s">
        <v>130</v>
      </c>
      <c r="D59" s="58"/>
      <c r="E59" s="59" t="s">
        <v>9</v>
      </c>
      <c r="F59" s="17" t="str">
        <f aca="false">IF(useExample="Yes",E59,D59)</f>
        <v>Yes</v>
      </c>
      <c r="G59" s="60" t="s">
        <v>131</v>
      </c>
      <c r="H59" s="34"/>
    </row>
    <row r="60" customFormat="false" ht="15" hidden="false" customHeight="false" outlineLevel="0" collapsed="false">
      <c r="A60" s="3"/>
      <c r="B60" s="3"/>
      <c r="C60" s="33" t="s">
        <v>132</v>
      </c>
      <c r="D60" s="58"/>
      <c r="E60" s="59" t="s">
        <v>9</v>
      </c>
      <c r="F60" s="17" t="str">
        <f aca="false">IF(useExample="Yes",E60,D60)</f>
        <v>Yes</v>
      </c>
      <c r="G60" s="60" t="s">
        <v>131</v>
      </c>
      <c r="H60" s="34"/>
    </row>
    <row r="61" customFormat="false" ht="15" hidden="false" customHeight="false" outlineLevel="0" collapsed="false">
      <c r="A61" s="3"/>
      <c r="B61" s="3"/>
      <c r="C61" s="33" t="s">
        <v>133</v>
      </c>
      <c r="D61" s="58"/>
      <c r="E61" s="59" t="s">
        <v>9</v>
      </c>
      <c r="F61" s="17" t="str">
        <f aca="false">IF(useExample="Yes",E61,D61)</f>
        <v>Yes</v>
      </c>
      <c r="G61" s="60" t="s">
        <v>131</v>
      </c>
      <c r="H61" s="34"/>
    </row>
    <row r="62" customFormat="false" ht="15" hidden="false" customHeight="false" outlineLevel="0" collapsed="false">
      <c r="A62" s="3"/>
      <c r="B62" s="3"/>
      <c r="C62" s="33" t="s">
        <v>134</v>
      </c>
      <c r="D62" s="58"/>
      <c r="E62" s="59" t="s">
        <v>9</v>
      </c>
      <c r="F62" s="17" t="str">
        <f aca="false">IF(useExample="Yes",E62,D62)</f>
        <v>Yes</v>
      </c>
      <c r="G62" s="60" t="s">
        <v>131</v>
      </c>
      <c r="H62" s="34"/>
    </row>
    <row r="63" customFormat="false" ht="15" hidden="false" customHeight="false" outlineLevel="0" collapsed="false">
      <c r="A63" s="3"/>
      <c r="B63" s="3"/>
      <c r="C63" s="33" t="s">
        <v>135</v>
      </c>
      <c r="D63" s="58"/>
      <c r="E63" s="59" t="s">
        <v>9</v>
      </c>
      <c r="F63" s="17" t="str">
        <f aca="false">IF(useExample="Yes",E63,D63)</f>
        <v>Yes</v>
      </c>
      <c r="G63" s="60" t="s">
        <v>131</v>
      </c>
      <c r="H63" s="34"/>
    </row>
    <row r="64" customFormat="false" ht="15" hidden="false" customHeight="false" outlineLevel="0" collapsed="false">
      <c r="A64" s="3"/>
      <c r="B64" s="3"/>
      <c r="C64" s="3"/>
      <c r="D64" s="3"/>
      <c r="E64" s="3"/>
      <c r="F64" s="3"/>
      <c r="G64" s="3"/>
      <c r="H64" s="3"/>
    </row>
    <row r="65" customFormat="false" ht="15" hidden="false" customHeight="false" outlineLevel="0" collapsed="false">
      <c r="A65" s="61" t="n">
        <v>13</v>
      </c>
      <c r="B65" s="62" t="s">
        <v>136</v>
      </c>
      <c r="C65" s="63" t="s">
        <v>137</v>
      </c>
      <c r="D65" s="64"/>
      <c r="E65" s="64"/>
      <c r="F65" s="64"/>
      <c r="G65" s="65" t="s">
        <v>138</v>
      </c>
      <c r="H65" s="61" t="str">
        <f aca="false">IF(F67&lt;&gt;"","Done","")</f>
        <v>Done</v>
      </c>
    </row>
    <row r="66" customFormat="false" ht="45.75" hidden="false" customHeight="true" outlineLevel="0" collapsed="false">
      <c r="A66" s="3"/>
      <c r="B66" s="3"/>
      <c r="C66" s="28" t="s">
        <v>139</v>
      </c>
      <c r="D66" s="28"/>
      <c r="E66" s="28"/>
      <c r="F66" s="28"/>
      <c r="G66" s="28"/>
      <c r="H66" s="28"/>
    </row>
    <row r="67" customFormat="false" ht="30" hidden="false" customHeight="true" outlineLevel="0" collapsed="false">
      <c r="A67" s="3"/>
      <c r="B67" s="3"/>
      <c r="C67" s="33" t="s">
        <v>140</v>
      </c>
      <c r="D67" s="44"/>
      <c r="E67" s="45" t="n">
        <v>6</v>
      </c>
      <c r="F67" s="46" t="n">
        <f aca="false">IF(useExample="Yes",E67,IF(D67="","",D67))</f>
        <v>6</v>
      </c>
      <c r="G67" s="35" t="s">
        <v>141</v>
      </c>
      <c r="H67" s="34"/>
    </row>
    <row r="68" customFormat="false" ht="15" hidden="false" customHeight="false" outlineLevel="0" collapsed="false">
      <c r="A68" s="3"/>
      <c r="B68" s="3"/>
      <c r="C68" s="3"/>
      <c r="D68" s="3"/>
      <c r="E68" s="3"/>
      <c r="F68" s="3"/>
      <c r="G68" s="3"/>
      <c r="H68" s="3"/>
    </row>
    <row r="69" customFormat="false" ht="15" hidden="false" customHeight="false" outlineLevel="0" collapsed="false">
      <c r="A69" s="61" t="n">
        <v>14</v>
      </c>
      <c r="B69" s="62" t="s">
        <v>136</v>
      </c>
      <c r="C69" s="63" t="s">
        <v>142</v>
      </c>
      <c r="D69" s="64"/>
      <c r="E69" s="64"/>
      <c r="F69" s="64"/>
      <c r="G69" s="65" t="s">
        <v>143</v>
      </c>
      <c r="H69" s="61" t="str">
        <f aca="false">IF(F71&lt;&gt;"","Done","")</f>
        <v>Done</v>
      </c>
    </row>
    <row r="70" customFormat="false" ht="31.5" hidden="false" customHeight="true" outlineLevel="0" collapsed="false">
      <c r="A70" s="3"/>
      <c r="B70" s="3"/>
      <c r="C70" s="28" t="s">
        <v>144</v>
      </c>
      <c r="D70" s="28"/>
      <c r="E70" s="28"/>
      <c r="F70" s="28"/>
      <c r="G70" s="28"/>
      <c r="H70" s="28"/>
    </row>
    <row r="71" customFormat="false" ht="57.75" hidden="false" customHeight="true" outlineLevel="0" collapsed="false">
      <c r="A71" s="3"/>
      <c r="B71" s="3"/>
      <c r="C71" s="33" t="s">
        <v>145</v>
      </c>
      <c r="D71" s="30"/>
      <c r="E71" s="31" t="s">
        <v>146</v>
      </c>
      <c r="F71" s="52" t="str">
        <f aca="false">IF(useExample="Yes",E71,IF(D71="","",D71))</f>
        <v>Upsell: earn more from each one</v>
      </c>
      <c r="G71" s="35" t="s">
        <v>147</v>
      </c>
      <c r="H71" s="34"/>
    </row>
    <row r="72" customFormat="false" ht="15" hidden="false" customHeight="false" outlineLevel="0" collapsed="false">
      <c r="A72" s="3"/>
      <c r="B72" s="3"/>
      <c r="C72" s="3"/>
      <c r="D72" s="3"/>
      <c r="E72" s="3"/>
      <c r="F72" s="3"/>
      <c r="G72" s="3"/>
      <c r="H72" s="3"/>
    </row>
    <row r="73" customFormat="false" ht="15" hidden="false" customHeight="false" outlineLevel="0" collapsed="false">
      <c r="A73" s="61" t="n">
        <v>15</v>
      </c>
      <c r="B73" s="62" t="s">
        <v>136</v>
      </c>
      <c r="C73" s="63" t="s">
        <v>148</v>
      </c>
      <c r="D73" s="64"/>
      <c r="E73" s="64"/>
      <c r="F73" s="64"/>
      <c r="G73" s="65" t="s">
        <v>149</v>
      </c>
      <c r="H73" s="61" t="str">
        <f aca="false">IF(COUNTIF(F75:F78,"Yes")=4,"Done",IF(COUNTIF(F75:F78,"Yes")&gt;0,"Part",""))</f>
        <v>Done</v>
      </c>
    </row>
    <row r="74" customFormat="false" ht="18" hidden="false" customHeight="true" outlineLevel="0" collapsed="false">
      <c r="A74" s="3"/>
      <c r="B74" s="3"/>
      <c r="C74" s="28" t="s">
        <v>150</v>
      </c>
      <c r="D74" s="28"/>
      <c r="E74" s="28"/>
      <c r="F74" s="28"/>
      <c r="G74" s="28"/>
      <c r="H74" s="28"/>
    </row>
    <row r="75" customFormat="false" ht="15" hidden="false" customHeight="false" outlineLevel="0" collapsed="false">
      <c r="A75" s="3"/>
      <c r="B75" s="3"/>
      <c r="C75" s="33" t="s">
        <v>151</v>
      </c>
      <c r="D75" s="58"/>
      <c r="E75" s="59" t="s">
        <v>9</v>
      </c>
      <c r="F75" s="17" t="str">
        <f aca="false">IF(useExample="Yes",E75,D75)</f>
        <v>Yes</v>
      </c>
      <c r="G75" s="60" t="s">
        <v>131</v>
      </c>
      <c r="H75" s="34"/>
    </row>
    <row r="76" customFormat="false" ht="15" hidden="false" customHeight="false" outlineLevel="0" collapsed="false">
      <c r="A76" s="3"/>
      <c r="B76" s="3"/>
      <c r="C76" s="33" t="s">
        <v>152</v>
      </c>
      <c r="D76" s="58"/>
      <c r="E76" s="59" t="s">
        <v>9</v>
      </c>
      <c r="F76" s="17" t="str">
        <f aca="false">IF(useExample="Yes",E76,D76)</f>
        <v>Yes</v>
      </c>
      <c r="G76" s="60" t="s">
        <v>131</v>
      </c>
      <c r="H76" s="34"/>
    </row>
    <row r="77" customFormat="false" ht="15" hidden="false" customHeight="false" outlineLevel="0" collapsed="false">
      <c r="A77" s="3"/>
      <c r="B77" s="3"/>
      <c r="C77" s="33" t="s">
        <v>153</v>
      </c>
      <c r="D77" s="58"/>
      <c r="E77" s="59" t="s">
        <v>9</v>
      </c>
      <c r="F77" s="17" t="str">
        <f aca="false">IF(useExample="Yes",E77,D77)</f>
        <v>Yes</v>
      </c>
      <c r="G77" s="60" t="s">
        <v>131</v>
      </c>
      <c r="H77" s="34"/>
    </row>
    <row r="78" customFormat="false" ht="15" hidden="false" customHeight="false" outlineLevel="0" collapsed="false">
      <c r="A78" s="3"/>
      <c r="B78" s="3"/>
      <c r="C78" s="33" t="s">
        <v>154</v>
      </c>
      <c r="D78" s="58"/>
      <c r="E78" s="59" t="s">
        <v>9</v>
      </c>
      <c r="F78" s="17" t="str">
        <f aca="false">IF(useExample="Yes",E78,D78)</f>
        <v>Yes</v>
      </c>
      <c r="G78" s="60" t="s">
        <v>131</v>
      </c>
      <c r="H78" s="34"/>
    </row>
  </sheetData>
  <mergeCells count="20">
    <mergeCell ref="A1:H1"/>
    <mergeCell ref="A2:H2"/>
    <mergeCell ref="C6:H6"/>
    <mergeCell ref="C8:H8"/>
    <mergeCell ref="C11:H11"/>
    <mergeCell ref="C13:H13"/>
    <mergeCell ref="C16:H16"/>
    <mergeCell ref="C18:H18"/>
    <mergeCell ref="C21:H21"/>
    <mergeCell ref="C25:H25"/>
    <mergeCell ref="C29:H29"/>
    <mergeCell ref="C34:H34"/>
    <mergeCell ref="C39:H39"/>
    <mergeCell ref="C43:H43"/>
    <mergeCell ref="C50:H50"/>
    <mergeCell ref="C54:H54"/>
    <mergeCell ref="C58:H58"/>
    <mergeCell ref="C66:H66"/>
    <mergeCell ref="C70:H70"/>
    <mergeCell ref="C74:H74"/>
  </mergeCells>
  <conditionalFormatting sqref="H5:H80">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3">
    <dataValidation allowBlank="true" errorStyle="stop" operator="between" showDropDown="false" showErrorMessage="false" showInputMessage="false" sqref="D59:D63 D75:D78" type="list">
      <formula1>"Yes,No"</formula1>
      <formula2>0</formula2>
    </dataValidation>
    <dataValidation allowBlank="true" errorStyle="stop" operator="between" showDropDown="false" showErrorMessage="false" showInputMessage="false" sqref="D7" type="list">
      <formula1>"A product with a good price,A sequence of offers: the first yes; a bigger yes; a smaller yes after a no; and a repeating yes,A marketing budget"</formula1>
      <formula2>0</formula2>
    </dataValidation>
    <dataValidation allowBlank="true" errorStyle="stop" operator="between" showDropDown="false" showErrorMessage="false" showInputMessage="false" sqref="D12" type="list">
      <formula1>"At least $150; and ideally $300 or more,Whatever they pay over their lifetime,Nothing; as long as the business is profitable by year end"</formula1>
      <formula2>0</formula2>
    </dataValidation>
    <dataValidation allowBlank="true" errorStyle="stop" operator="between" showDropDown="false" showErrorMessage="false" showInputMessage="false" sqref="D17" type="list">
      <formula1>"Another attraction offer,A downsell: the same promise in a lighter or easier form,Nothing; the sale is over"</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Type a number, or leave it blank if you do not know yet." errorStyle="stop" operator="greaterThanOrEqual" showDropDown="false" showErrorMessage="false" showInputMessage="false" sqref="D31" type="decimal">
      <formula1>-1000000000</formula1>
      <formula2>0</formula2>
    </dataValidation>
    <dataValidation allowBlank="true" errorStyle="stop" operator="between" showDropDown="false" showErrorMessage="false" showInputMessage="false" sqref="D40" type="list">
      <formula1>"Not enough customers,Each customer does not pay enough,They do not stay or come back,It costs too much to serve them"</formula1>
      <formula2>0</formula2>
    </dataValidation>
    <dataValidation allowBlank="true" error="Type a number, or leave it blank if you do not know yet." errorStyle="stop" operator="greaterThanOrEqual" showDropDown="false" showErrorMessage="false" showInputMessage="false" sqref="D51" type="decimal">
      <formula1>-1000000000</formula1>
      <formula2>0</formula2>
    </dataValidation>
    <dataValidation allowBlank="true" error="Type a number, or leave it blank if you do not know yet." errorStyle="stop" operator="greaterThanOrEqual" showDropDown="false" showErrorMessage="false" showInputMessage="false" sqref="D55" type="decimal">
      <formula1>-1000000000</formula1>
      <formula2>0</formula2>
    </dataValidation>
    <dataValidation allowBlank="true" error="Type a number, or leave it blank if you do not know yet." errorStyle="stop" operator="greaterThanOrEqual" showDropDown="false" showErrorMessage="false" showInputMessage="false" sqref="D67" type="decimal">
      <formula1>-1000000000</formula1>
      <formula2>0</formula2>
    </dataValidation>
    <dataValidation allowBlank="true" errorStyle="stop" operator="between" showDropDown="false" showErrorMessage="false" showInputMessage="false" sqref="D71" type="list">
      <formula1>"Attraction: bring more people in,Upsell: earn more from each one,Downsell: lose fewer at the no,Continuity: keep them paying"</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155</v>
      </c>
      <c r="B1" s="21"/>
      <c r="C1" s="21"/>
      <c r="D1" s="21"/>
      <c r="E1" s="21"/>
      <c r="F1" s="21"/>
      <c r="G1" s="21"/>
      <c r="H1" s="21"/>
    </row>
    <row r="2" customFormat="false" ht="15" hidden="false" customHeight="false" outlineLevel="0" collapsed="false">
      <c r="A2" s="2" t="s">
        <v>156</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157</v>
      </c>
      <c r="D5" s="26"/>
      <c r="E5" s="26"/>
      <c r="F5" s="26"/>
      <c r="G5" s="27" t="s">
        <v>54</v>
      </c>
      <c r="H5" s="23" t="str">
        <f aca="false">IF(F7="","",IF(F7="Good: the customer cost nothing net; and the upsell and continuity are still to come","Done","Not yet"))</f>
        <v>Done</v>
      </c>
    </row>
    <row r="6" customFormat="false" ht="115.5" hidden="false" customHeight="true" outlineLevel="0" collapsed="false">
      <c r="A6" s="3"/>
      <c r="B6" s="3"/>
      <c r="C6" s="28" t="s">
        <v>158</v>
      </c>
      <c r="D6" s="28"/>
      <c r="E6" s="28"/>
      <c r="F6" s="28"/>
      <c r="G6" s="28"/>
      <c r="H6" s="28"/>
    </row>
    <row r="7" customFormat="false" ht="31.5" hidden="false" customHeight="true" outlineLevel="0" collapsed="false">
      <c r="A7" s="3"/>
      <c r="B7" s="3"/>
      <c r="C7" s="29" t="s">
        <v>159</v>
      </c>
      <c r="D7" s="30"/>
      <c r="E7" s="31" t="s">
        <v>160</v>
      </c>
      <c r="F7" s="32" t="str">
        <f aca="false">IF(useExample="Yes",E7,D7)</f>
        <v>Good: the customer cost nothing net; and the upsell and continuity are still to come</v>
      </c>
      <c r="G7" s="33" t="str">
        <f aca="false">IF(F7="","",IF(F7="Good: the customer cost nothing net; and the upsell and continuity are still to come","Right. A free customer who then sees an upsell and a continuity offer is the whole idea.","Not quite. A free customer who then sees an upsell and a continuity offer is the whole idea."))</f>
        <v>Right. A free customer who then sees an upsell and a continuity offer is the whole idea.</v>
      </c>
      <c r="H7" s="34"/>
    </row>
    <row r="8" customFormat="false" ht="30" hidden="false" customHeight="true" outlineLevel="0" collapsed="false">
      <c r="A8" s="3"/>
      <c r="B8" s="3"/>
      <c r="C8" s="35" t="s">
        <v>161</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162</v>
      </c>
      <c r="D10" s="26"/>
      <c r="E10" s="26"/>
      <c r="F10" s="26"/>
      <c r="G10" s="27" t="s">
        <v>163</v>
      </c>
      <c r="H10" s="23" t="str">
        <f aca="false">IF(F12="","",IF(F12="The few who hit the stated result and followed every rule","Done","Not yet"))</f>
        <v>Done</v>
      </c>
    </row>
    <row r="11" customFormat="false" ht="199.5" hidden="false" customHeight="true" outlineLevel="0" collapsed="false">
      <c r="A11" s="3"/>
      <c r="B11" s="3"/>
      <c r="C11" s="28" t="s">
        <v>164</v>
      </c>
      <c r="D11" s="28"/>
      <c r="E11" s="28"/>
      <c r="F11" s="28"/>
      <c r="G11" s="28"/>
      <c r="H11" s="28"/>
    </row>
    <row r="12" customFormat="false" ht="60" hidden="false" customHeight="true" outlineLevel="0" collapsed="false">
      <c r="A12" s="3"/>
      <c r="B12" s="3"/>
      <c r="C12" s="29" t="s">
        <v>165</v>
      </c>
      <c r="D12" s="30"/>
      <c r="E12" s="31" t="s">
        <v>166</v>
      </c>
      <c r="F12" s="32" t="str">
        <f aca="false">IF(useExample="Yes",E12,D12)</f>
        <v>The few who hit the stated result and followed every rule</v>
      </c>
      <c r="G12" s="33" t="str">
        <f aca="false">IF(F12="","",IF(F12="The few who hit the stated result and followed every rule","Right. The condition is real and reachable. The people who reach it are your best customers, and the refund is cheaper than the ad that would have found them.","Not quite. The condition is real and reachable. The people who reach it are your best customers, and the refund is cheaper than the ad that would have found them."))</f>
        <v>Right. The condition is real and reachable. The people who reach it are your best customers, and the refund is cheaper than the ad that would have found them.</v>
      </c>
      <c r="H12" s="34"/>
    </row>
    <row r="13" customFormat="false" ht="15.75" hidden="false" customHeight="true" outlineLevel="0" collapsed="false">
      <c r="A13" s="3"/>
      <c r="B13" s="3"/>
      <c r="C13" s="35" t="s">
        <v>167</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168</v>
      </c>
      <c r="D15" s="26"/>
      <c r="E15" s="26"/>
      <c r="F15" s="26"/>
      <c r="G15" s="27" t="s">
        <v>54</v>
      </c>
      <c r="H15" s="23" t="str">
        <f aca="false">IF(F17="","",IF(F17="'50% off everything this month'","Done","Not yet"))</f>
        <v>Done</v>
      </c>
    </row>
    <row r="16" customFormat="false" ht="87.75" hidden="false" customHeight="true" outlineLevel="0" collapsed="false">
      <c r="A16" s="3"/>
      <c r="B16" s="3"/>
      <c r="C16" s="28" t="s">
        <v>169</v>
      </c>
      <c r="D16" s="28"/>
      <c r="E16" s="28"/>
      <c r="F16" s="28"/>
      <c r="G16" s="28"/>
      <c r="H16" s="28"/>
    </row>
    <row r="17" customFormat="false" ht="31.5" hidden="false" customHeight="true" outlineLevel="0" collapsed="false">
      <c r="A17" s="3"/>
      <c r="B17" s="3"/>
      <c r="C17" s="29" t="s">
        <v>170</v>
      </c>
      <c r="D17" s="30"/>
      <c r="E17" s="31" t="s">
        <v>171</v>
      </c>
      <c r="F17" s="32" t="str">
        <f aca="false">IF(useExample="Yes",E17,D17)</f>
        <v>'50% off everything this month'</v>
      </c>
      <c r="G17" s="33" t="str">
        <f aca="false">IF(F17="","",IF(F17="'50% off everything this month'","Right. A discount has no result, no reason and no string. The other two have all three.","Not quite. A discount has no result, no reason and no string. The other two have all three."))</f>
        <v>Right. A discount has no result, no reason and no string. The other two have all three.</v>
      </c>
      <c r="H17" s="34"/>
    </row>
    <row r="18" customFormat="false" ht="30" hidden="false" customHeight="true" outlineLevel="0" collapsed="false">
      <c r="A18" s="3"/>
      <c r="B18" s="3"/>
      <c r="C18" s="35" t="s">
        <v>172</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173</v>
      </c>
      <c r="D20" s="39"/>
      <c r="E20" s="39"/>
      <c r="F20" s="39"/>
      <c r="G20" s="40" t="s">
        <v>71</v>
      </c>
      <c r="H20" s="36" t="str">
        <f aca="false">IF(F22&lt;&gt;"","Done","")</f>
        <v>Done</v>
      </c>
    </row>
    <row r="21" customFormat="false" ht="18" hidden="false" customHeight="true" outlineLevel="0" collapsed="false">
      <c r="A21" s="3"/>
      <c r="B21" s="3"/>
      <c r="C21" s="28" t="s">
        <v>174</v>
      </c>
      <c r="D21" s="28"/>
      <c r="E21" s="28"/>
      <c r="F21" s="28"/>
      <c r="G21" s="28"/>
      <c r="H21" s="28"/>
    </row>
    <row r="22" customFormat="false" ht="30" hidden="false" customHeight="true" outlineLevel="0" collapsed="false">
      <c r="A22" s="3"/>
      <c r="B22" s="3"/>
      <c r="C22" s="33" t="s">
        <v>175</v>
      </c>
      <c r="D22" s="41"/>
      <c r="E22" s="42" t="n">
        <v>500</v>
      </c>
      <c r="F22" s="43" t="n">
        <f aca="false">IF(useExample="Yes",E22,IF(D22="","",D22))</f>
        <v>500</v>
      </c>
      <c r="G22" s="35" t="s">
        <v>176</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177</v>
      </c>
      <c r="D24" s="39"/>
      <c r="E24" s="39"/>
      <c r="F24" s="39"/>
      <c r="G24" s="40" t="s">
        <v>76</v>
      </c>
      <c r="H24" s="36" t="str">
        <f aca="false">IF(F26&lt;&gt;"","Done","")</f>
        <v>Done</v>
      </c>
    </row>
    <row r="25" customFormat="false" ht="31.5" hidden="false" customHeight="true" outlineLevel="0" collapsed="false">
      <c r="A25" s="3"/>
      <c r="B25" s="3"/>
      <c r="C25" s="28" t="s">
        <v>178</v>
      </c>
      <c r="D25" s="28"/>
      <c r="E25" s="28"/>
      <c r="F25" s="28"/>
      <c r="G25" s="28"/>
      <c r="H25" s="28"/>
    </row>
    <row r="26" customFormat="false" ht="15.75" hidden="false" customHeight="true" outlineLevel="0" collapsed="false">
      <c r="A26" s="3"/>
      <c r="B26" s="3"/>
      <c r="C26" s="33" t="s">
        <v>179</v>
      </c>
      <c r="D26" s="41"/>
      <c r="E26" s="42" t="n">
        <v>120</v>
      </c>
      <c r="F26" s="43" t="n">
        <f aca="false">IF(useExample="Yes",E26,IF(D26="","",D26))</f>
        <v>120</v>
      </c>
      <c r="G26" s="35" t="s">
        <v>180</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181</v>
      </c>
      <c r="D28" s="39"/>
      <c r="E28" s="39"/>
      <c r="F28" s="39"/>
      <c r="G28" s="40" t="s">
        <v>76</v>
      </c>
      <c r="H28" s="36" t="str">
        <f aca="false">IF(AND(F30&lt;&gt;"",F31&lt;&gt;""),"Done",IF(OR(F30&lt;&gt;"",F31&lt;&gt;""),"Part",""))</f>
        <v>Done</v>
      </c>
    </row>
    <row r="29" customFormat="false" ht="31.5" hidden="false" customHeight="true" outlineLevel="0" collapsed="false">
      <c r="A29" s="3"/>
      <c r="B29" s="3"/>
      <c r="C29" s="28" t="s">
        <v>182</v>
      </c>
      <c r="D29" s="28"/>
      <c r="E29" s="28"/>
      <c r="F29" s="28"/>
      <c r="G29" s="28"/>
      <c r="H29" s="28"/>
    </row>
    <row r="30" customFormat="false" ht="30" hidden="false" customHeight="true" outlineLevel="0" collapsed="false">
      <c r="A30" s="3"/>
      <c r="B30" s="3"/>
      <c r="C30" s="33" t="s">
        <v>183</v>
      </c>
      <c r="D30" s="44"/>
      <c r="E30" s="45" t="n">
        <v>400</v>
      </c>
      <c r="F30" s="46" t="n">
        <f aca="false">IF(useExample="Yes",E30,IF(D30="","",D30))</f>
        <v>400</v>
      </c>
      <c r="G30" s="35" t="s">
        <v>184</v>
      </c>
      <c r="H30" s="34"/>
    </row>
    <row r="31" customFormat="false" ht="30" hidden="false" customHeight="true" outlineLevel="0" collapsed="false">
      <c r="A31" s="3"/>
      <c r="B31" s="3"/>
      <c r="C31" s="33" t="s">
        <v>185</v>
      </c>
      <c r="D31" s="66"/>
      <c r="E31" s="67" t="n">
        <v>0.1</v>
      </c>
      <c r="F31" s="68" t="n">
        <f aca="false">IF(useExample="Yes",E31,IF(D31="","",D31))</f>
        <v>0.1</v>
      </c>
      <c r="G31" s="35" t="s">
        <v>186</v>
      </c>
      <c r="H31" s="34"/>
    </row>
    <row r="32" customFormat="false" ht="15" hidden="false" customHeight="false" outlineLevel="0" collapsed="false">
      <c r="A32" s="3"/>
      <c r="B32" s="3"/>
      <c r="C32" s="3"/>
      <c r="D32" s="3"/>
      <c r="E32" s="3"/>
      <c r="F32" s="3"/>
      <c r="G32" s="3"/>
      <c r="H32" s="3"/>
    </row>
    <row r="33" customFormat="false" ht="15" hidden="false" customHeight="false" outlineLevel="0" collapsed="false">
      <c r="A33" s="47" t="n">
        <v>7</v>
      </c>
      <c r="B33" s="48" t="s">
        <v>87</v>
      </c>
      <c r="C33" s="49" t="s">
        <v>187</v>
      </c>
      <c r="D33" s="50"/>
      <c r="E33" s="50"/>
      <c r="F33" s="50"/>
      <c r="G33" s="51" t="s">
        <v>98</v>
      </c>
      <c r="H33" s="47" t="str">
        <f aca="false">IF(F35&lt;&gt;"","Done","")</f>
        <v>Done</v>
      </c>
    </row>
    <row r="34" customFormat="false" ht="18" hidden="false" customHeight="true" outlineLevel="0" collapsed="false">
      <c r="A34" s="3"/>
      <c r="B34" s="3"/>
      <c r="C34" s="28" t="s">
        <v>188</v>
      </c>
      <c r="D34" s="28"/>
      <c r="E34" s="28"/>
      <c r="F34" s="28"/>
      <c r="G34" s="28"/>
      <c r="H34" s="28"/>
    </row>
    <row r="35" customFormat="false" ht="43.5" hidden="false" customHeight="true" outlineLevel="0" collapsed="false">
      <c r="A35" s="3"/>
      <c r="B35" s="3"/>
      <c r="C35" s="33" t="s">
        <v>189</v>
      </c>
      <c r="D35" s="30"/>
      <c r="E35" s="31" t="s">
        <v>190</v>
      </c>
      <c r="F35" s="52" t="str">
        <f aca="false">IF(useExample="Yes",E35,IF(D35="","",D35))</f>
        <v>Win your money back</v>
      </c>
      <c r="G35" s="35" t="s">
        <v>191</v>
      </c>
      <c r="H35" s="34"/>
    </row>
    <row r="36" customFormat="false" ht="15" hidden="false" customHeight="false" outlineLevel="0" collapsed="false">
      <c r="A36" s="3"/>
      <c r="B36" s="3"/>
      <c r="C36" s="3"/>
      <c r="D36" s="3"/>
      <c r="E36" s="3"/>
      <c r="F36" s="3"/>
      <c r="G36" s="3"/>
      <c r="H36" s="3"/>
    </row>
    <row r="37" customFormat="false" ht="15" hidden="false" customHeight="false" outlineLevel="0" collapsed="false">
      <c r="A37" s="47" t="n">
        <v>8</v>
      </c>
      <c r="B37" s="48" t="s">
        <v>87</v>
      </c>
      <c r="C37" s="49" t="s">
        <v>192</v>
      </c>
      <c r="D37" s="50"/>
      <c r="E37" s="50"/>
      <c r="F37" s="50"/>
      <c r="G37" s="51" t="s">
        <v>193</v>
      </c>
      <c r="H37" s="47" t="str">
        <f aca="false">IF(AND(F39&lt;&gt;"",F40&lt;&gt;""),"Done",IF(OR(F39&lt;&gt;"",F40&lt;&gt;""),"Part",""))</f>
        <v>Done</v>
      </c>
    </row>
    <row r="38" customFormat="false" ht="60" hidden="false" customHeight="true" outlineLevel="0" collapsed="false">
      <c r="A38" s="3"/>
      <c r="B38" s="3"/>
      <c r="C38" s="28" t="s">
        <v>194</v>
      </c>
      <c r="D38" s="28"/>
      <c r="E38" s="28"/>
      <c r="F38" s="28"/>
      <c r="G38" s="28"/>
      <c r="H38" s="28"/>
    </row>
    <row r="39" customFormat="false" ht="72" hidden="false" customHeight="true" outlineLevel="0" collapsed="false">
      <c r="A39" s="3"/>
      <c r="B39" s="3"/>
      <c r="C39" s="33" t="s">
        <v>195</v>
      </c>
      <c r="D39" s="30"/>
      <c r="E39" s="31" t="s">
        <v>196</v>
      </c>
      <c r="F39" s="52" t="str">
        <f aca="false">IF(useExample="Yes",E39,IF(D39="","",D39))</f>
        <v>Lose ten pounds in six weeks for $500, and win it all back if you finish every session.</v>
      </c>
      <c r="G39" s="35" t="s">
        <v>197</v>
      </c>
      <c r="H39" s="34"/>
    </row>
    <row r="40" customFormat="false" ht="43.5" hidden="false" customHeight="true" outlineLevel="0" collapsed="false">
      <c r="A40" s="3"/>
      <c r="B40" s="3"/>
      <c r="C40" s="33" t="s">
        <v>198</v>
      </c>
      <c r="D40" s="30"/>
      <c r="E40" s="31" t="s">
        <v>199</v>
      </c>
      <c r="F40" s="52" t="str">
        <f aca="false">IF(useExample="Yes",E40,IF(D40="","",D40))</f>
        <v>The week-two results check-in with a coach</v>
      </c>
      <c r="G40" s="35" t="s">
        <v>200</v>
      </c>
      <c r="H40" s="34"/>
    </row>
    <row r="41" customFormat="false" ht="15" hidden="false" customHeight="false" outlineLevel="0" collapsed="false">
      <c r="A41" s="3"/>
      <c r="B41" s="3"/>
      <c r="C41" s="3"/>
      <c r="D41" s="3"/>
      <c r="E41" s="3"/>
      <c r="F41" s="3"/>
      <c r="G41" s="3"/>
      <c r="H41" s="3"/>
    </row>
    <row r="42" customFormat="false" ht="15" hidden="false" customHeight="false" outlineLevel="0" collapsed="false">
      <c r="A42" s="47" t="n">
        <v>9</v>
      </c>
      <c r="B42" s="48" t="s">
        <v>87</v>
      </c>
      <c r="C42" s="49" t="s">
        <v>201</v>
      </c>
      <c r="D42" s="50"/>
      <c r="E42" s="50"/>
      <c r="F42" s="50"/>
      <c r="G42" s="51" t="s">
        <v>104</v>
      </c>
      <c r="H42" s="47" t="str">
        <f aca="false">IF(COUNTIF(F44:F50,"Yes")=7,"Done",IF(COUNTIF(F44:F50,"Yes")&gt;0,"Part",""))</f>
        <v>Done</v>
      </c>
    </row>
    <row r="43" customFormat="false" ht="18" hidden="false" customHeight="true" outlineLevel="0" collapsed="false">
      <c r="A43" s="3"/>
      <c r="B43" s="3"/>
      <c r="C43" s="28" t="s">
        <v>202</v>
      </c>
      <c r="D43" s="28"/>
      <c r="E43" s="28"/>
      <c r="F43" s="28"/>
      <c r="G43" s="28"/>
      <c r="H43" s="28"/>
    </row>
    <row r="44" customFormat="false" ht="15" hidden="false" customHeight="false" outlineLevel="0" collapsed="false">
      <c r="A44" s="3"/>
      <c r="B44" s="3"/>
      <c r="C44" s="33" t="s">
        <v>203</v>
      </c>
      <c r="D44" s="58"/>
      <c r="E44" s="59" t="s">
        <v>9</v>
      </c>
      <c r="F44" s="17" t="str">
        <f aca="false">IF(useExample="Yes",E44,D44)</f>
        <v>Yes</v>
      </c>
      <c r="G44" s="60" t="s">
        <v>131</v>
      </c>
      <c r="H44" s="34"/>
    </row>
    <row r="45" customFormat="false" ht="15" hidden="false" customHeight="false" outlineLevel="0" collapsed="false">
      <c r="A45" s="3"/>
      <c r="B45" s="3"/>
      <c r="C45" s="33" t="s">
        <v>204</v>
      </c>
      <c r="D45" s="58"/>
      <c r="E45" s="59" t="s">
        <v>9</v>
      </c>
      <c r="F45" s="17" t="str">
        <f aca="false">IF(useExample="Yes",E45,D45)</f>
        <v>Yes</v>
      </c>
      <c r="G45" s="60" t="s">
        <v>131</v>
      </c>
      <c r="H45" s="34"/>
    </row>
    <row r="46" customFormat="false" ht="15" hidden="false" customHeight="false" outlineLevel="0" collapsed="false">
      <c r="A46" s="3"/>
      <c r="B46" s="3"/>
      <c r="C46" s="33" t="s">
        <v>205</v>
      </c>
      <c r="D46" s="58"/>
      <c r="E46" s="59" t="s">
        <v>9</v>
      </c>
      <c r="F46" s="17" t="str">
        <f aca="false">IF(useExample="Yes",E46,D46)</f>
        <v>Yes</v>
      </c>
      <c r="G46" s="60" t="s">
        <v>131</v>
      </c>
      <c r="H46" s="34"/>
    </row>
    <row r="47" customFormat="false" ht="15" hidden="false" customHeight="false" outlineLevel="0" collapsed="false">
      <c r="A47" s="3"/>
      <c r="B47" s="3"/>
      <c r="C47" s="33" t="s">
        <v>206</v>
      </c>
      <c r="D47" s="58"/>
      <c r="E47" s="59" t="s">
        <v>9</v>
      </c>
      <c r="F47" s="17" t="str">
        <f aca="false">IF(useExample="Yes",E47,D47)</f>
        <v>Yes</v>
      </c>
      <c r="G47" s="60" t="s">
        <v>131</v>
      </c>
      <c r="H47" s="34"/>
    </row>
    <row r="48" customFormat="false" ht="15" hidden="false" customHeight="false" outlineLevel="0" collapsed="false">
      <c r="A48" s="3"/>
      <c r="B48" s="3"/>
      <c r="C48" s="33" t="s">
        <v>207</v>
      </c>
      <c r="D48" s="58"/>
      <c r="E48" s="59" t="s">
        <v>9</v>
      </c>
      <c r="F48" s="17" t="str">
        <f aca="false">IF(useExample="Yes",E48,D48)</f>
        <v>Yes</v>
      </c>
      <c r="G48" s="60" t="s">
        <v>131</v>
      </c>
      <c r="H48" s="34"/>
    </row>
    <row r="49" customFormat="false" ht="15" hidden="false" customHeight="false" outlineLevel="0" collapsed="false">
      <c r="A49" s="3"/>
      <c r="B49" s="3"/>
      <c r="C49" s="33" t="s">
        <v>208</v>
      </c>
      <c r="D49" s="58"/>
      <c r="E49" s="59" t="s">
        <v>9</v>
      </c>
      <c r="F49" s="17" t="str">
        <f aca="false">IF(useExample="Yes",E49,D49)</f>
        <v>Yes</v>
      </c>
      <c r="G49" s="60" t="s">
        <v>131</v>
      </c>
      <c r="H49" s="34"/>
    </row>
    <row r="50" customFormat="false" ht="15" hidden="false" customHeight="false" outlineLevel="0" collapsed="false">
      <c r="A50" s="3"/>
      <c r="B50" s="3"/>
      <c r="C50" s="33" t="s">
        <v>209</v>
      </c>
      <c r="D50" s="58"/>
      <c r="E50" s="59" t="s">
        <v>9</v>
      </c>
      <c r="F50" s="17" t="str">
        <f aca="false">IF(useExample="Yes",E50,D50)</f>
        <v>Yes</v>
      </c>
      <c r="G50" s="60" t="s">
        <v>131</v>
      </c>
      <c r="H50" s="34"/>
    </row>
    <row r="51" customFormat="false" ht="15" hidden="false" customHeight="false" outlineLevel="0" collapsed="false">
      <c r="A51" s="3"/>
      <c r="B51" s="3"/>
      <c r="C51" s="3"/>
      <c r="D51" s="3"/>
      <c r="E51" s="3"/>
      <c r="F51" s="3"/>
      <c r="G51" s="3"/>
      <c r="H51" s="3"/>
    </row>
    <row r="52" customFormat="false" ht="15" hidden="false" customHeight="false" outlineLevel="0" collapsed="false">
      <c r="A52" s="53" t="n">
        <v>10</v>
      </c>
      <c r="B52" s="54" t="s">
        <v>116</v>
      </c>
      <c r="C52" s="55" t="s">
        <v>210</v>
      </c>
      <c r="D52" s="56"/>
      <c r="E52" s="56"/>
      <c r="F52" s="56"/>
      <c r="G52" s="57" t="s">
        <v>211</v>
      </c>
      <c r="H52" s="53" t="str">
        <f aca="false">IF(F54&lt;&gt;"","Done","")</f>
        <v>Done</v>
      </c>
    </row>
    <row r="53" customFormat="false" ht="31.5" hidden="false" customHeight="true" outlineLevel="0" collapsed="false">
      <c r="A53" s="3"/>
      <c r="B53" s="3"/>
      <c r="C53" s="28" t="s">
        <v>212</v>
      </c>
      <c r="D53" s="28"/>
      <c r="E53" s="28"/>
      <c r="F53" s="28"/>
      <c r="G53" s="28"/>
      <c r="H53" s="28"/>
    </row>
    <row r="54" customFormat="false" ht="30" hidden="false" customHeight="true" outlineLevel="0" collapsed="false">
      <c r="A54" s="3"/>
      <c r="B54" s="3"/>
      <c r="C54" s="33" t="s">
        <v>213</v>
      </c>
      <c r="D54" s="66"/>
      <c r="E54" s="67" t="n">
        <v>0.85</v>
      </c>
      <c r="F54" s="68" t="n">
        <f aca="false">IF(useExample="Yes",E54,IF(D54="","",D54))</f>
        <v>0.85</v>
      </c>
      <c r="G54" s="35" t="s">
        <v>214</v>
      </c>
      <c r="H54" s="34"/>
    </row>
    <row r="55" customFormat="false" ht="15" hidden="false" customHeight="false" outlineLevel="0" collapsed="false">
      <c r="A55" s="3"/>
      <c r="B55" s="3"/>
      <c r="C55" s="3"/>
      <c r="D55" s="3"/>
      <c r="E55" s="3"/>
      <c r="F55" s="3"/>
      <c r="G55" s="3"/>
      <c r="H55" s="3"/>
    </row>
    <row r="56" customFormat="false" ht="15" hidden="false" customHeight="false" outlineLevel="0" collapsed="false">
      <c r="A56" s="53" t="n">
        <v>11</v>
      </c>
      <c r="B56" s="54" t="s">
        <v>116</v>
      </c>
      <c r="C56" s="55" t="s">
        <v>215</v>
      </c>
      <c r="D56" s="56"/>
      <c r="E56" s="56"/>
      <c r="F56" s="56"/>
      <c r="G56" s="57" t="s">
        <v>211</v>
      </c>
      <c r="H56" s="53" t="str">
        <f aca="false">IF(F58&lt;&gt;"","Done","")</f>
        <v>Done</v>
      </c>
    </row>
    <row r="57" customFormat="false" ht="31.5" hidden="false" customHeight="true" outlineLevel="0" collapsed="false">
      <c r="A57" s="3"/>
      <c r="B57" s="3"/>
      <c r="C57" s="28" t="s">
        <v>216</v>
      </c>
      <c r="D57" s="28"/>
      <c r="E57" s="28"/>
      <c r="F57" s="28"/>
      <c r="G57" s="28"/>
      <c r="H57" s="28"/>
    </row>
    <row r="58" customFormat="false" ht="30" hidden="false" customHeight="true" outlineLevel="0" collapsed="false">
      <c r="A58" s="3"/>
      <c r="B58" s="3"/>
      <c r="C58" s="33" t="s">
        <v>217</v>
      </c>
      <c r="D58" s="66"/>
      <c r="E58" s="67" t="n">
        <v>0.12</v>
      </c>
      <c r="F58" s="68" t="n">
        <f aca="false">IF(useExample="Yes",E58,IF(D58="","",D58))</f>
        <v>0.12</v>
      </c>
      <c r="G58" s="35" t="s">
        <v>218</v>
      </c>
      <c r="H58" s="34"/>
    </row>
    <row r="59" customFormat="false" ht="15" hidden="false" customHeight="false" outlineLevel="0" collapsed="false">
      <c r="A59" s="3"/>
      <c r="B59" s="3"/>
      <c r="C59" s="3"/>
      <c r="D59" s="3"/>
      <c r="E59" s="3"/>
      <c r="F59" s="3"/>
      <c r="G59" s="3"/>
      <c r="H59" s="3"/>
    </row>
    <row r="60" customFormat="false" ht="15" hidden="false" customHeight="false" outlineLevel="0" collapsed="false">
      <c r="A60" s="53" t="n">
        <v>12</v>
      </c>
      <c r="B60" s="54" t="s">
        <v>116</v>
      </c>
      <c r="C60" s="55" t="s">
        <v>219</v>
      </c>
      <c r="D60" s="56"/>
      <c r="E60" s="56"/>
      <c r="F60" s="56"/>
      <c r="G60" s="57" t="s">
        <v>220</v>
      </c>
      <c r="H60" s="53" t="str">
        <f aca="false">IF(COUNTIF(F62:F67,"Yes")=6,"Done",IF(COUNTIF(F62:F67,"Yes")&gt;0,"Part",""))</f>
        <v>Done</v>
      </c>
    </row>
    <row r="61" customFormat="false" ht="18" hidden="false" customHeight="true" outlineLevel="0" collapsed="false">
      <c r="A61" s="3"/>
      <c r="B61" s="3"/>
      <c r="C61" s="28" t="s">
        <v>221</v>
      </c>
      <c r="D61" s="28"/>
      <c r="E61" s="28"/>
      <c r="F61" s="28"/>
      <c r="G61" s="28"/>
      <c r="H61" s="28"/>
    </row>
    <row r="62" customFormat="false" ht="15" hidden="false" customHeight="false" outlineLevel="0" collapsed="false">
      <c r="A62" s="3"/>
      <c r="B62" s="3"/>
      <c r="C62" s="33" t="s">
        <v>222</v>
      </c>
      <c r="D62" s="58"/>
      <c r="E62" s="59" t="s">
        <v>9</v>
      </c>
      <c r="F62" s="17" t="str">
        <f aca="false">IF(useExample="Yes",E62,D62)</f>
        <v>Yes</v>
      </c>
      <c r="G62" s="60" t="s">
        <v>131</v>
      </c>
      <c r="H62" s="34"/>
    </row>
    <row r="63" customFormat="false" ht="15" hidden="false" customHeight="false" outlineLevel="0" collapsed="false">
      <c r="A63" s="3"/>
      <c r="B63" s="3"/>
      <c r="C63" s="33" t="s">
        <v>223</v>
      </c>
      <c r="D63" s="58"/>
      <c r="E63" s="59" t="s">
        <v>9</v>
      </c>
      <c r="F63" s="17" t="str">
        <f aca="false">IF(useExample="Yes",E63,D63)</f>
        <v>Yes</v>
      </c>
      <c r="G63" s="60" t="s">
        <v>131</v>
      </c>
      <c r="H63" s="34"/>
    </row>
    <row r="64" customFormat="false" ht="15" hidden="false" customHeight="false" outlineLevel="0" collapsed="false">
      <c r="A64" s="3"/>
      <c r="B64" s="3"/>
      <c r="C64" s="33" t="s">
        <v>224</v>
      </c>
      <c r="D64" s="58"/>
      <c r="E64" s="59" t="s">
        <v>9</v>
      </c>
      <c r="F64" s="17" t="str">
        <f aca="false">IF(useExample="Yes",E64,D64)</f>
        <v>Yes</v>
      </c>
      <c r="G64" s="60" t="s">
        <v>131</v>
      </c>
      <c r="H64" s="34"/>
    </row>
    <row r="65" customFormat="false" ht="15" hidden="false" customHeight="false" outlineLevel="0" collapsed="false">
      <c r="A65" s="3"/>
      <c r="B65" s="3"/>
      <c r="C65" s="33" t="s">
        <v>225</v>
      </c>
      <c r="D65" s="58"/>
      <c r="E65" s="59" t="s">
        <v>9</v>
      </c>
      <c r="F65" s="17" t="str">
        <f aca="false">IF(useExample="Yes",E65,D65)</f>
        <v>Yes</v>
      </c>
      <c r="G65" s="60" t="s">
        <v>131</v>
      </c>
      <c r="H65" s="34"/>
    </row>
    <row r="66" customFormat="false" ht="15" hidden="false" customHeight="false" outlineLevel="0" collapsed="false">
      <c r="A66" s="3"/>
      <c r="B66" s="3"/>
      <c r="C66" s="33" t="s">
        <v>226</v>
      </c>
      <c r="D66" s="58"/>
      <c r="E66" s="59" t="s">
        <v>9</v>
      </c>
      <c r="F66" s="17" t="str">
        <f aca="false">IF(useExample="Yes",E66,D66)</f>
        <v>Yes</v>
      </c>
      <c r="G66" s="60" t="s">
        <v>131</v>
      </c>
      <c r="H66" s="34"/>
    </row>
    <row r="67" customFormat="false" ht="15" hidden="false" customHeight="false" outlineLevel="0" collapsed="false">
      <c r="A67" s="3"/>
      <c r="B67" s="3"/>
      <c r="C67" s="33" t="s">
        <v>227</v>
      </c>
      <c r="D67" s="58"/>
      <c r="E67" s="59" t="s">
        <v>9</v>
      </c>
      <c r="F67" s="17" t="str">
        <f aca="false">IF(useExample="Yes",E67,D67)</f>
        <v>Yes</v>
      </c>
      <c r="G67" s="60" t="s">
        <v>131</v>
      </c>
      <c r="H67" s="34"/>
    </row>
    <row r="68" customFormat="false" ht="15" hidden="false" customHeight="false" outlineLevel="0" collapsed="false">
      <c r="A68" s="3"/>
      <c r="B68" s="3"/>
      <c r="C68" s="3"/>
      <c r="D68" s="3"/>
      <c r="E68" s="3"/>
      <c r="F68" s="3"/>
      <c r="G68" s="3"/>
      <c r="H68" s="3"/>
    </row>
    <row r="69" customFormat="false" ht="15" hidden="false" customHeight="false" outlineLevel="0" collapsed="false">
      <c r="A69" s="61" t="n">
        <v>13</v>
      </c>
      <c r="B69" s="62" t="s">
        <v>136</v>
      </c>
      <c r="C69" s="63" t="s">
        <v>228</v>
      </c>
      <c r="D69" s="64"/>
      <c r="E69" s="64"/>
      <c r="F69" s="64"/>
      <c r="G69" s="65" t="s">
        <v>229</v>
      </c>
      <c r="H69" s="61" t="str">
        <f aca="false">IF(F71&lt;&gt;"","Done","")</f>
        <v>Done</v>
      </c>
    </row>
    <row r="70" customFormat="false" ht="31.5" hidden="false" customHeight="true" outlineLevel="0" collapsed="false">
      <c r="A70" s="3"/>
      <c r="B70" s="3"/>
      <c r="C70" s="28" t="s">
        <v>230</v>
      </c>
      <c r="D70" s="28"/>
      <c r="E70" s="28"/>
      <c r="F70" s="28"/>
      <c r="G70" s="28"/>
      <c r="H70" s="28"/>
    </row>
    <row r="71" customFormat="false" ht="57.75" hidden="false" customHeight="true" outlineLevel="0" collapsed="false">
      <c r="A71" s="3"/>
      <c r="B71" s="3"/>
      <c r="C71" s="33" t="s">
        <v>231</v>
      </c>
      <c r="D71" s="30"/>
      <c r="E71" s="31" t="s">
        <v>232</v>
      </c>
      <c r="F71" s="52" t="str">
        <f aca="false">IF(useExample="Yes",E71,IF(D71="","",D71))</f>
        <v>Giveaway</v>
      </c>
      <c r="G71" s="35" t="s">
        <v>233</v>
      </c>
      <c r="H71" s="34"/>
    </row>
    <row r="72" customFormat="false" ht="15" hidden="false" customHeight="false" outlineLevel="0" collapsed="false">
      <c r="A72" s="3"/>
      <c r="B72" s="3"/>
      <c r="C72" s="3"/>
      <c r="D72" s="3"/>
      <c r="E72" s="3"/>
      <c r="F72" s="3"/>
      <c r="G72" s="3"/>
      <c r="H72" s="3"/>
    </row>
    <row r="73" customFormat="false" ht="15" hidden="false" customHeight="false" outlineLevel="0" collapsed="false">
      <c r="A73" s="61" t="n">
        <v>14</v>
      </c>
      <c r="B73" s="62" t="s">
        <v>136</v>
      </c>
      <c r="C73" s="63" t="s">
        <v>234</v>
      </c>
      <c r="D73" s="64"/>
      <c r="E73" s="64"/>
      <c r="F73" s="64"/>
      <c r="G73" s="65" t="s">
        <v>143</v>
      </c>
      <c r="H73" s="61" t="str">
        <f aca="false">IF(F75&lt;&gt;"","Done","")</f>
        <v>Done</v>
      </c>
    </row>
    <row r="74" customFormat="false" ht="31.5" hidden="false" customHeight="true" outlineLevel="0" collapsed="false">
      <c r="A74" s="3"/>
      <c r="B74" s="3"/>
      <c r="C74" s="28" t="s">
        <v>235</v>
      </c>
      <c r="D74" s="28"/>
      <c r="E74" s="28"/>
      <c r="F74" s="28"/>
      <c r="G74" s="28"/>
      <c r="H74" s="28"/>
    </row>
    <row r="75" customFormat="false" ht="15.75" hidden="false" customHeight="true" outlineLevel="0" collapsed="false">
      <c r="A75" s="3"/>
      <c r="B75" s="3"/>
      <c r="C75" s="33" t="s">
        <v>236</v>
      </c>
      <c r="D75" s="44"/>
      <c r="E75" s="45" t="n">
        <v>30</v>
      </c>
      <c r="F75" s="46" t="n">
        <f aca="false">IF(useExample="Yes",E75,IF(D75="","",D75))</f>
        <v>30</v>
      </c>
      <c r="G75" s="35" t="s">
        <v>237</v>
      </c>
      <c r="H75" s="34"/>
    </row>
    <row r="76" customFormat="false" ht="15" hidden="false" customHeight="false" outlineLevel="0" collapsed="false">
      <c r="A76" s="3"/>
      <c r="B76" s="3"/>
      <c r="C76" s="3"/>
      <c r="D76" s="3"/>
      <c r="E76" s="3"/>
      <c r="F76" s="3"/>
      <c r="G76" s="3"/>
      <c r="H76" s="3"/>
    </row>
    <row r="77" customFormat="false" ht="15" hidden="false" customHeight="false" outlineLevel="0" collapsed="false">
      <c r="A77" s="61" t="n">
        <v>15</v>
      </c>
      <c r="B77" s="62" t="s">
        <v>136</v>
      </c>
      <c r="C77" s="63" t="s">
        <v>238</v>
      </c>
      <c r="D77" s="64"/>
      <c r="E77" s="64"/>
      <c r="F77" s="64"/>
      <c r="G77" s="65" t="s">
        <v>149</v>
      </c>
      <c r="H77" s="61" t="str">
        <f aca="false">IF(COUNTIF(F79:F83,"Yes")=5,"Done",IF(COUNTIF(F79:F83,"Yes")&gt;0,"Part",""))</f>
        <v>Done</v>
      </c>
    </row>
    <row r="78" customFormat="false" ht="18" hidden="false" customHeight="true" outlineLevel="0" collapsed="false">
      <c r="A78" s="3"/>
      <c r="B78" s="3"/>
      <c r="C78" s="28" t="s">
        <v>239</v>
      </c>
      <c r="D78" s="28"/>
      <c r="E78" s="28"/>
      <c r="F78" s="28"/>
      <c r="G78" s="28"/>
      <c r="H78" s="28"/>
    </row>
    <row r="79" customFormat="false" ht="15" hidden="false" customHeight="false" outlineLevel="0" collapsed="false">
      <c r="A79" s="3"/>
      <c r="B79" s="3"/>
      <c r="C79" s="33" t="s">
        <v>240</v>
      </c>
      <c r="D79" s="58"/>
      <c r="E79" s="59" t="s">
        <v>9</v>
      </c>
      <c r="F79" s="17" t="str">
        <f aca="false">IF(useExample="Yes",E79,D79)</f>
        <v>Yes</v>
      </c>
      <c r="G79" s="60" t="s">
        <v>131</v>
      </c>
      <c r="H79" s="34"/>
    </row>
    <row r="80" customFormat="false" ht="15" hidden="false" customHeight="false" outlineLevel="0" collapsed="false">
      <c r="A80" s="3"/>
      <c r="B80" s="3"/>
      <c r="C80" s="33" t="s">
        <v>241</v>
      </c>
      <c r="D80" s="58"/>
      <c r="E80" s="59" t="s">
        <v>9</v>
      </c>
      <c r="F80" s="17" t="str">
        <f aca="false">IF(useExample="Yes",E80,D80)</f>
        <v>Yes</v>
      </c>
      <c r="G80" s="60" t="s">
        <v>131</v>
      </c>
      <c r="H80" s="34"/>
    </row>
    <row r="81" customFormat="false" ht="15" hidden="false" customHeight="false" outlineLevel="0" collapsed="false">
      <c r="A81" s="3"/>
      <c r="B81" s="3"/>
      <c r="C81" s="33" t="s">
        <v>242</v>
      </c>
      <c r="D81" s="58"/>
      <c r="E81" s="59" t="s">
        <v>9</v>
      </c>
      <c r="F81" s="17" t="str">
        <f aca="false">IF(useExample="Yes",E81,D81)</f>
        <v>Yes</v>
      </c>
      <c r="G81" s="60" t="s">
        <v>131</v>
      </c>
      <c r="H81" s="34"/>
    </row>
    <row r="82" customFormat="false" ht="15" hidden="false" customHeight="false" outlineLevel="0" collapsed="false">
      <c r="A82" s="3"/>
      <c r="B82" s="3"/>
      <c r="C82" s="33" t="s">
        <v>243</v>
      </c>
      <c r="D82" s="58"/>
      <c r="E82" s="59" t="s">
        <v>9</v>
      </c>
      <c r="F82" s="17" t="str">
        <f aca="false">IF(useExample="Yes",E82,D82)</f>
        <v>Yes</v>
      </c>
      <c r="G82" s="60" t="s">
        <v>131</v>
      </c>
      <c r="H82" s="34"/>
    </row>
    <row r="83" customFormat="false" ht="15" hidden="false" customHeight="false" outlineLevel="0" collapsed="false">
      <c r="A83" s="3"/>
      <c r="B83" s="3"/>
      <c r="C83" s="33" t="s">
        <v>244</v>
      </c>
      <c r="D83" s="58"/>
      <c r="E83" s="59" t="s">
        <v>9</v>
      </c>
      <c r="F83" s="17" t="str">
        <f aca="false">IF(useExample="Yes",E83,D83)</f>
        <v>Yes</v>
      </c>
      <c r="G83" s="60" t="s">
        <v>131</v>
      </c>
      <c r="H83" s="34"/>
    </row>
  </sheetData>
  <mergeCells count="20">
    <mergeCell ref="A1:H1"/>
    <mergeCell ref="A2:H2"/>
    <mergeCell ref="C6:H6"/>
    <mergeCell ref="C8:H8"/>
    <mergeCell ref="C11:H11"/>
    <mergeCell ref="C13:H13"/>
    <mergeCell ref="C16:H16"/>
    <mergeCell ref="C18:H18"/>
    <mergeCell ref="C21:H21"/>
    <mergeCell ref="C25:H25"/>
    <mergeCell ref="C29:H29"/>
    <mergeCell ref="C34:H34"/>
    <mergeCell ref="C38:H38"/>
    <mergeCell ref="C43:H43"/>
    <mergeCell ref="C53:H53"/>
    <mergeCell ref="C57:H57"/>
    <mergeCell ref="C61:H61"/>
    <mergeCell ref="C70:H70"/>
    <mergeCell ref="C74:H74"/>
    <mergeCell ref="C78:H78"/>
  </mergeCells>
  <conditionalFormatting sqref="H5:H85">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3">
    <dataValidation allowBlank="true" errorStyle="stop" operator="between" showDropDown="false" showErrorMessage="false" showInputMessage="false" sqref="D44:D50 D62:D67 D79:D83" type="list">
      <formula1>"Yes,No"</formula1>
      <formula2>0</formula2>
    </dataValidation>
    <dataValidation allowBlank="true" errorStyle="stop" operator="between" showDropDown="false" showErrorMessage="false" showInputMessage="false" sqref="D7" type="list">
      <formula1>"Bad: every offer should make a profit,Good: the customer cost nothing net; and the upsell and continuity are still to come,Neither; it depends on the industry"</formula1>
      <formula2>0</formula2>
    </dataValidation>
    <dataValidation allowBlank="true" errorStyle="stop" operator="between" showDropDown="false" showErrorMessage="false" showInputMessage="false" sqref="D12" type="list">
      <formula1>"Everyone who asks,The few who hit the stated result and followed every rule,Nobody; it is a trick"</formula1>
      <formula2>0</formula2>
    </dataValidation>
    <dataValidation allowBlank="true" errorStyle="stop" operator="between" showDropDown="false" showErrorMessage="false" showInputMessage="false" sqref="D17" type="list">
      <formula1>"'Six-week challenge; $500; win it back if you finish all 18 sessions','50% off everything this month','Free strategy session; then we build your plan together'"</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Type a number, or leave it blank if you do not know yet." errorStyle="stop" operator="greaterThanOrEqual" showDropDown="false" showErrorMessage="false" showInputMessage="false" sqref="D31" type="decimal">
      <formula1>-1000000000</formula1>
      <formula2>0</formula2>
    </dataValidation>
    <dataValidation allowBlank="true" errorStyle="stop" operator="between" showDropDown="false" showErrorMessage="false" showInputMessage="false" sqref="D35" type="list">
      <formula1>"Win your money back,Giveaway,Decoy,Buy some; get some free,Pay less now or pay more later,Free with strings"</formula1>
      <formula2>0</formula2>
    </dataValidation>
    <dataValidation allowBlank="true" error="Type a number, or leave it blank if you do not know yet." errorStyle="stop" operator="greaterThanOrEqual" showDropDown="false" showErrorMessage="false" showInputMessage="false" sqref="D54" type="decimal">
      <formula1>-1000000000</formula1>
      <formula2>0</formula2>
    </dataValidation>
    <dataValidation allowBlank="true" error="Type a number, or leave it blank if you do not know yet." errorStyle="stop" operator="greaterThanOrEqual" showDropDown="false" showErrorMessage="false" showInputMessage="false" sqref="D58" type="decimal">
      <formula1>-1000000000</formula1>
      <formula2>0</formula2>
    </dataValidation>
    <dataValidation allowBlank="true" errorStyle="stop" operator="between" showDropDown="false" showErrorMessage="false" showInputMessage="false" sqref="D71" type="list">
      <formula1>"Win your money back,Giveaway,Decoy,Buy some; get some free,Pay less now or pay more later,Free with strings,None yet"</formula1>
      <formula2>0</formula2>
    </dataValidation>
    <dataValidation allowBlank="true" error="Type a number, or leave it blank if you do not know yet." errorStyle="stop" operator="greaterThanOrEqual" showDropDown="false" showErrorMessage="false" showInputMessage="false" sqref="D75" type="decimal">
      <formula1>-1000000000</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245</v>
      </c>
      <c r="B1" s="21"/>
      <c r="C1" s="21"/>
      <c r="D1" s="21"/>
      <c r="E1" s="21"/>
      <c r="F1" s="21"/>
      <c r="G1" s="21"/>
      <c r="H1" s="21"/>
    </row>
    <row r="2" customFormat="false" ht="15" hidden="false" customHeight="false" outlineLevel="0" collapsed="false">
      <c r="A2" s="2" t="s">
        <v>246</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247</v>
      </c>
      <c r="D5" s="26"/>
      <c r="E5" s="26"/>
      <c r="F5" s="26"/>
      <c r="G5" s="27" t="s">
        <v>54</v>
      </c>
      <c r="H5" s="23" t="str">
        <f aca="false">IF(F7="","",IF(F7="Right after the first yes; or right after their first win","Done","Not yet"))</f>
        <v>Done</v>
      </c>
    </row>
    <row r="6" customFormat="false" ht="102" hidden="false" customHeight="true" outlineLevel="0" collapsed="false">
      <c r="A6" s="3"/>
      <c r="B6" s="3"/>
      <c r="C6" s="28" t="s">
        <v>248</v>
      </c>
      <c r="D6" s="28"/>
      <c r="E6" s="28"/>
      <c r="F6" s="28"/>
      <c r="G6" s="28"/>
      <c r="H6" s="28"/>
    </row>
    <row r="7" customFormat="false" ht="45.75" hidden="false" customHeight="true" outlineLevel="0" collapsed="false">
      <c r="A7" s="3"/>
      <c r="B7" s="3"/>
      <c r="C7" s="29" t="s">
        <v>249</v>
      </c>
      <c r="D7" s="30"/>
      <c r="E7" s="31" t="s">
        <v>250</v>
      </c>
      <c r="F7" s="32" t="str">
        <f aca="false">IF(useExample="Yes",E7,D7)</f>
        <v>Right after the first yes; or right after their first win</v>
      </c>
      <c r="G7" s="33" t="str">
        <f aca="false">IF(F7="","",IF(F7="Right after the first yes; or right after their first win","Right. Trust peaks at the yes and at the first result. Both are upsell moments; the first is the one most businesses skip.","Not quite. Trust peaks at the yes and at the first result. Both are upsell moments; the first is the one most businesses skip."))</f>
        <v>Right. Trust peaks at the yes and at the first result. Both are upsell moments; the first is the one most businesses skip.</v>
      </c>
      <c r="H7" s="34"/>
    </row>
    <row r="8" customFormat="false" ht="30" hidden="false" customHeight="true" outlineLevel="0" collapsed="false">
      <c r="A8" s="3"/>
      <c r="B8" s="3"/>
      <c r="C8" s="35" t="s">
        <v>251</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252</v>
      </c>
      <c r="D10" s="26"/>
      <c r="E10" s="26"/>
      <c r="F10" s="26"/>
      <c r="G10" s="27" t="s">
        <v>54</v>
      </c>
      <c r="H10" s="23" t="str">
        <f aca="false">IF(F12="","",IF(F12="Counts it toward the bigger offer; so the first purchase becomes a deposit","Done","Not yet"))</f>
        <v>Done</v>
      </c>
    </row>
    <row r="11" customFormat="false" ht="129.75" hidden="false" customHeight="true" outlineLevel="0" collapsed="false">
      <c r="A11" s="3"/>
      <c r="B11" s="3"/>
      <c r="C11" s="28" t="s">
        <v>253</v>
      </c>
      <c r="D11" s="28"/>
      <c r="E11" s="28"/>
      <c r="F11" s="28"/>
      <c r="G11" s="28"/>
      <c r="H11" s="28"/>
    </row>
    <row r="12" customFormat="false" ht="31.5" hidden="false" customHeight="true" outlineLevel="0" collapsed="false">
      <c r="A12" s="3"/>
      <c r="B12" s="3"/>
      <c r="C12" s="29" t="s">
        <v>254</v>
      </c>
      <c r="D12" s="30"/>
      <c r="E12" s="31" t="s">
        <v>255</v>
      </c>
      <c r="F12" s="32" t="str">
        <f aca="false">IF(useExample="Yes",E12,D12)</f>
        <v>Counts it toward the bigger offer; so the first purchase becomes a deposit</v>
      </c>
      <c r="G12" s="33" t="str">
        <f aca="false">IF(F12="","",IF(F12="Counts it toward the bigger offer; so the first purchase becomes a deposit","Right. A customer who has already paid part of the bigger thing is halfway to yes.","Not quite. A customer who has already paid part of the bigger thing is halfway to yes."))</f>
        <v>Right. A customer who has already paid part of the bigger thing is halfway to yes.</v>
      </c>
      <c r="H12" s="34"/>
    </row>
    <row r="13" customFormat="false" ht="15.75" hidden="false" customHeight="true" outlineLevel="0" collapsed="false">
      <c r="A13" s="3"/>
      <c r="B13" s="3"/>
      <c r="C13" s="35" t="s">
        <v>256</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257</v>
      </c>
      <c r="D15" s="26"/>
      <c r="E15" s="26"/>
      <c r="F15" s="26"/>
      <c r="G15" s="27" t="s">
        <v>54</v>
      </c>
      <c r="H15" s="23" t="str">
        <f aca="false">IF(F17="","",IF(F17="Whether every customer was actually offered it","Done","Not yet"))</f>
        <v>Done</v>
      </c>
    </row>
    <row r="16" customFormat="false" ht="87.75" hidden="false" customHeight="true" outlineLevel="0" collapsed="false">
      <c r="A16" s="3"/>
      <c r="B16" s="3"/>
      <c r="C16" s="28" t="s">
        <v>258</v>
      </c>
      <c r="D16" s="28"/>
      <c r="E16" s="28"/>
      <c r="F16" s="28"/>
      <c r="G16" s="28"/>
      <c r="H16" s="28"/>
    </row>
    <row r="17" customFormat="false" ht="45.75" hidden="false" customHeight="true" outlineLevel="0" collapsed="false">
      <c r="A17" s="3"/>
      <c r="B17" s="3"/>
      <c r="C17" s="29" t="s">
        <v>259</v>
      </c>
      <c r="D17" s="30"/>
      <c r="E17" s="31" t="s">
        <v>260</v>
      </c>
      <c r="F17" s="32" t="str">
        <f aca="false">IF(useExample="Yes",E17,D17)</f>
        <v>Whether every customer was actually offered it</v>
      </c>
      <c r="G17" s="33" t="str">
        <f aca="false">IF(F17="","",IF(F17="Whether every customer was actually offered it","Right. Offered-to share times take-rate-when-offered is the real number. Fix the asking before the offer.","Not quite. Offered-to share times take-rate-when-offered is the real number. Fix the asking before the offer."))</f>
        <v>Right. Offered-to share times take-rate-when-offered is the real number. Fix the asking before the offer.</v>
      </c>
      <c r="H17" s="34"/>
    </row>
    <row r="18" customFormat="false" ht="15.75" hidden="false" customHeight="true" outlineLevel="0" collapsed="false">
      <c r="A18" s="3"/>
      <c r="B18" s="3"/>
      <c r="C18" s="35" t="s">
        <v>261</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262</v>
      </c>
      <c r="D20" s="39"/>
      <c r="E20" s="39"/>
      <c r="F20" s="39"/>
      <c r="G20" s="40" t="s">
        <v>71</v>
      </c>
      <c r="H20" s="36" t="str">
        <f aca="false">IF(F22&lt;&gt;"","Done","")</f>
        <v>Done</v>
      </c>
    </row>
    <row r="21" customFormat="false" ht="18" hidden="false" customHeight="true" outlineLevel="0" collapsed="false">
      <c r="A21" s="3"/>
      <c r="B21" s="3"/>
      <c r="C21" s="28" t="s">
        <v>263</v>
      </c>
      <c r="D21" s="28"/>
      <c r="E21" s="28"/>
      <c r="F21" s="28"/>
      <c r="G21" s="28"/>
      <c r="H21" s="28"/>
    </row>
    <row r="22" customFormat="false" ht="30" hidden="false" customHeight="true" outlineLevel="0" collapsed="false">
      <c r="A22" s="3"/>
      <c r="B22" s="3"/>
      <c r="C22" s="33" t="s">
        <v>264</v>
      </c>
      <c r="D22" s="41"/>
      <c r="E22" s="42" t="n">
        <v>1200</v>
      </c>
      <c r="F22" s="43" t="n">
        <f aca="false">IF(useExample="Yes",E22,IF(D22="","",D22))</f>
        <v>1200</v>
      </c>
      <c r="G22" s="35" t="s">
        <v>265</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266</v>
      </c>
      <c r="D24" s="39"/>
      <c r="E24" s="39"/>
      <c r="F24" s="39"/>
      <c r="G24" s="40" t="s">
        <v>267</v>
      </c>
      <c r="H24" s="36" t="str">
        <f aca="false">IF(F26&lt;&gt;"","Done","")</f>
        <v>Done</v>
      </c>
    </row>
    <row r="25" customFormat="false" ht="18" hidden="false" customHeight="true" outlineLevel="0" collapsed="false">
      <c r="A25" s="3"/>
      <c r="B25" s="3"/>
      <c r="C25" s="28" t="s">
        <v>268</v>
      </c>
      <c r="D25" s="28"/>
      <c r="E25" s="28"/>
      <c r="F25" s="28"/>
      <c r="G25" s="28"/>
      <c r="H25" s="28"/>
    </row>
    <row r="26" customFormat="false" ht="30" hidden="false" customHeight="true" outlineLevel="0" collapsed="false">
      <c r="A26" s="3"/>
      <c r="B26" s="3"/>
      <c r="C26" s="33" t="s">
        <v>269</v>
      </c>
      <c r="D26" s="41"/>
      <c r="E26" s="42" t="n">
        <v>300</v>
      </c>
      <c r="F26" s="43" t="n">
        <f aca="false">IF(useExample="Yes",E26,IF(D26="","",D26))</f>
        <v>300</v>
      </c>
      <c r="G26" s="35" t="s">
        <v>270</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271</v>
      </c>
      <c r="D28" s="39"/>
      <c r="E28" s="39"/>
      <c r="F28" s="39"/>
      <c r="G28" s="40" t="s">
        <v>267</v>
      </c>
      <c r="H28" s="36" t="str">
        <f aca="false">IF(F30&lt;&gt;"","Done","")</f>
        <v>Done</v>
      </c>
    </row>
    <row r="29" customFormat="false" ht="31.5" hidden="false" customHeight="true" outlineLevel="0" collapsed="false">
      <c r="A29" s="3"/>
      <c r="B29" s="3"/>
      <c r="C29" s="28" t="s">
        <v>272</v>
      </c>
      <c r="D29" s="28"/>
      <c r="E29" s="28"/>
      <c r="F29" s="28"/>
      <c r="G29" s="28"/>
      <c r="H29" s="28"/>
    </row>
    <row r="30" customFormat="false" ht="30" hidden="false" customHeight="true" outlineLevel="0" collapsed="false">
      <c r="A30" s="3"/>
      <c r="B30" s="3"/>
      <c r="C30" s="33" t="s">
        <v>273</v>
      </c>
      <c r="D30" s="66"/>
      <c r="E30" s="67" t="n">
        <v>0.25</v>
      </c>
      <c r="F30" s="68" t="n">
        <f aca="false">IF(useExample="Yes",E30,IF(D30="","",D30))</f>
        <v>0.25</v>
      </c>
      <c r="G30" s="35" t="s">
        <v>274</v>
      </c>
      <c r="H30" s="34"/>
    </row>
    <row r="31" customFormat="false" ht="15" hidden="false" customHeight="false" outlineLevel="0" collapsed="false">
      <c r="A31" s="3"/>
      <c r="B31" s="3"/>
      <c r="C31" s="3"/>
      <c r="D31" s="3"/>
      <c r="E31" s="3"/>
      <c r="F31" s="3"/>
      <c r="G31" s="3"/>
      <c r="H31" s="3"/>
    </row>
    <row r="32" customFormat="false" ht="15" hidden="false" customHeight="false" outlineLevel="0" collapsed="false">
      <c r="A32" s="47" t="n">
        <v>7</v>
      </c>
      <c r="B32" s="48" t="s">
        <v>87</v>
      </c>
      <c r="C32" s="49" t="s">
        <v>275</v>
      </c>
      <c r="D32" s="50"/>
      <c r="E32" s="50"/>
      <c r="F32" s="50"/>
      <c r="G32" s="51" t="s">
        <v>98</v>
      </c>
      <c r="H32" s="47" t="str">
        <f aca="false">IF(F34&lt;&gt;"","Done","")</f>
        <v>Done</v>
      </c>
    </row>
    <row r="33" customFormat="false" ht="31.5" hidden="false" customHeight="true" outlineLevel="0" collapsed="false">
      <c r="A33" s="3"/>
      <c r="B33" s="3"/>
      <c r="C33" s="28" t="s">
        <v>276</v>
      </c>
      <c r="D33" s="28"/>
      <c r="E33" s="28"/>
      <c r="F33" s="28"/>
      <c r="G33" s="28"/>
      <c r="H33" s="28"/>
    </row>
    <row r="34" customFormat="false" ht="57.75" hidden="false" customHeight="true" outlineLevel="0" collapsed="false">
      <c r="A34" s="3"/>
      <c r="B34" s="3"/>
      <c r="C34" s="33" t="s">
        <v>277</v>
      </c>
      <c r="D34" s="30"/>
      <c r="E34" s="31" t="s">
        <v>278</v>
      </c>
      <c r="F34" s="52" t="str">
        <f aca="false">IF(useExample="Yes",E34,IF(D34="","",D34))</f>
        <v>Rollover: first payment becomes a deposit</v>
      </c>
      <c r="G34" s="35" t="s">
        <v>279</v>
      </c>
      <c r="H34" s="34"/>
    </row>
    <row r="35" customFormat="false" ht="15" hidden="false" customHeight="false" outlineLevel="0" collapsed="false">
      <c r="A35" s="3"/>
      <c r="B35" s="3"/>
      <c r="C35" s="3"/>
      <c r="D35" s="3"/>
      <c r="E35" s="3"/>
      <c r="F35" s="3"/>
      <c r="G35" s="3"/>
      <c r="H35" s="3"/>
    </row>
    <row r="36" customFormat="false" ht="15" hidden="false" customHeight="false" outlineLevel="0" collapsed="false">
      <c r="A36" s="47" t="n">
        <v>8</v>
      </c>
      <c r="B36" s="48" t="s">
        <v>87</v>
      </c>
      <c r="C36" s="49" t="s">
        <v>280</v>
      </c>
      <c r="D36" s="50"/>
      <c r="E36" s="50"/>
      <c r="F36" s="50"/>
      <c r="G36" s="51" t="s">
        <v>193</v>
      </c>
      <c r="H36" s="47" t="str">
        <f aca="false">IF(AND(F38&lt;&gt;"",F39&lt;&gt;""),"Done",IF(OR(F38&lt;&gt;"",F39&lt;&gt;""),"Part",""))</f>
        <v>Done</v>
      </c>
    </row>
    <row r="37" customFormat="false" ht="31.5" hidden="false" customHeight="true" outlineLevel="0" collapsed="false">
      <c r="A37" s="3"/>
      <c r="B37" s="3"/>
      <c r="C37" s="28" t="s">
        <v>281</v>
      </c>
      <c r="D37" s="28"/>
      <c r="E37" s="28"/>
      <c r="F37" s="28"/>
      <c r="G37" s="28"/>
      <c r="H37" s="28"/>
    </row>
    <row r="38" customFormat="false" ht="127.5" hidden="false" customHeight="true" outlineLevel="0" collapsed="false">
      <c r="A38" s="3"/>
      <c r="B38" s="3"/>
      <c r="C38" s="33" t="s">
        <v>282</v>
      </c>
      <c r="D38" s="30"/>
      <c r="E38" s="31" t="s">
        <v>283</v>
      </c>
      <c r="F38" s="52" t="str">
        <f aca="false">IF(useExample="Yes",E38,IF(D38="","",D38))</f>
        <v>Since you want the ten pounds gone for good, the people who keep it off go straight onto the year programme, and the $500 you paid comes off it. Want me to set that up?</v>
      </c>
      <c r="G38" s="35" t="s">
        <v>284</v>
      </c>
      <c r="H38" s="34"/>
    </row>
    <row r="39" customFormat="false" ht="43.5" hidden="false" customHeight="true" outlineLevel="0" collapsed="false">
      <c r="A39" s="3"/>
      <c r="B39" s="3"/>
      <c r="C39" s="33" t="s">
        <v>285</v>
      </c>
      <c r="D39" s="30"/>
      <c r="E39" s="31" t="s">
        <v>286</v>
      </c>
      <c r="F39" s="52" t="str">
        <f aca="false">IF(useExample="Yes",E39,IF(D39="","",D39))</f>
        <v>Totally fair. Would three payments make it work?</v>
      </c>
      <c r="G39" s="35" t="s">
        <v>287</v>
      </c>
      <c r="H39" s="34"/>
    </row>
    <row r="40" customFormat="false" ht="15" hidden="false" customHeight="false" outlineLevel="0" collapsed="false">
      <c r="A40" s="3"/>
      <c r="B40" s="3"/>
      <c r="C40" s="3"/>
      <c r="D40" s="3"/>
      <c r="E40" s="3"/>
      <c r="F40" s="3"/>
      <c r="G40" s="3"/>
      <c r="H40" s="3"/>
    </row>
    <row r="41" customFormat="false" ht="15" hidden="false" customHeight="false" outlineLevel="0" collapsed="false">
      <c r="A41" s="47" t="n">
        <v>9</v>
      </c>
      <c r="B41" s="48" t="s">
        <v>87</v>
      </c>
      <c r="C41" s="49" t="s">
        <v>288</v>
      </c>
      <c r="D41" s="50"/>
      <c r="E41" s="50"/>
      <c r="F41" s="50"/>
      <c r="G41" s="51" t="s">
        <v>104</v>
      </c>
      <c r="H41" s="47" t="str">
        <f aca="false">IF(COUNTIF(F43:F49,"Yes")=7,"Done",IF(COUNTIF(F43:F49,"Yes")&gt;0,"Part",""))</f>
        <v>Done</v>
      </c>
    </row>
    <row r="42" customFormat="false" ht="18" hidden="false" customHeight="true" outlineLevel="0" collapsed="false">
      <c r="A42" s="3"/>
      <c r="B42" s="3"/>
      <c r="C42" s="28" t="s">
        <v>289</v>
      </c>
      <c r="D42" s="28"/>
      <c r="E42" s="28"/>
      <c r="F42" s="28"/>
      <c r="G42" s="28"/>
      <c r="H42" s="28"/>
    </row>
    <row r="43" customFormat="false" ht="15" hidden="false" customHeight="false" outlineLevel="0" collapsed="false">
      <c r="A43" s="3"/>
      <c r="B43" s="3"/>
      <c r="C43" s="33" t="s">
        <v>290</v>
      </c>
      <c r="D43" s="58"/>
      <c r="E43" s="59" t="s">
        <v>9</v>
      </c>
      <c r="F43" s="17" t="str">
        <f aca="false">IF(useExample="Yes",E43,D43)</f>
        <v>Yes</v>
      </c>
      <c r="G43" s="60" t="s">
        <v>131</v>
      </c>
      <c r="H43" s="34"/>
    </row>
    <row r="44" customFormat="false" ht="15" hidden="false" customHeight="false" outlineLevel="0" collapsed="false">
      <c r="A44" s="3"/>
      <c r="B44" s="3"/>
      <c r="C44" s="33" t="s">
        <v>291</v>
      </c>
      <c r="D44" s="58"/>
      <c r="E44" s="59" t="s">
        <v>9</v>
      </c>
      <c r="F44" s="17" t="str">
        <f aca="false">IF(useExample="Yes",E44,D44)</f>
        <v>Yes</v>
      </c>
      <c r="G44" s="60" t="s">
        <v>131</v>
      </c>
      <c r="H44" s="34"/>
    </row>
    <row r="45" customFormat="false" ht="15" hidden="false" customHeight="false" outlineLevel="0" collapsed="false">
      <c r="A45" s="3"/>
      <c r="B45" s="3"/>
      <c r="C45" s="33" t="s">
        <v>292</v>
      </c>
      <c r="D45" s="58"/>
      <c r="E45" s="59" t="s">
        <v>9</v>
      </c>
      <c r="F45" s="17" t="str">
        <f aca="false">IF(useExample="Yes",E45,D45)</f>
        <v>Yes</v>
      </c>
      <c r="G45" s="60" t="s">
        <v>131</v>
      </c>
      <c r="H45" s="34"/>
    </row>
    <row r="46" customFormat="false" ht="15" hidden="false" customHeight="false" outlineLevel="0" collapsed="false">
      <c r="A46" s="3"/>
      <c r="B46" s="3"/>
      <c r="C46" s="33" t="s">
        <v>293</v>
      </c>
      <c r="D46" s="58"/>
      <c r="E46" s="59" t="s">
        <v>9</v>
      </c>
      <c r="F46" s="17" t="str">
        <f aca="false">IF(useExample="Yes",E46,D46)</f>
        <v>Yes</v>
      </c>
      <c r="G46" s="60" t="s">
        <v>131</v>
      </c>
      <c r="H46" s="34"/>
    </row>
    <row r="47" customFormat="false" ht="15" hidden="false" customHeight="false" outlineLevel="0" collapsed="false">
      <c r="A47" s="3"/>
      <c r="B47" s="3"/>
      <c r="C47" s="33" t="s">
        <v>294</v>
      </c>
      <c r="D47" s="58"/>
      <c r="E47" s="59" t="s">
        <v>9</v>
      </c>
      <c r="F47" s="17" t="str">
        <f aca="false">IF(useExample="Yes",E47,D47)</f>
        <v>Yes</v>
      </c>
      <c r="G47" s="60" t="s">
        <v>131</v>
      </c>
      <c r="H47" s="34"/>
    </row>
    <row r="48" customFormat="false" ht="15" hidden="false" customHeight="false" outlineLevel="0" collapsed="false">
      <c r="A48" s="3"/>
      <c r="B48" s="3"/>
      <c r="C48" s="33" t="s">
        <v>295</v>
      </c>
      <c r="D48" s="58"/>
      <c r="E48" s="59" t="s">
        <v>9</v>
      </c>
      <c r="F48" s="17" t="str">
        <f aca="false">IF(useExample="Yes",E48,D48)</f>
        <v>Yes</v>
      </c>
      <c r="G48" s="60" t="s">
        <v>131</v>
      </c>
      <c r="H48" s="34"/>
    </row>
    <row r="49" customFormat="false" ht="15" hidden="false" customHeight="false" outlineLevel="0" collapsed="false">
      <c r="A49" s="3"/>
      <c r="B49" s="3"/>
      <c r="C49" s="33" t="s">
        <v>296</v>
      </c>
      <c r="D49" s="58"/>
      <c r="E49" s="59" t="s">
        <v>9</v>
      </c>
      <c r="F49" s="17" t="str">
        <f aca="false">IF(useExample="Yes",E49,D49)</f>
        <v>Yes</v>
      </c>
      <c r="G49" s="60" t="s">
        <v>131</v>
      </c>
      <c r="H49" s="34"/>
    </row>
    <row r="50" customFormat="false" ht="15" hidden="false" customHeight="false" outlineLevel="0" collapsed="false">
      <c r="A50" s="3"/>
      <c r="B50" s="3"/>
      <c r="C50" s="3"/>
      <c r="D50" s="3"/>
      <c r="E50" s="3"/>
      <c r="F50" s="3"/>
      <c r="G50" s="3"/>
      <c r="H50" s="3"/>
    </row>
    <row r="51" customFormat="false" ht="15" hidden="false" customHeight="false" outlineLevel="0" collapsed="false">
      <c r="A51" s="53" t="n">
        <v>10</v>
      </c>
      <c r="B51" s="54" t="s">
        <v>116</v>
      </c>
      <c r="C51" s="55" t="s">
        <v>297</v>
      </c>
      <c r="D51" s="56"/>
      <c r="E51" s="56"/>
      <c r="F51" s="56"/>
      <c r="G51" s="57" t="s">
        <v>298</v>
      </c>
      <c r="H51" s="53" t="str">
        <f aca="false">IF(F53&lt;&gt;"","Done","")</f>
        <v>Done</v>
      </c>
    </row>
    <row r="52" customFormat="false" ht="18" hidden="false" customHeight="true" outlineLevel="0" collapsed="false">
      <c r="A52" s="3"/>
      <c r="B52" s="3"/>
      <c r="C52" s="28" t="s">
        <v>299</v>
      </c>
      <c r="D52" s="28"/>
      <c r="E52" s="28"/>
      <c r="F52" s="28"/>
      <c r="G52" s="28"/>
      <c r="H52" s="28"/>
    </row>
    <row r="53" customFormat="false" ht="30" hidden="false" customHeight="true" outlineLevel="0" collapsed="false">
      <c r="A53" s="3"/>
      <c r="B53" s="3"/>
      <c r="C53" s="33" t="s">
        <v>300</v>
      </c>
      <c r="D53" s="44"/>
      <c r="E53" s="45" t="n">
        <v>3</v>
      </c>
      <c r="F53" s="46" t="n">
        <f aca="false">IF(useExample="Yes",E53,IF(D53="","",D53))</f>
        <v>3</v>
      </c>
      <c r="G53" s="35" t="s">
        <v>301</v>
      </c>
      <c r="H53" s="34"/>
    </row>
    <row r="54" customFormat="false" ht="15" hidden="false" customHeight="false" outlineLevel="0" collapsed="false">
      <c r="A54" s="3"/>
      <c r="B54" s="3"/>
      <c r="C54" s="3"/>
      <c r="D54" s="3"/>
      <c r="E54" s="3"/>
      <c r="F54" s="3"/>
      <c r="G54" s="3"/>
      <c r="H54" s="3"/>
    </row>
    <row r="55" customFormat="false" ht="15" hidden="false" customHeight="false" outlineLevel="0" collapsed="false">
      <c r="A55" s="53" t="n">
        <v>11</v>
      </c>
      <c r="B55" s="54" t="s">
        <v>116</v>
      </c>
      <c r="C55" s="55" t="s">
        <v>302</v>
      </c>
      <c r="D55" s="56"/>
      <c r="E55" s="56"/>
      <c r="F55" s="56"/>
      <c r="G55" s="57" t="s">
        <v>211</v>
      </c>
      <c r="H55" s="53" t="str">
        <f aca="false">IF(F57&lt;&gt;"","Done","")</f>
        <v>Done</v>
      </c>
    </row>
    <row r="56" customFormat="false" ht="31.5" hidden="false" customHeight="true" outlineLevel="0" collapsed="false">
      <c r="A56" s="3"/>
      <c r="B56" s="3"/>
      <c r="C56" s="28" t="s">
        <v>303</v>
      </c>
      <c r="D56" s="28"/>
      <c r="E56" s="28"/>
      <c r="F56" s="28"/>
      <c r="G56" s="28"/>
      <c r="H56" s="28"/>
    </row>
    <row r="57" customFormat="false" ht="30" hidden="false" customHeight="true" outlineLevel="0" collapsed="false">
      <c r="A57" s="3"/>
      <c r="B57" s="3"/>
      <c r="C57" s="33" t="s">
        <v>304</v>
      </c>
      <c r="D57" s="66"/>
      <c r="E57" s="67" t="n">
        <v>0.8</v>
      </c>
      <c r="F57" s="68" t="n">
        <f aca="false">IF(useExample="Yes",E57,IF(D57="","",D57))</f>
        <v>0.8</v>
      </c>
      <c r="G57" s="35" t="s">
        <v>305</v>
      </c>
      <c r="H57" s="34"/>
    </row>
    <row r="58" customFormat="false" ht="15" hidden="false" customHeight="false" outlineLevel="0" collapsed="false">
      <c r="A58" s="3"/>
      <c r="B58" s="3"/>
      <c r="C58" s="3"/>
      <c r="D58" s="3"/>
      <c r="E58" s="3"/>
      <c r="F58" s="3"/>
      <c r="G58" s="3"/>
      <c r="H58" s="3"/>
    </row>
    <row r="59" customFormat="false" ht="15" hidden="false" customHeight="false" outlineLevel="0" collapsed="false">
      <c r="A59" s="53" t="n">
        <v>12</v>
      </c>
      <c r="B59" s="54" t="s">
        <v>116</v>
      </c>
      <c r="C59" s="55" t="s">
        <v>306</v>
      </c>
      <c r="D59" s="56"/>
      <c r="E59" s="56"/>
      <c r="F59" s="56"/>
      <c r="G59" s="57" t="s">
        <v>220</v>
      </c>
      <c r="H59" s="53" t="str">
        <f aca="false">IF(COUNTIF(F61:F65,"Yes")=5,"Done",IF(COUNTIF(F61:F65,"Yes")&gt;0,"Part",""))</f>
        <v>Done</v>
      </c>
    </row>
    <row r="60" customFormat="false" ht="18" hidden="false" customHeight="true" outlineLevel="0" collapsed="false">
      <c r="A60" s="3"/>
      <c r="B60" s="3"/>
      <c r="C60" s="28" t="s">
        <v>307</v>
      </c>
      <c r="D60" s="28"/>
      <c r="E60" s="28"/>
      <c r="F60" s="28"/>
      <c r="G60" s="28"/>
      <c r="H60" s="28"/>
    </row>
    <row r="61" customFormat="false" ht="15" hidden="false" customHeight="false" outlineLevel="0" collapsed="false">
      <c r="A61" s="3"/>
      <c r="B61" s="3"/>
      <c r="C61" s="33" t="s">
        <v>308</v>
      </c>
      <c r="D61" s="58"/>
      <c r="E61" s="59" t="s">
        <v>9</v>
      </c>
      <c r="F61" s="17" t="str">
        <f aca="false">IF(useExample="Yes",E61,D61)</f>
        <v>Yes</v>
      </c>
      <c r="G61" s="60" t="s">
        <v>131</v>
      </c>
      <c r="H61" s="34"/>
    </row>
    <row r="62" customFormat="false" ht="15" hidden="false" customHeight="false" outlineLevel="0" collapsed="false">
      <c r="A62" s="3"/>
      <c r="B62" s="3"/>
      <c r="C62" s="33" t="s">
        <v>309</v>
      </c>
      <c r="D62" s="58"/>
      <c r="E62" s="59" t="s">
        <v>9</v>
      </c>
      <c r="F62" s="17" t="str">
        <f aca="false">IF(useExample="Yes",E62,D62)</f>
        <v>Yes</v>
      </c>
      <c r="G62" s="60" t="s">
        <v>131</v>
      </c>
      <c r="H62" s="34"/>
    </row>
    <row r="63" customFormat="false" ht="15" hidden="false" customHeight="false" outlineLevel="0" collapsed="false">
      <c r="A63" s="3"/>
      <c r="B63" s="3"/>
      <c r="C63" s="33" t="s">
        <v>310</v>
      </c>
      <c r="D63" s="58"/>
      <c r="E63" s="59" t="s">
        <v>9</v>
      </c>
      <c r="F63" s="17" t="str">
        <f aca="false">IF(useExample="Yes",E63,D63)</f>
        <v>Yes</v>
      </c>
      <c r="G63" s="60" t="s">
        <v>131</v>
      </c>
      <c r="H63" s="34"/>
    </row>
    <row r="64" customFormat="false" ht="15" hidden="false" customHeight="false" outlineLevel="0" collapsed="false">
      <c r="A64" s="3"/>
      <c r="B64" s="3"/>
      <c r="C64" s="33" t="s">
        <v>311</v>
      </c>
      <c r="D64" s="58"/>
      <c r="E64" s="59" t="s">
        <v>9</v>
      </c>
      <c r="F64" s="17" t="str">
        <f aca="false">IF(useExample="Yes",E64,D64)</f>
        <v>Yes</v>
      </c>
      <c r="G64" s="60" t="s">
        <v>131</v>
      </c>
      <c r="H64" s="34"/>
    </row>
    <row r="65" customFormat="false" ht="15" hidden="false" customHeight="false" outlineLevel="0" collapsed="false">
      <c r="A65" s="3"/>
      <c r="B65" s="3"/>
      <c r="C65" s="33" t="s">
        <v>312</v>
      </c>
      <c r="D65" s="58"/>
      <c r="E65" s="59" t="s">
        <v>9</v>
      </c>
      <c r="F65" s="17" t="str">
        <f aca="false">IF(useExample="Yes",E65,D65)</f>
        <v>Yes</v>
      </c>
      <c r="G65" s="60" t="s">
        <v>131</v>
      </c>
      <c r="H65" s="34"/>
    </row>
    <row r="66" customFormat="false" ht="15" hidden="false" customHeight="false" outlineLevel="0" collapsed="false">
      <c r="A66" s="3"/>
      <c r="B66" s="3"/>
      <c r="C66" s="3"/>
      <c r="D66" s="3"/>
      <c r="E66" s="3"/>
      <c r="F66" s="3"/>
      <c r="G66" s="3"/>
      <c r="H66" s="3"/>
    </row>
    <row r="67" customFormat="false" ht="15" hidden="false" customHeight="false" outlineLevel="0" collapsed="false">
      <c r="A67" s="61" t="n">
        <v>13</v>
      </c>
      <c r="B67" s="62" t="s">
        <v>136</v>
      </c>
      <c r="C67" s="63" t="s">
        <v>313</v>
      </c>
      <c r="D67" s="64"/>
      <c r="E67" s="64"/>
      <c r="F67" s="64"/>
      <c r="G67" s="65" t="s">
        <v>138</v>
      </c>
      <c r="H67" s="61" t="str">
        <f aca="false">IF(AND(F69&lt;&gt;"",F70&lt;&gt;""),"Done",IF(OR(F69&lt;&gt;"",F70&lt;&gt;""),"Part",""))</f>
        <v>Done</v>
      </c>
    </row>
    <row r="68" customFormat="false" ht="31.5" hidden="false" customHeight="true" outlineLevel="0" collapsed="false">
      <c r="A68" s="3"/>
      <c r="B68" s="3"/>
      <c r="C68" s="28" t="s">
        <v>314</v>
      </c>
      <c r="D68" s="28"/>
      <c r="E68" s="28"/>
      <c r="F68" s="28"/>
      <c r="G68" s="28"/>
      <c r="H68" s="28"/>
    </row>
    <row r="69" customFormat="false" ht="15.75" hidden="false" customHeight="true" outlineLevel="0" collapsed="false">
      <c r="A69" s="3"/>
      <c r="B69" s="3"/>
      <c r="C69" s="33" t="s">
        <v>315</v>
      </c>
      <c r="D69" s="41"/>
      <c r="E69" s="42" t="n">
        <v>2000</v>
      </c>
      <c r="F69" s="43" t="n">
        <f aca="false">IF(useExample="Yes",E69,IF(D69="","",D69))</f>
        <v>2000</v>
      </c>
      <c r="G69" s="35" t="s">
        <v>316</v>
      </c>
      <c r="H69" s="34"/>
    </row>
    <row r="70" customFormat="false" ht="30" hidden="false" customHeight="true" outlineLevel="0" collapsed="false">
      <c r="A70" s="3"/>
      <c r="B70" s="3"/>
      <c r="C70" s="33" t="s">
        <v>317</v>
      </c>
      <c r="D70" s="66"/>
      <c r="E70" s="67" t="n">
        <v>0.1</v>
      </c>
      <c r="F70" s="68" t="n">
        <f aca="false">IF(useExample="Yes",E70,IF(D70="","",D70))</f>
        <v>0.1</v>
      </c>
      <c r="G70" s="35" t="s">
        <v>318</v>
      </c>
      <c r="H70" s="34"/>
    </row>
    <row r="71" customFormat="false" ht="15" hidden="false" customHeight="false" outlineLevel="0" collapsed="false">
      <c r="A71" s="3"/>
      <c r="B71" s="3"/>
      <c r="C71" s="3"/>
      <c r="D71" s="3"/>
      <c r="E71" s="3"/>
      <c r="F71" s="3"/>
      <c r="G71" s="3"/>
      <c r="H71" s="3"/>
    </row>
    <row r="72" customFormat="false" ht="15" hidden="false" customHeight="false" outlineLevel="0" collapsed="false">
      <c r="A72" s="61" t="n">
        <v>14</v>
      </c>
      <c r="B72" s="62" t="s">
        <v>136</v>
      </c>
      <c r="C72" s="63" t="s">
        <v>319</v>
      </c>
      <c r="D72" s="64"/>
      <c r="E72" s="64"/>
      <c r="F72" s="64"/>
      <c r="G72" s="65" t="s">
        <v>229</v>
      </c>
      <c r="H72" s="61" t="str">
        <f aca="false">IF(F74&lt;&gt;"","Done","")</f>
        <v>Done</v>
      </c>
    </row>
    <row r="73" customFormat="false" ht="18" hidden="false" customHeight="true" outlineLevel="0" collapsed="false">
      <c r="A73" s="3"/>
      <c r="B73" s="3"/>
      <c r="C73" s="28" t="s">
        <v>320</v>
      </c>
      <c r="D73" s="28"/>
      <c r="E73" s="28"/>
      <c r="F73" s="28"/>
      <c r="G73" s="28"/>
      <c r="H73" s="28"/>
    </row>
    <row r="74" customFormat="false" ht="15.75" hidden="false" customHeight="true" outlineLevel="0" collapsed="false">
      <c r="A74" s="3"/>
      <c r="B74" s="3"/>
      <c r="C74" s="33" t="s">
        <v>321</v>
      </c>
      <c r="D74" s="41"/>
      <c r="E74" s="42" t="n">
        <v>2400</v>
      </c>
      <c r="F74" s="43" t="n">
        <f aca="false">IF(useExample="Yes",E74,IF(D74="","",D74))</f>
        <v>2400</v>
      </c>
      <c r="G74" s="35" t="s">
        <v>322</v>
      </c>
      <c r="H74" s="34"/>
    </row>
    <row r="75" customFormat="false" ht="15" hidden="false" customHeight="false" outlineLevel="0" collapsed="false">
      <c r="A75" s="3"/>
      <c r="B75" s="3"/>
      <c r="C75" s="3"/>
      <c r="D75" s="3"/>
      <c r="E75" s="3"/>
      <c r="F75" s="3"/>
      <c r="G75" s="3"/>
      <c r="H75" s="3"/>
    </row>
    <row r="76" customFormat="false" ht="15" hidden="false" customHeight="false" outlineLevel="0" collapsed="false">
      <c r="A76" s="61" t="n">
        <v>15</v>
      </c>
      <c r="B76" s="62" t="s">
        <v>136</v>
      </c>
      <c r="C76" s="63" t="s">
        <v>323</v>
      </c>
      <c r="D76" s="64"/>
      <c r="E76" s="64"/>
      <c r="F76" s="64"/>
      <c r="G76" s="65" t="s">
        <v>149</v>
      </c>
      <c r="H76" s="61" t="str">
        <f aca="false">IF(COUNTIF(F78:F82,"Yes")=5,"Done",IF(COUNTIF(F78:F82,"Yes")&gt;0,"Part",""))</f>
        <v>Done</v>
      </c>
    </row>
    <row r="77" customFormat="false" ht="18" hidden="false" customHeight="true" outlineLevel="0" collapsed="false">
      <c r="A77" s="3"/>
      <c r="B77" s="3"/>
      <c r="C77" s="28" t="s">
        <v>324</v>
      </c>
      <c r="D77" s="28"/>
      <c r="E77" s="28"/>
      <c r="F77" s="28"/>
      <c r="G77" s="28"/>
      <c r="H77" s="28"/>
    </row>
    <row r="78" customFormat="false" ht="15" hidden="false" customHeight="false" outlineLevel="0" collapsed="false">
      <c r="A78" s="3"/>
      <c r="B78" s="3"/>
      <c r="C78" s="33" t="s">
        <v>325</v>
      </c>
      <c r="D78" s="58"/>
      <c r="E78" s="59" t="s">
        <v>9</v>
      </c>
      <c r="F78" s="17" t="str">
        <f aca="false">IF(useExample="Yes",E78,D78)</f>
        <v>Yes</v>
      </c>
      <c r="G78" s="60" t="s">
        <v>131</v>
      </c>
      <c r="H78" s="34"/>
    </row>
    <row r="79" customFormat="false" ht="15" hidden="false" customHeight="false" outlineLevel="0" collapsed="false">
      <c r="A79" s="3"/>
      <c r="B79" s="3"/>
      <c r="C79" s="33" t="s">
        <v>326</v>
      </c>
      <c r="D79" s="58"/>
      <c r="E79" s="59" t="s">
        <v>9</v>
      </c>
      <c r="F79" s="17" t="str">
        <f aca="false">IF(useExample="Yes",E79,D79)</f>
        <v>Yes</v>
      </c>
      <c r="G79" s="60" t="s">
        <v>131</v>
      </c>
      <c r="H79" s="34"/>
    </row>
    <row r="80" customFormat="false" ht="15" hidden="false" customHeight="false" outlineLevel="0" collapsed="false">
      <c r="A80" s="3"/>
      <c r="B80" s="3"/>
      <c r="C80" s="33" t="s">
        <v>327</v>
      </c>
      <c r="D80" s="58"/>
      <c r="E80" s="59" t="s">
        <v>9</v>
      </c>
      <c r="F80" s="17" t="str">
        <f aca="false">IF(useExample="Yes",E80,D80)</f>
        <v>Yes</v>
      </c>
      <c r="G80" s="60" t="s">
        <v>131</v>
      </c>
      <c r="H80" s="34"/>
    </row>
    <row r="81" customFormat="false" ht="15" hidden="false" customHeight="false" outlineLevel="0" collapsed="false">
      <c r="A81" s="3"/>
      <c r="B81" s="3"/>
      <c r="C81" s="33" t="s">
        <v>328</v>
      </c>
      <c r="D81" s="58"/>
      <c r="E81" s="59" t="s">
        <v>9</v>
      </c>
      <c r="F81" s="17" t="str">
        <f aca="false">IF(useExample="Yes",E81,D81)</f>
        <v>Yes</v>
      </c>
      <c r="G81" s="60" t="s">
        <v>131</v>
      </c>
      <c r="H81" s="34"/>
    </row>
    <row r="82" customFormat="false" ht="15" hidden="false" customHeight="false" outlineLevel="0" collapsed="false">
      <c r="A82" s="3"/>
      <c r="B82" s="3"/>
      <c r="C82" s="33" t="s">
        <v>329</v>
      </c>
      <c r="D82" s="58"/>
      <c r="E82" s="59" t="s">
        <v>9</v>
      </c>
      <c r="F82" s="17" t="str">
        <f aca="false">IF(useExample="Yes",E82,D82)</f>
        <v>Yes</v>
      </c>
      <c r="G82" s="60" t="s">
        <v>131</v>
      </c>
      <c r="H82" s="34"/>
    </row>
  </sheetData>
  <mergeCells count="20">
    <mergeCell ref="A1:H1"/>
    <mergeCell ref="A2:H2"/>
    <mergeCell ref="C6:H6"/>
    <mergeCell ref="C8:H8"/>
    <mergeCell ref="C11:H11"/>
    <mergeCell ref="C13:H13"/>
    <mergeCell ref="C16:H16"/>
    <mergeCell ref="C18:H18"/>
    <mergeCell ref="C21:H21"/>
    <mergeCell ref="C25:H25"/>
    <mergeCell ref="C29:H29"/>
    <mergeCell ref="C33:H33"/>
    <mergeCell ref="C37:H37"/>
    <mergeCell ref="C42:H42"/>
    <mergeCell ref="C52:H52"/>
    <mergeCell ref="C56:H56"/>
    <mergeCell ref="C60:H60"/>
    <mergeCell ref="C68:H68"/>
    <mergeCell ref="C73:H73"/>
    <mergeCell ref="C77:H77"/>
  </mergeCells>
  <conditionalFormatting sqref="H5:H84">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3">
    <dataValidation allowBlank="true" errorStyle="stop" operator="between" showDropDown="false" showErrorMessage="false" showInputMessage="false" sqref="D43:D49 D61:D65 D78:D82" type="list">
      <formula1>"Yes,No"</formula1>
      <formula2>0</formula2>
    </dataValidation>
    <dataValidation allowBlank="true" errorStyle="stop" operator="between" showDropDown="false" showErrorMessage="false" showInputMessage="false" sqref="D7" type="list">
      <formula1>"A month after the first purchase; once they have seen results,Right after the first yes; or right after their first win,Before they buy anything; to anchor high"</formula1>
      <formula2>0</formula2>
    </dataValidation>
    <dataValidation allowBlank="true" errorStyle="stop" operator="between" showDropDown="false" showErrorMessage="false" showInputMessage="false" sqref="D12" type="list">
      <formula1>"Refunds it,Counts it toward the bigger offer; so the first purchase becomes a deposit,Ignores it"</formula1>
      <formula2>0</formula2>
    </dataValidation>
    <dataValidation allowBlank="true" errorStyle="stop" operator="between" showDropDown="false" showErrorMessage="false" showInputMessage="false" sqref="D17" type="list">
      <formula1>"The price,Whether every customer was actually offered it,The product"</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Style="stop" operator="between" showDropDown="false" showErrorMessage="false" showInputMessage="false" sqref="D34" type="list">
      <formula1>"Classic: the next step,Menu: they pick from add-ons,Anchor: biggest option first,Rollover: first payment becomes a deposit"</formula1>
      <formula2>0</formula2>
    </dataValidation>
    <dataValidation allowBlank="true" error="Type a number, or leave it blank if you do not know yet." errorStyle="stop" operator="greaterThanOrEqual" showDropDown="false" showErrorMessage="false" showInputMessage="false" sqref="D53" type="decimal">
      <formula1>-1000000000</formula1>
      <formula2>0</formula2>
    </dataValidation>
    <dataValidation allowBlank="true" error="Type a number, or leave it blank if you do not know yet." errorStyle="stop" operator="greaterThanOrEqual" showDropDown="false" showErrorMessage="false" showInputMessage="false" sqref="D57" type="decimal">
      <formula1>-1000000000</formula1>
      <formula2>0</formula2>
    </dataValidation>
    <dataValidation allowBlank="true" error="Type a number, or leave it blank if you do not know yet." errorStyle="stop" operator="greaterThanOrEqual" showDropDown="false" showErrorMessage="false" showInputMessage="false" sqref="D69" type="decimal">
      <formula1>-1000000000</formula1>
      <formula2>0</formula2>
    </dataValidation>
    <dataValidation allowBlank="true" error="Type a number, or leave it blank if you do not know yet." errorStyle="stop" operator="greaterThanOrEqual" showDropDown="false" showErrorMessage="false" showInputMessage="false" sqref="D70" type="decimal">
      <formula1>-1000000000</formula1>
      <formula2>0</formula2>
    </dataValidation>
    <dataValidation allowBlank="true" error="Type a number, or leave it blank if you do not know yet." errorStyle="stop" operator="greaterThanOrEqual" showDropDown="false" showErrorMessage="false" showInputMessage="false" sqref="D74" type="decimal">
      <formula1>-1000000000</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330</v>
      </c>
      <c r="B1" s="21"/>
      <c r="C1" s="21"/>
      <c r="D1" s="21"/>
      <c r="E1" s="21"/>
      <c r="F1" s="21"/>
      <c r="G1" s="21"/>
      <c r="H1" s="21"/>
    </row>
    <row r="2" customFormat="false" ht="15" hidden="false" customHeight="false" outlineLevel="0" collapsed="false">
      <c r="A2" s="2" t="s">
        <v>331</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332</v>
      </c>
      <c r="D5" s="26"/>
      <c r="E5" s="26"/>
      <c r="F5" s="26"/>
      <c r="G5" s="27" t="s">
        <v>54</v>
      </c>
      <c r="H5" s="23" t="str">
        <f aca="false">IF(F7="","",IF(F7="The same programme at $2;000 in four payments","Done","Not yet"))</f>
        <v>Done</v>
      </c>
    </row>
    <row r="6" customFormat="false" ht="115.5" hidden="false" customHeight="true" outlineLevel="0" collapsed="false">
      <c r="A6" s="3"/>
      <c r="B6" s="3"/>
      <c r="C6" s="28" t="s">
        <v>333</v>
      </c>
      <c r="D6" s="28"/>
      <c r="E6" s="28"/>
      <c r="F6" s="28"/>
      <c r="G6" s="28"/>
      <c r="H6" s="28"/>
    </row>
    <row r="7" customFormat="false" ht="31.5" hidden="false" customHeight="true" outlineLevel="0" collapsed="false">
      <c r="A7" s="3"/>
      <c r="B7" s="3"/>
      <c r="C7" s="29" t="s">
        <v>334</v>
      </c>
      <c r="D7" s="30"/>
      <c r="E7" s="31" t="s">
        <v>335</v>
      </c>
      <c r="F7" s="32" t="str">
        <f aca="false">IF(useExample="Yes",E7,D7)</f>
        <v>The same programme at $2;000 in four payments</v>
      </c>
      <c r="G7" s="33" t="str">
        <f aca="false">IF(F7="","",IF(F7="The same programme at $2;000 in four payments","Right. Same value, easier terms. Price cuts come last and cost the most.","Not quite. Same value, easier terms. Price cuts come last and cost the most."))</f>
        <v>Right. Same value, easier terms. Price cuts come last and cost the most.</v>
      </c>
      <c r="H7" s="34"/>
    </row>
    <row r="8" customFormat="false" ht="15.75" hidden="false" customHeight="true" outlineLevel="0" collapsed="false">
      <c r="A8" s="3"/>
      <c r="B8" s="3"/>
      <c r="C8" s="35" t="s">
        <v>336</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337</v>
      </c>
      <c r="D10" s="26"/>
      <c r="E10" s="26"/>
      <c r="F10" s="26"/>
      <c r="G10" s="27" t="s">
        <v>54</v>
      </c>
      <c r="H10" s="23" t="str">
        <f aca="false">IF(F12="","",IF(F12="There is a string: a payment if they keep it or do not do the work","Done","Not yet"))</f>
        <v>Done</v>
      </c>
    </row>
    <row r="11" customFormat="false" ht="115.5" hidden="false" customHeight="true" outlineLevel="0" collapsed="false">
      <c r="A11" s="3"/>
      <c r="B11" s="3"/>
      <c r="C11" s="28" t="s">
        <v>338</v>
      </c>
      <c r="D11" s="28"/>
      <c r="E11" s="28"/>
      <c r="F11" s="28"/>
      <c r="G11" s="28"/>
      <c r="H11" s="28"/>
    </row>
    <row r="12" customFormat="false" ht="45.75" hidden="false" customHeight="true" outlineLevel="0" collapsed="false">
      <c r="A12" s="3"/>
      <c r="B12" s="3"/>
      <c r="C12" s="29" t="s">
        <v>339</v>
      </c>
      <c r="D12" s="30"/>
      <c r="E12" s="31" t="s">
        <v>340</v>
      </c>
      <c r="F12" s="32" t="str">
        <f aca="false">IF(useExample="Yes",E12,D12)</f>
        <v>There is a string: a payment if they keep it or do not do the work</v>
      </c>
      <c r="G12" s="33" t="str">
        <f aca="false">IF(F12="","",IF(F12="There is a string: a payment if they keep it or do not do the work","Right. A trial with no string is a free customer with no path to paying. The string is the point.","Not quite. A trial with no string is a free customer with no path to paying. The string is the point."))</f>
        <v>Right. A trial with no string is a free customer with no path to paying. The string is the point.</v>
      </c>
      <c r="H12" s="34"/>
    </row>
    <row r="13" customFormat="false" ht="15.75" hidden="false" customHeight="true" outlineLevel="0" collapsed="false">
      <c r="A13" s="3"/>
      <c r="B13" s="3"/>
      <c r="C13" s="35" t="s">
        <v>341</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342</v>
      </c>
      <c r="D15" s="26"/>
      <c r="E15" s="26"/>
      <c r="F15" s="26"/>
      <c r="G15" s="27" t="s">
        <v>54</v>
      </c>
      <c r="H15" s="23" t="str">
        <f aca="false">IF(F17="","",IF(F17="The one for customers who said no to the upsell","Done","Not yet"))</f>
        <v>Done</v>
      </c>
    </row>
    <row r="16" customFormat="false" ht="102" hidden="false" customHeight="true" outlineLevel="0" collapsed="false">
      <c r="A16" s="3"/>
      <c r="B16" s="3"/>
      <c r="C16" s="28" t="s">
        <v>343</v>
      </c>
      <c r="D16" s="28"/>
      <c r="E16" s="28"/>
      <c r="F16" s="28"/>
      <c r="G16" s="28"/>
      <c r="H16" s="28"/>
    </row>
    <row r="17" customFormat="false" ht="31.5" hidden="false" customHeight="true" outlineLevel="0" collapsed="false">
      <c r="A17" s="3"/>
      <c r="B17" s="3"/>
      <c r="C17" s="29" t="s">
        <v>344</v>
      </c>
      <c r="D17" s="30"/>
      <c r="E17" s="31" t="s">
        <v>345</v>
      </c>
      <c r="F17" s="32" t="str">
        <f aca="false">IF(useExample="Yes",E17,D17)</f>
        <v>The one for customers who said no to the upsell</v>
      </c>
      <c r="G17" s="33" t="str">
        <f aca="false">IF(F17="","",IF(F17="The one for customers who said no to the upsell","Right. They are warm, present and have already paid. Build where the yes is easiest.","Not quite. They are warm, present and have already paid. Build where the yes is easiest."))</f>
        <v>Right. They are warm, present and have already paid. Build where the yes is easiest.</v>
      </c>
      <c r="H17" s="34"/>
    </row>
    <row r="18" customFormat="false" ht="15.75" hidden="false" customHeight="true" outlineLevel="0" collapsed="false">
      <c r="A18" s="3"/>
      <c r="B18" s="3"/>
      <c r="C18" s="35" t="s">
        <v>346</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347</v>
      </c>
      <c r="D20" s="39"/>
      <c r="E20" s="39"/>
      <c r="F20" s="39"/>
      <c r="G20" s="40" t="s">
        <v>71</v>
      </c>
      <c r="H20" s="36" t="str">
        <f aca="false">IF(F22&lt;&gt;"","Done","")</f>
        <v>Done</v>
      </c>
    </row>
    <row r="21" customFormat="false" ht="31.5" hidden="false" customHeight="true" outlineLevel="0" collapsed="false">
      <c r="A21" s="3"/>
      <c r="B21" s="3"/>
      <c r="C21" s="28" t="s">
        <v>348</v>
      </c>
      <c r="D21" s="28"/>
      <c r="E21" s="28"/>
      <c r="F21" s="28"/>
      <c r="G21" s="28"/>
      <c r="H21" s="28"/>
    </row>
    <row r="22" customFormat="false" ht="15.75" hidden="false" customHeight="true" outlineLevel="0" collapsed="false">
      <c r="A22" s="3"/>
      <c r="B22" s="3"/>
      <c r="C22" s="33" t="s">
        <v>349</v>
      </c>
      <c r="D22" s="41"/>
      <c r="E22" s="42" t="n">
        <v>450</v>
      </c>
      <c r="F22" s="43" t="n">
        <f aca="false">IF(useExample="Yes",E22,IF(D22="","",D22))</f>
        <v>450</v>
      </c>
      <c r="G22" s="35" t="s">
        <v>350</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351</v>
      </c>
      <c r="D24" s="39"/>
      <c r="E24" s="39"/>
      <c r="F24" s="39"/>
      <c r="G24" s="40" t="s">
        <v>267</v>
      </c>
      <c r="H24" s="36" t="str">
        <f aca="false">IF(F26&lt;&gt;"","Done","")</f>
        <v>Done</v>
      </c>
    </row>
    <row r="25" customFormat="false" ht="18" hidden="false" customHeight="true" outlineLevel="0" collapsed="false">
      <c r="A25" s="3"/>
      <c r="B25" s="3"/>
      <c r="C25" s="28" t="s">
        <v>352</v>
      </c>
      <c r="D25" s="28"/>
      <c r="E25" s="28"/>
      <c r="F25" s="28"/>
      <c r="G25" s="28"/>
      <c r="H25" s="28"/>
    </row>
    <row r="26" customFormat="false" ht="15.75" hidden="false" customHeight="true" outlineLevel="0" collapsed="false">
      <c r="A26" s="3"/>
      <c r="B26" s="3"/>
      <c r="C26" s="33" t="s">
        <v>353</v>
      </c>
      <c r="D26" s="41"/>
      <c r="E26" s="42" t="n">
        <v>300</v>
      </c>
      <c r="F26" s="43" t="n">
        <f aca="false">IF(useExample="Yes",E26,IF(D26="","",D26))</f>
        <v>300</v>
      </c>
      <c r="G26" s="35" t="s">
        <v>354</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271</v>
      </c>
      <c r="D28" s="39"/>
      <c r="E28" s="39"/>
      <c r="F28" s="39"/>
      <c r="G28" s="40" t="s">
        <v>267</v>
      </c>
      <c r="H28" s="36" t="str">
        <f aca="false">IF(F30&lt;&gt;"","Done","")</f>
        <v>Done</v>
      </c>
    </row>
    <row r="29" customFormat="false" ht="18" hidden="false" customHeight="true" outlineLevel="0" collapsed="false">
      <c r="A29" s="3"/>
      <c r="B29" s="3"/>
      <c r="C29" s="28" t="s">
        <v>355</v>
      </c>
      <c r="D29" s="28"/>
      <c r="E29" s="28"/>
      <c r="F29" s="28"/>
      <c r="G29" s="28"/>
      <c r="H29" s="28"/>
    </row>
    <row r="30" customFormat="false" ht="30" hidden="false" customHeight="true" outlineLevel="0" collapsed="false">
      <c r="A30" s="3"/>
      <c r="B30" s="3"/>
      <c r="C30" s="33" t="s">
        <v>356</v>
      </c>
      <c r="D30" s="66"/>
      <c r="E30" s="67" t="n">
        <v>0.4</v>
      </c>
      <c r="F30" s="68" t="n">
        <f aca="false">IF(useExample="Yes",E30,IF(D30="","",D30))</f>
        <v>0.4</v>
      </c>
      <c r="G30" s="35" t="s">
        <v>357</v>
      </c>
      <c r="H30" s="34"/>
    </row>
    <row r="31" customFormat="false" ht="15" hidden="false" customHeight="false" outlineLevel="0" collapsed="false">
      <c r="A31" s="3"/>
      <c r="B31" s="3"/>
      <c r="C31" s="3"/>
      <c r="D31" s="3"/>
      <c r="E31" s="3"/>
      <c r="F31" s="3"/>
      <c r="G31" s="3"/>
      <c r="H31" s="3"/>
    </row>
    <row r="32" customFormat="false" ht="15" hidden="false" customHeight="false" outlineLevel="0" collapsed="false">
      <c r="A32" s="47" t="n">
        <v>7</v>
      </c>
      <c r="B32" s="48" t="s">
        <v>87</v>
      </c>
      <c r="C32" s="49" t="s">
        <v>358</v>
      </c>
      <c r="D32" s="50"/>
      <c r="E32" s="50"/>
      <c r="F32" s="50"/>
      <c r="G32" s="51" t="s">
        <v>98</v>
      </c>
      <c r="H32" s="47" t="str">
        <f aca="false">IF(F34&lt;&gt;"","Done","")</f>
        <v>Done</v>
      </c>
    </row>
    <row r="33" customFormat="false" ht="18" hidden="false" customHeight="true" outlineLevel="0" collapsed="false">
      <c r="A33" s="3"/>
      <c r="B33" s="3"/>
      <c r="C33" s="28" t="s">
        <v>359</v>
      </c>
      <c r="D33" s="28"/>
      <c r="E33" s="28"/>
      <c r="F33" s="28"/>
      <c r="G33" s="28"/>
      <c r="H33" s="28"/>
    </row>
    <row r="34" customFormat="false" ht="30" hidden="false" customHeight="true" outlineLevel="0" collapsed="false">
      <c r="A34" s="3"/>
      <c r="B34" s="3"/>
      <c r="C34" s="33" t="s">
        <v>360</v>
      </c>
      <c r="D34" s="30"/>
      <c r="E34" s="31" t="s">
        <v>361</v>
      </c>
      <c r="F34" s="52" t="str">
        <f aca="false">IF(useExample="Yes",E34,IF(D34="","",D34))</f>
        <v>Payment plan</v>
      </c>
      <c r="G34" s="35" t="s">
        <v>362</v>
      </c>
      <c r="H34" s="34"/>
    </row>
    <row r="35" customFormat="false" ht="15" hidden="false" customHeight="false" outlineLevel="0" collapsed="false">
      <c r="A35" s="3"/>
      <c r="B35" s="3"/>
      <c r="C35" s="3"/>
      <c r="D35" s="3"/>
      <c r="E35" s="3"/>
      <c r="F35" s="3"/>
      <c r="G35" s="3"/>
      <c r="H35" s="3"/>
    </row>
    <row r="36" customFormat="false" ht="15" hidden="false" customHeight="false" outlineLevel="0" collapsed="false">
      <c r="A36" s="47" t="n">
        <v>8</v>
      </c>
      <c r="B36" s="48" t="s">
        <v>87</v>
      </c>
      <c r="C36" s="49" t="s">
        <v>363</v>
      </c>
      <c r="D36" s="50"/>
      <c r="E36" s="50"/>
      <c r="F36" s="50"/>
      <c r="G36" s="51" t="s">
        <v>89</v>
      </c>
      <c r="H36" s="47" t="str">
        <f aca="false">IF(AND(F38&lt;&gt;"",F39&lt;&gt;""),"Done",IF(OR(F38&lt;&gt;"",F39&lt;&gt;""),"Part",""))</f>
        <v>Done</v>
      </c>
    </row>
    <row r="37" customFormat="false" ht="31.5" hidden="false" customHeight="true" outlineLevel="0" collapsed="false">
      <c r="A37" s="3"/>
      <c r="B37" s="3"/>
      <c r="C37" s="28" t="s">
        <v>364</v>
      </c>
      <c r="D37" s="28"/>
      <c r="E37" s="28"/>
      <c r="F37" s="28"/>
      <c r="G37" s="28"/>
      <c r="H37" s="28"/>
    </row>
    <row r="38" customFormat="false" ht="72" hidden="false" customHeight="true" outlineLevel="0" collapsed="false">
      <c r="A38" s="3"/>
      <c r="B38" s="3"/>
      <c r="C38" s="33" t="s">
        <v>365</v>
      </c>
      <c r="D38" s="30"/>
      <c r="E38" s="31" t="s">
        <v>366</v>
      </c>
      <c r="F38" s="52" t="str">
        <f aca="false">IF(useExample="Yes",E38,IF(D38="","",D38))</f>
        <v>No problem. We can do the same programme as three payments of $150; you still get the full year.</v>
      </c>
      <c r="G38" s="35" t="s">
        <v>367</v>
      </c>
      <c r="H38" s="34"/>
    </row>
    <row r="39" customFormat="false" ht="30" hidden="false" customHeight="true" outlineLevel="0" collapsed="false">
      <c r="A39" s="3"/>
      <c r="B39" s="3"/>
      <c r="C39" s="33" t="s">
        <v>368</v>
      </c>
      <c r="D39" s="30"/>
      <c r="E39" s="31" t="s">
        <v>369</v>
      </c>
      <c r="F39" s="52" t="str">
        <f aca="false">IF(useExample="Yes",E39,IF(D39="","",D39))</f>
        <v>Nothing is cut; the terms are longer</v>
      </c>
      <c r="G39" s="35" t="s">
        <v>370</v>
      </c>
      <c r="H39" s="34"/>
    </row>
    <row r="40" customFormat="false" ht="15" hidden="false" customHeight="false" outlineLevel="0" collapsed="false">
      <c r="A40" s="3"/>
      <c r="B40" s="3"/>
      <c r="C40" s="3"/>
      <c r="D40" s="3"/>
      <c r="E40" s="3"/>
      <c r="F40" s="3"/>
      <c r="G40" s="3"/>
      <c r="H40" s="3"/>
    </row>
    <row r="41" customFormat="false" ht="15" hidden="false" customHeight="false" outlineLevel="0" collapsed="false">
      <c r="A41" s="47" t="n">
        <v>9</v>
      </c>
      <c r="B41" s="48" t="s">
        <v>87</v>
      </c>
      <c r="C41" s="49" t="s">
        <v>371</v>
      </c>
      <c r="D41" s="50"/>
      <c r="E41" s="50"/>
      <c r="F41" s="50"/>
      <c r="G41" s="51" t="s">
        <v>372</v>
      </c>
      <c r="H41" s="47" t="str">
        <f aca="false">IF(COUNTIF(F43:F48,"Yes")=6,"Done",IF(COUNTIF(F43:F48,"Yes")&gt;0,"Part",""))</f>
        <v>Done</v>
      </c>
    </row>
    <row r="42" customFormat="false" ht="18" hidden="false" customHeight="true" outlineLevel="0" collapsed="false">
      <c r="A42" s="3"/>
      <c r="B42" s="3"/>
      <c r="C42" s="28" t="s">
        <v>373</v>
      </c>
      <c r="D42" s="28"/>
      <c r="E42" s="28"/>
      <c r="F42" s="28"/>
      <c r="G42" s="28"/>
      <c r="H42" s="28"/>
    </row>
    <row r="43" customFormat="false" ht="15" hidden="false" customHeight="false" outlineLevel="0" collapsed="false">
      <c r="A43" s="3"/>
      <c r="B43" s="3"/>
      <c r="C43" s="33" t="s">
        <v>374</v>
      </c>
      <c r="D43" s="58"/>
      <c r="E43" s="59" t="s">
        <v>9</v>
      </c>
      <c r="F43" s="17" t="str">
        <f aca="false">IF(useExample="Yes",E43,D43)</f>
        <v>Yes</v>
      </c>
      <c r="G43" s="60" t="s">
        <v>131</v>
      </c>
      <c r="H43" s="34"/>
    </row>
    <row r="44" customFormat="false" ht="15" hidden="false" customHeight="false" outlineLevel="0" collapsed="false">
      <c r="A44" s="3"/>
      <c r="B44" s="3"/>
      <c r="C44" s="33" t="s">
        <v>375</v>
      </c>
      <c r="D44" s="58"/>
      <c r="E44" s="59" t="s">
        <v>9</v>
      </c>
      <c r="F44" s="17" t="str">
        <f aca="false">IF(useExample="Yes",E44,D44)</f>
        <v>Yes</v>
      </c>
      <c r="G44" s="60" t="s">
        <v>131</v>
      </c>
      <c r="H44" s="34"/>
    </row>
    <row r="45" customFormat="false" ht="15" hidden="false" customHeight="false" outlineLevel="0" collapsed="false">
      <c r="A45" s="3"/>
      <c r="B45" s="3"/>
      <c r="C45" s="33" t="s">
        <v>376</v>
      </c>
      <c r="D45" s="58"/>
      <c r="E45" s="59" t="s">
        <v>9</v>
      </c>
      <c r="F45" s="17" t="str">
        <f aca="false">IF(useExample="Yes",E45,D45)</f>
        <v>Yes</v>
      </c>
      <c r="G45" s="60" t="s">
        <v>131</v>
      </c>
      <c r="H45" s="34"/>
    </row>
    <row r="46" customFormat="false" ht="15" hidden="false" customHeight="false" outlineLevel="0" collapsed="false">
      <c r="A46" s="3"/>
      <c r="B46" s="3"/>
      <c r="C46" s="33" t="s">
        <v>377</v>
      </c>
      <c r="D46" s="58"/>
      <c r="E46" s="59" t="s">
        <v>9</v>
      </c>
      <c r="F46" s="17" t="str">
        <f aca="false">IF(useExample="Yes",E46,D46)</f>
        <v>Yes</v>
      </c>
      <c r="G46" s="60" t="s">
        <v>131</v>
      </c>
      <c r="H46" s="34"/>
    </row>
    <row r="47" customFormat="false" ht="15" hidden="false" customHeight="false" outlineLevel="0" collapsed="false">
      <c r="A47" s="3"/>
      <c r="B47" s="3"/>
      <c r="C47" s="33" t="s">
        <v>378</v>
      </c>
      <c r="D47" s="58"/>
      <c r="E47" s="59" t="s">
        <v>9</v>
      </c>
      <c r="F47" s="17" t="str">
        <f aca="false">IF(useExample="Yes",E47,D47)</f>
        <v>Yes</v>
      </c>
      <c r="G47" s="60" t="s">
        <v>131</v>
      </c>
      <c r="H47" s="34"/>
    </row>
    <row r="48" customFormat="false" ht="15" hidden="false" customHeight="false" outlineLevel="0" collapsed="false">
      <c r="A48" s="3"/>
      <c r="B48" s="3"/>
      <c r="C48" s="33" t="s">
        <v>379</v>
      </c>
      <c r="D48" s="58"/>
      <c r="E48" s="59" t="s">
        <v>9</v>
      </c>
      <c r="F48" s="17" t="str">
        <f aca="false">IF(useExample="Yes",E48,D48)</f>
        <v>Yes</v>
      </c>
      <c r="G48" s="60" t="s">
        <v>131</v>
      </c>
      <c r="H48" s="34"/>
    </row>
    <row r="49" customFormat="false" ht="15" hidden="false" customHeight="false" outlineLevel="0" collapsed="false">
      <c r="A49" s="3"/>
      <c r="B49" s="3"/>
      <c r="C49" s="3"/>
      <c r="D49" s="3"/>
      <c r="E49" s="3"/>
      <c r="F49" s="3"/>
      <c r="G49" s="3"/>
      <c r="H49" s="3"/>
    </row>
    <row r="50" customFormat="false" ht="15" hidden="false" customHeight="false" outlineLevel="0" collapsed="false">
      <c r="A50" s="53" t="n">
        <v>10</v>
      </c>
      <c r="B50" s="54" t="s">
        <v>116</v>
      </c>
      <c r="C50" s="55" t="s">
        <v>380</v>
      </c>
      <c r="D50" s="56"/>
      <c r="E50" s="56"/>
      <c r="F50" s="56"/>
      <c r="G50" s="57" t="s">
        <v>211</v>
      </c>
      <c r="H50" s="53" t="str">
        <f aca="false">IF(AND(F52&lt;&gt;"",F53&lt;&gt;""),"Done",IF(OR(F52&lt;&gt;"",F53&lt;&gt;""),"Part",""))</f>
        <v>Done</v>
      </c>
    </row>
    <row r="51" customFormat="false" ht="18" hidden="false" customHeight="true" outlineLevel="0" collapsed="false">
      <c r="A51" s="3"/>
      <c r="B51" s="3"/>
      <c r="C51" s="28" t="s">
        <v>381</v>
      </c>
      <c r="D51" s="28"/>
      <c r="E51" s="28"/>
      <c r="F51" s="28"/>
      <c r="G51" s="28"/>
      <c r="H51" s="28"/>
    </row>
    <row r="52" customFormat="false" ht="15.75" hidden="false" customHeight="true" outlineLevel="0" collapsed="false">
      <c r="A52" s="3"/>
      <c r="B52" s="3"/>
      <c r="C52" s="33" t="s">
        <v>382</v>
      </c>
      <c r="D52" s="44"/>
      <c r="E52" s="45" t="n">
        <v>3</v>
      </c>
      <c r="F52" s="46" t="n">
        <f aca="false">IF(useExample="Yes",E52,IF(D52="","",D52))</f>
        <v>3</v>
      </c>
      <c r="G52" s="35" t="s">
        <v>383</v>
      </c>
      <c r="H52" s="34"/>
    </row>
    <row r="53" customFormat="false" ht="43.5" hidden="false" customHeight="true" outlineLevel="0" collapsed="false">
      <c r="A53" s="3"/>
      <c r="B53" s="3"/>
      <c r="C53" s="33" t="s">
        <v>384</v>
      </c>
      <c r="D53" s="66"/>
      <c r="E53" s="67" t="n">
        <v>0.34</v>
      </c>
      <c r="F53" s="68" t="n">
        <f aca="false">IF(useExample="Yes",E53,IF(D53="","",D53))</f>
        <v>0.34</v>
      </c>
      <c r="G53" s="35" t="s">
        <v>385</v>
      </c>
      <c r="H53" s="34"/>
    </row>
    <row r="54" customFormat="false" ht="15" hidden="false" customHeight="false" outlineLevel="0" collapsed="false">
      <c r="A54" s="3"/>
      <c r="B54" s="3"/>
      <c r="C54" s="3"/>
      <c r="D54" s="3"/>
      <c r="E54" s="3"/>
      <c r="F54" s="3"/>
      <c r="G54" s="3"/>
      <c r="H54" s="3"/>
    </row>
    <row r="55" customFormat="false" ht="15" hidden="false" customHeight="false" outlineLevel="0" collapsed="false">
      <c r="A55" s="53" t="n">
        <v>11</v>
      </c>
      <c r="B55" s="54" t="s">
        <v>116</v>
      </c>
      <c r="C55" s="55" t="s">
        <v>386</v>
      </c>
      <c r="D55" s="56"/>
      <c r="E55" s="56"/>
      <c r="F55" s="56"/>
      <c r="G55" s="57" t="s">
        <v>211</v>
      </c>
      <c r="H55" s="53" t="str">
        <f aca="false">IF(F57&lt;&gt;"","Done","")</f>
        <v>Done</v>
      </c>
    </row>
    <row r="56" customFormat="false" ht="18" hidden="false" customHeight="true" outlineLevel="0" collapsed="false">
      <c r="A56" s="3"/>
      <c r="B56" s="3"/>
      <c r="C56" s="28" t="s">
        <v>387</v>
      </c>
      <c r="D56" s="28"/>
      <c r="E56" s="28"/>
      <c r="F56" s="28"/>
      <c r="G56" s="28"/>
      <c r="H56" s="28"/>
    </row>
    <row r="57" customFormat="false" ht="30" hidden="false" customHeight="true" outlineLevel="0" collapsed="false">
      <c r="A57" s="3"/>
      <c r="B57" s="3"/>
      <c r="C57" s="33" t="s">
        <v>388</v>
      </c>
      <c r="D57" s="66"/>
      <c r="E57" s="67" t="n">
        <v>0.08</v>
      </c>
      <c r="F57" s="68" t="n">
        <f aca="false">IF(useExample="Yes",E57,IF(D57="","",D57))</f>
        <v>0.08</v>
      </c>
      <c r="G57" s="35" t="s">
        <v>389</v>
      </c>
      <c r="H57" s="34"/>
    </row>
    <row r="58" customFormat="false" ht="15" hidden="false" customHeight="false" outlineLevel="0" collapsed="false">
      <c r="A58" s="3"/>
      <c r="B58" s="3"/>
      <c r="C58" s="3"/>
      <c r="D58" s="3"/>
      <c r="E58" s="3"/>
      <c r="F58" s="3"/>
      <c r="G58" s="3"/>
      <c r="H58" s="3"/>
    </row>
    <row r="59" customFormat="false" ht="15" hidden="false" customHeight="false" outlineLevel="0" collapsed="false">
      <c r="A59" s="53" t="n">
        <v>12</v>
      </c>
      <c r="B59" s="54" t="s">
        <v>116</v>
      </c>
      <c r="C59" s="55" t="s">
        <v>390</v>
      </c>
      <c r="D59" s="56"/>
      <c r="E59" s="56"/>
      <c r="F59" s="56"/>
      <c r="G59" s="57" t="s">
        <v>391</v>
      </c>
      <c r="H59" s="53" t="str">
        <f aca="false">IF(COUNTIF(F61:F65,"Yes")=5,"Done",IF(COUNTIF(F61:F65,"Yes")&gt;0,"Part",""))</f>
        <v>Done</v>
      </c>
    </row>
    <row r="60" customFormat="false" ht="18" hidden="false" customHeight="true" outlineLevel="0" collapsed="false">
      <c r="A60" s="3"/>
      <c r="B60" s="3"/>
      <c r="C60" s="28" t="s">
        <v>392</v>
      </c>
      <c r="D60" s="28"/>
      <c r="E60" s="28"/>
      <c r="F60" s="28"/>
      <c r="G60" s="28"/>
      <c r="H60" s="28"/>
    </row>
    <row r="61" customFormat="false" ht="15" hidden="false" customHeight="false" outlineLevel="0" collapsed="false">
      <c r="A61" s="3"/>
      <c r="B61" s="3"/>
      <c r="C61" s="33" t="s">
        <v>393</v>
      </c>
      <c r="D61" s="58"/>
      <c r="E61" s="59" t="s">
        <v>9</v>
      </c>
      <c r="F61" s="17" t="str">
        <f aca="false">IF(useExample="Yes",E61,D61)</f>
        <v>Yes</v>
      </c>
      <c r="G61" s="60" t="s">
        <v>131</v>
      </c>
      <c r="H61" s="34"/>
    </row>
    <row r="62" customFormat="false" ht="15" hidden="false" customHeight="false" outlineLevel="0" collapsed="false">
      <c r="A62" s="3"/>
      <c r="B62" s="3"/>
      <c r="C62" s="33" t="s">
        <v>394</v>
      </c>
      <c r="D62" s="58"/>
      <c r="E62" s="59" t="s">
        <v>9</v>
      </c>
      <c r="F62" s="17" t="str">
        <f aca="false">IF(useExample="Yes",E62,D62)</f>
        <v>Yes</v>
      </c>
      <c r="G62" s="60" t="s">
        <v>131</v>
      </c>
      <c r="H62" s="34"/>
    </row>
    <row r="63" customFormat="false" ht="15" hidden="false" customHeight="false" outlineLevel="0" collapsed="false">
      <c r="A63" s="3"/>
      <c r="B63" s="3"/>
      <c r="C63" s="33" t="s">
        <v>395</v>
      </c>
      <c r="D63" s="58"/>
      <c r="E63" s="59" t="s">
        <v>9</v>
      </c>
      <c r="F63" s="17" t="str">
        <f aca="false">IF(useExample="Yes",E63,D63)</f>
        <v>Yes</v>
      </c>
      <c r="G63" s="60" t="s">
        <v>131</v>
      </c>
      <c r="H63" s="34"/>
    </row>
    <row r="64" customFormat="false" ht="15" hidden="false" customHeight="false" outlineLevel="0" collapsed="false">
      <c r="A64" s="3"/>
      <c r="B64" s="3"/>
      <c r="C64" s="33" t="s">
        <v>396</v>
      </c>
      <c r="D64" s="58"/>
      <c r="E64" s="59" t="s">
        <v>9</v>
      </c>
      <c r="F64" s="17" t="str">
        <f aca="false">IF(useExample="Yes",E64,D64)</f>
        <v>Yes</v>
      </c>
      <c r="G64" s="60" t="s">
        <v>131</v>
      </c>
      <c r="H64" s="34"/>
    </row>
    <row r="65" customFormat="false" ht="15" hidden="false" customHeight="false" outlineLevel="0" collapsed="false">
      <c r="A65" s="3"/>
      <c r="B65" s="3"/>
      <c r="C65" s="33" t="s">
        <v>312</v>
      </c>
      <c r="D65" s="58"/>
      <c r="E65" s="59" t="s">
        <v>9</v>
      </c>
      <c r="F65" s="17" t="str">
        <f aca="false">IF(useExample="Yes",E65,D65)</f>
        <v>Yes</v>
      </c>
      <c r="G65" s="60" t="s">
        <v>131</v>
      </c>
      <c r="H65" s="34"/>
    </row>
    <row r="66" customFormat="false" ht="15" hidden="false" customHeight="false" outlineLevel="0" collapsed="false">
      <c r="A66" s="3"/>
      <c r="B66" s="3"/>
      <c r="C66" s="3"/>
      <c r="D66" s="3"/>
      <c r="E66" s="3"/>
      <c r="F66" s="3"/>
      <c r="G66" s="3"/>
      <c r="H66" s="3"/>
    </row>
    <row r="67" customFormat="false" ht="15" hidden="false" customHeight="false" outlineLevel="0" collapsed="false">
      <c r="A67" s="61" t="n">
        <v>13</v>
      </c>
      <c r="B67" s="62" t="s">
        <v>136</v>
      </c>
      <c r="C67" s="63" t="s">
        <v>397</v>
      </c>
      <c r="D67" s="64"/>
      <c r="E67" s="64"/>
      <c r="F67" s="64"/>
      <c r="G67" s="65" t="s">
        <v>138</v>
      </c>
      <c r="H67" s="61" t="str">
        <f aca="false">IF(AND(F69&lt;&gt;"",F70&lt;&gt;""),"Done",IF(OR(F69&lt;&gt;"",F70&lt;&gt;""),"Part",""))</f>
        <v>Done</v>
      </c>
    </row>
    <row r="68" customFormat="false" ht="31.5" hidden="false" customHeight="true" outlineLevel="0" collapsed="false">
      <c r="A68" s="3"/>
      <c r="B68" s="3"/>
      <c r="C68" s="28" t="s">
        <v>398</v>
      </c>
      <c r="D68" s="28"/>
      <c r="E68" s="28"/>
      <c r="F68" s="28"/>
      <c r="G68" s="28"/>
      <c r="H68" s="28"/>
    </row>
    <row r="69" customFormat="false" ht="30" hidden="false" customHeight="true" outlineLevel="0" collapsed="false">
      <c r="A69" s="3"/>
      <c r="B69" s="3"/>
      <c r="C69" s="33" t="s">
        <v>399</v>
      </c>
      <c r="D69" s="41"/>
      <c r="E69" s="42" t="n">
        <v>99</v>
      </c>
      <c r="F69" s="43" t="n">
        <f aca="false">IF(useExample="Yes",E69,IF(D69="","",D69))</f>
        <v>99</v>
      </c>
      <c r="G69" s="35" t="s">
        <v>400</v>
      </c>
      <c r="H69" s="34"/>
    </row>
    <row r="70" customFormat="false" ht="30" hidden="false" customHeight="true" outlineLevel="0" collapsed="false">
      <c r="A70" s="3"/>
      <c r="B70" s="3"/>
      <c r="C70" s="33" t="s">
        <v>401</v>
      </c>
      <c r="D70" s="66"/>
      <c r="E70" s="67" t="n">
        <v>0.2</v>
      </c>
      <c r="F70" s="68" t="n">
        <f aca="false">IF(useExample="Yes",E70,IF(D70="","",D70))</f>
        <v>0.2</v>
      </c>
      <c r="G70" s="35" t="s">
        <v>318</v>
      </c>
      <c r="H70" s="34"/>
    </row>
    <row r="71" customFormat="false" ht="15" hidden="false" customHeight="false" outlineLevel="0" collapsed="false">
      <c r="A71" s="3"/>
      <c r="B71" s="3"/>
      <c r="C71" s="3"/>
      <c r="D71" s="3"/>
      <c r="E71" s="3"/>
      <c r="F71" s="3"/>
      <c r="G71" s="3"/>
      <c r="H71" s="3"/>
    </row>
    <row r="72" customFormat="false" ht="15" hidden="false" customHeight="false" outlineLevel="0" collapsed="false">
      <c r="A72" s="61" t="n">
        <v>14</v>
      </c>
      <c r="B72" s="62" t="s">
        <v>136</v>
      </c>
      <c r="C72" s="63" t="s">
        <v>402</v>
      </c>
      <c r="D72" s="64"/>
      <c r="E72" s="64"/>
      <c r="F72" s="64"/>
      <c r="G72" s="65" t="s">
        <v>229</v>
      </c>
      <c r="H72" s="61" t="str">
        <f aca="false">IF(F74&lt;&gt;"","Done","")</f>
        <v>Done</v>
      </c>
    </row>
    <row r="73" customFormat="false" ht="18" hidden="false" customHeight="true" outlineLevel="0" collapsed="false">
      <c r="A73" s="3"/>
      <c r="B73" s="3"/>
      <c r="C73" s="28" t="s">
        <v>403</v>
      </c>
      <c r="D73" s="28"/>
      <c r="E73" s="28"/>
      <c r="F73" s="28"/>
      <c r="G73" s="28"/>
      <c r="H73" s="28"/>
    </row>
    <row r="74" customFormat="false" ht="43.5" hidden="false" customHeight="true" outlineLevel="0" collapsed="false">
      <c r="A74" s="3"/>
      <c r="B74" s="3"/>
      <c r="C74" s="33" t="s">
        <v>404</v>
      </c>
      <c r="D74" s="30"/>
      <c r="E74" s="31" t="s">
        <v>405</v>
      </c>
      <c r="F74" s="52" t="str">
        <f aca="false">IF(useExample="Yes",E74,IF(D74="","",D74))</f>
        <v>Support or check-ins</v>
      </c>
      <c r="G74" s="35" t="s">
        <v>406</v>
      </c>
      <c r="H74" s="34"/>
    </row>
    <row r="75" customFormat="false" ht="15" hidden="false" customHeight="false" outlineLevel="0" collapsed="false">
      <c r="A75" s="3"/>
      <c r="B75" s="3"/>
      <c r="C75" s="3"/>
      <c r="D75" s="3"/>
      <c r="E75" s="3"/>
      <c r="F75" s="3"/>
      <c r="G75" s="3"/>
      <c r="H75" s="3"/>
    </row>
    <row r="76" customFormat="false" ht="15" hidden="false" customHeight="false" outlineLevel="0" collapsed="false">
      <c r="A76" s="61" t="n">
        <v>15</v>
      </c>
      <c r="B76" s="62" t="s">
        <v>136</v>
      </c>
      <c r="C76" s="63" t="s">
        <v>407</v>
      </c>
      <c r="D76" s="64"/>
      <c r="E76" s="64"/>
      <c r="F76" s="64"/>
      <c r="G76" s="65" t="s">
        <v>408</v>
      </c>
      <c r="H76" s="61" t="str">
        <f aca="false">IF(COUNTIF(F78:F82,"Yes")=5,"Done",IF(COUNTIF(F78:F82,"Yes")&gt;0,"Part",""))</f>
        <v>Done</v>
      </c>
    </row>
    <row r="77" customFormat="false" ht="18" hidden="false" customHeight="true" outlineLevel="0" collapsed="false">
      <c r="A77" s="3"/>
      <c r="B77" s="3"/>
      <c r="C77" s="28" t="s">
        <v>324</v>
      </c>
      <c r="D77" s="28"/>
      <c r="E77" s="28"/>
      <c r="F77" s="28"/>
      <c r="G77" s="28"/>
      <c r="H77" s="28"/>
    </row>
    <row r="78" customFormat="false" ht="15" hidden="false" customHeight="false" outlineLevel="0" collapsed="false">
      <c r="A78" s="3"/>
      <c r="B78" s="3"/>
      <c r="C78" s="33" t="s">
        <v>409</v>
      </c>
      <c r="D78" s="58"/>
      <c r="E78" s="59" t="s">
        <v>9</v>
      </c>
      <c r="F78" s="17" t="str">
        <f aca="false">IF(useExample="Yes",E78,D78)</f>
        <v>Yes</v>
      </c>
      <c r="G78" s="60" t="s">
        <v>131</v>
      </c>
      <c r="H78" s="34"/>
    </row>
    <row r="79" customFormat="false" ht="15" hidden="false" customHeight="false" outlineLevel="0" collapsed="false">
      <c r="A79" s="3"/>
      <c r="B79" s="3"/>
      <c r="C79" s="33" t="s">
        <v>410</v>
      </c>
      <c r="D79" s="58"/>
      <c r="E79" s="59" t="s">
        <v>9</v>
      </c>
      <c r="F79" s="17" t="str">
        <f aca="false">IF(useExample="Yes",E79,D79)</f>
        <v>Yes</v>
      </c>
      <c r="G79" s="60" t="s">
        <v>131</v>
      </c>
      <c r="H79" s="34"/>
    </row>
    <row r="80" customFormat="false" ht="15" hidden="false" customHeight="false" outlineLevel="0" collapsed="false">
      <c r="A80" s="3"/>
      <c r="B80" s="3"/>
      <c r="C80" s="33" t="s">
        <v>411</v>
      </c>
      <c r="D80" s="58"/>
      <c r="E80" s="59" t="s">
        <v>9</v>
      </c>
      <c r="F80" s="17" t="str">
        <f aca="false">IF(useExample="Yes",E80,D80)</f>
        <v>Yes</v>
      </c>
      <c r="G80" s="60" t="s">
        <v>131</v>
      </c>
      <c r="H80" s="34"/>
    </row>
    <row r="81" customFormat="false" ht="15" hidden="false" customHeight="false" outlineLevel="0" collapsed="false">
      <c r="A81" s="3"/>
      <c r="B81" s="3"/>
      <c r="C81" s="33" t="s">
        <v>412</v>
      </c>
      <c r="D81" s="58"/>
      <c r="E81" s="59" t="s">
        <v>9</v>
      </c>
      <c r="F81" s="17" t="str">
        <f aca="false">IF(useExample="Yes",E81,D81)</f>
        <v>Yes</v>
      </c>
      <c r="G81" s="60" t="s">
        <v>131</v>
      </c>
      <c r="H81" s="34"/>
    </row>
    <row r="82" customFormat="false" ht="15" hidden="false" customHeight="false" outlineLevel="0" collapsed="false">
      <c r="A82" s="3"/>
      <c r="B82" s="3"/>
      <c r="C82" s="33" t="s">
        <v>413</v>
      </c>
      <c r="D82" s="58"/>
      <c r="E82" s="59" t="s">
        <v>9</v>
      </c>
      <c r="F82" s="17" t="str">
        <f aca="false">IF(useExample="Yes",E82,D82)</f>
        <v>Yes</v>
      </c>
      <c r="G82" s="60" t="s">
        <v>131</v>
      </c>
      <c r="H82" s="34"/>
    </row>
  </sheetData>
  <mergeCells count="20">
    <mergeCell ref="A1:H1"/>
    <mergeCell ref="A2:H2"/>
    <mergeCell ref="C6:H6"/>
    <mergeCell ref="C8:H8"/>
    <mergeCell ref="C11:H11"/>
    <mergeCell ref="C13:H13"/>
    <mergeCell ref="C16:H16"/>
    <mergeCell ref="C18:H18"/>
    <mergeCell ref="C21:H21"/>
    <mergeCell ref="C25:H25"/>
    <mergeCell ref="C29:H29"/>
    <mergeCell ref="C33:H33"/>
    <mergeCell ref="C37:H37"/>
    <mergeCell ref="C42:H42"/>
    <mergeCell ref="C51:H51"/>
    <mergeCell ref="C56:H56"/>
    <mergeCell ref="C60:H60"/>
    <mergeCell ref="C68:H68"/>
    <mergeCell ref="C73:H73"/>
    <mergeCell ref="C77:H77"/>
  </mergeCells>
  <conditionalFormatting sqref="H5:H84">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4">
    <dataValidation allowBlank="true" errorStyle="stop" operator="between" showDropDown="false" showErrorMessage="false" showInputMessage="false" sqref="D43:D48 D61:D65 D78:D82" type="list">
      <formula1>"Yes,No"</formula1>
      <formula2>0</formula2>
    </dataValidation>
    <dataValidation allowBlank="true" errorStyle="stop" operator="between" showDropDown="false" showErrorMessage="false" showInputMessage="false" sqref="D7" type="list">
      <formula1>"$1;000 for the same programme,The same programme at $2;000 in four payments,A different product"</formula1>
      <formula2>0</formula2>
    </dataValidation>
    <dataValidation allowBlank="true" errorStyle="stop" operator="between" showDropDown="false" showErrorMessage="false" showInputMessage="false" sqref="D12" type="list">
      <formula1>"It is shorter,There is a string: a payment if they keep it or do not do the work,It is only for some people"</formula1>
      <formula2>0</formula2>
    </dataValidation>
    <dataValidation allowBlank="true" errorStyle="stop" operator="between" showDropDown="false" showErrorMessage="false" showInputMessage="false" sqref="D17" type="list">
      <formula1>"The one for strangers who did not buy the attraction offer,The one for customers who said no to the upsell,Both at once"</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Style="stop" operator="between" showDropDown="false" showErrorMessage="false" showInputMessage="false" sqref="D34" type="list">
      <formula1>"Payment plan,Trial with a string,Lighter version,Deposit and decide"</formula1>
      <formula2>0</formula2>
    </dataValidation>
    <dataValidation allowBlank="true" error="Type a number, or leave it blank if you do not know yet." errorStyle="stop" operator="greaterThanOrEqual" showDropDown="false" showErrorMessage="false" showInputMessage="false" sqref="D52" type="decimal">
      <formula1>-1000000000</formula1>
      <formula2>0</formula2>
    </dataValidation>
    <dataValidation allowBlank="true" error="Type a number, or leave it blank if you do not know yet." errorStyle="stop" operator="greaterThanOrEqual" showDropDown="false" showErrorMessage="false" showInputMessage="false" sqref="D53" type="decimal">
      <formula1>-1000000000</formula1>
      <formula2>0</formula2>
    </dataValidation>
    <dataValidation allowBlank="true" error="Type a number, or leave it blank if you do not know yet." errorStyle="stop" operator="greaterThanOrEqual" showDropDown="false" showErrorMessage="false" showInputMessage="false" sqref="D57" type="decimal">
      <formula1>-1000000000</formula1>
      <formula2>0</formula2>
    </dataValidation>
    <dataValidation allowBlank="true" error="Type a number, or leave it blank if you do not know yet." errorStyle="stop" operator="greaterThanOrEqual" showDropDown="false" showErrorMessage="false" showInputMessage="false" sqref="D69" type="decimal">
      <formula1>-1000000000</formula1>
      <formula2>0</formula2>
    </dataValidation>
    <dataValidation allowBlank="true" error="Type a number, or leave it blank if you do not know yet." errorStyle="stop" operator="greaterThanOrEqual" showDropDown="false" showErrorMessage="false" showInputMessage="false" sqref="D70" type="decimal">
      <formula1>-1000000000</formula1>
      <formula2>0</formula2>
    </dataValidation>
    <dataValidation allowBlank="true" errorStyle="stop" operator="between" showDropDown="false" showErrorMessage="false" showInputMessage="false" sqref="D74" type="list">
      <formula1>"Time with you,Access or seats,Support or check-ins,The guarantee,Speed of the result"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414</v>
      </c>
      <c r="B1" s="21"/>
      <c r="C1" s="21"/>
      <c r="D1" s="21"/>
      <c r="E1" s="21"/>
      <c r="F1" s="21"/>
      <c r="G1" s="21"/>
      <c r="H1" s="21"/>
    </row>
    <row r="2" customFormat="false" ht="15" hidden="false" customHeight="false" outlineLevel="0" collapsed="false">
      <c r="A2" s="2" t="s">
        <v>415</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416</v>
      </c>
      <c r="D5" s="26"/>
      <c r="E5" s="26"/>
      <c r="F5" s="26"/>
      <c r="G5" s="27" t="s">
        <v>54</v>
      </c>
      <c r="H5" s="23" t="str">
        <f aca="false">IF(F7="","",IF(F7="About 10","Done","Not yet"))</f>
        <v>Done</v>
      </c>
    </row>
    <row r="6" customFormat="false" ht="102" hidden="false" customHeight="true" outlineLevel="0" collapsed="false">
      <c r="A6" s="3"/>
      <c r="B6" s="3"/>
      <c r="C6" s="28" t="s">
        <v>417</v>
      </c>
      <c r="D6" s="28"/>
      <c r="E6" s="28"/>
      <c r="F6" s="28"/>
      <c r="G6" s="28"/>
      <c r="H6" s="28"/>
    </row>
    <row r="7" customFormat="false" ht="31.5" hidden="false" customHeight="true" outlineLevel="0" collapsed="false">
      <c r="A7" s="3"/>
      <c r="B7" s="3"/>
      <c r="C7" s="29" t="s">
        <v>418</v>
      </c>
      <c r="D7" s="30"/>
      <c r="E7" s="31" t="s">
        <v>419</v>
      </c>
      <c r="F7" s="32" t="str">
        <f aca="false">IF(useExample="Yes",E7,D7)</f>
        <v>About 10</v>
      </c>
      <c r="G7" s="33" t="str">
        <f aca="false">IF(F7="","",IF(F7="About 10","Right. Expected months is one divided by the monthly churn: 1 / 0.10 = 10.","Not quite. Expected months is one divided by the monthly churn: 1 / 0.10 = 10."))</f>
        <v>Right. Expected months is one divided by the monthly churn: 1 / 0.10 = 10.</v>
      </c>
      <c r="H7" s="34"/>
    </row>
    <row r="8" customFormat="false" ht="15.75" hidden="false" customHeight="true" outlineLevel="0" collapsed="false">
      <c r="A8" s="3"/>
      <c r="B8" s="3"/>
      <c r="C8" s="35" t="s">
        <v>420</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421</v>
      </c>
      <c r="D10" s="26"/>
      <c r="E10" s="26"/>
      <c r="F10" s="26"/>
      <c r="G10" s="27" t="s">
        <v>54</v>
      </c>
      <c r="H10" s="23" t="str">
        <f aca="false">IF(F12="","",IF(F12="Getting people to stay; by giving them something to wait for","Done","Not yet"))</f>
        <v>Done</v>
      </c>
    </row>
    <row r="11" customFormat="false" ht="129.75" hidden="false" customHeight="true" outlineLevel="0" collapsed="false">
      <c r="A11" s="3"/>
      <c r="B11" s="3"/>
      <c r="C11" s="28" t="s">
        <v>422</v>
      </c>
      <c r="D11" s="28"/>
      <c r="E11" s="28"/>
      <c r="F11" s="28"/>
      <c r="G11" s="28"/>
      <c r="H11" s="28"/>
    </row>
    <row r="12" customFormat="false" ht="31.5" hidden="false" customHeight="true" outlineLevel="0" collapsed="false">
      <c r="A12" s="3"/>
      <c r="B12" s="3"/>
      <c r="C12" s="29" t="s">
        <v>423</v>
      </c>
      <c r="D12" s="30"/>
      <c r="E12" s="31" t="s">
        <v>424</v>
      </c>
      <c r="F12" s="32" t="str">
        <f aca="false">IF(useExample="Yes",E12,D12)</f>
        <v>Getting people to stay; by giving them something to wait for</v>
      </c>
      <c r="G12" s="33" t="str">
        <f aca="false">IF(F12="","",IF(F12="Getting people to stay; by giving them something to wait for","Right. Joining bonuses fight the first no. Bonuses over time fight churn.","Not quite. Joining bonuses fight the first no. Bonuses over time fight churn."))</f>
        <v>Right. Joining bonuses fight the first no. Bonuses over time fight churn.</v>
      </c>
      <c r="H12" s="34"/>
    </row>
    <row r="13" customFormat="false" ht="15.75" hidden="false" customHeight="true" outlineLevel="0" collapsed="false">
      <c r="A13" s="3"/>
      <c r="B13" s="3"/>
      <c r="C13" s="35" t="s">
        <v>425</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426</v>
      </c>
      <c r="D15" s="26"/>
      <c r="E15" s="26"/>
      <c r="F15" s="26"/>
      <c r="G15" s="27" t="s">
        <v>54</v>
      </c>
      <c r="H15" s="23" t="str">
        <f aca="false">IF(F17="","",IF(F17="It roughly doubles","Done","Not yet"))</f>
        <v>Done</v>
      </c>
    </row>
    <row r="16" customFormat="false" ht="87.75" hidden="false" customHeight="true" outlineLevel="0" collapsed="false">
      <c r="A16" s="3"/>
      <c r="B16" s="3"/>
      <c r="C16" s="28" t="s">
        <v>427</v>
      </c>
      <c r="D16" s="28"/>
      <c r="E16" s="28"/>
      <c r="F16" s="28"/>
      <c r="G16" s="28"/>
      <c r="H16" s="28"/>
    </row>
    <row r="17" customFormat="false" ht="31.5" hidden="false" customHeight="true" outlineLevel="0" collapsed="false">
      <c r="A17" s="3"/>
      <c r="B17" s="3"/>
      <c r="C17" s="29" t="s">
        <v>428</v>
      </c>
      <c r="D17" s="30"/>
      <c r="E17" s="31" t="s">
        <v>429</v>
      </c>
      <c r="F17" s="32" t="str">
        <f aca="false">IF(useExample="Yes",E17,D17)</f>
        <v>It roughly doubles</v>
      </c>
      <c r="G17" s="33" t="str">
        <f aca="false">IF(F17="","",IF(F17="It roughly doubles","Right. Expected months goes from 10 to 20. Same price, twice the months.","Not quite. Expected months goes from 10 to 20. Same price, twice the months."))</f>
        <v>Right. Expected months goes from 10 to 20. Same price, twice the months.</v>
      </c>
      <c r="H17" s="34"/>
    </row>
    <row r="18" customFormat="false" ht="15.75" hidden="false" customHeight="true" outlineLevel="0" collapsed="false">
      <c r="A18" s="3"/>
      <c r="B18" s="3"/>
      <c r="C18" s="35" t="s">
        <v>430</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431</v>
      </c>
      <c r="D20" s="39"/>
      <c r="E20" s="39"/>
      <c r="F20" s="39"/>
      <c r="G20" s="40" t="s">
        <v>71</v>
      </c>
      <c r="H20" s="36" t="str">
        <f aca="false">IF(F22&lt;&gt;"","Done","")</f>
        <v>Done</v>
      </c>
    </row>
    <row r="21" customFormat="false" ht="18" hidden="false" customHeight="true" outlineLevel="0" collapsed="false">
      <c r="A21" s="3"/>
      <c r="B21" s="3"/>
      <c r="C21" s="28" t="s">
        <v>432</v>
      </c>
      <c r="D21" s="28"/>
      <c r="E21" s="28"/>
      <c r="F21" s="28"/>
      <c r="G21" s="28"/>
      <c r="H21" s="28"/>
    </row>
    <row r="22" customFormat="false" ht="15.75" hidden="false" customHeight="true" outlineLevel="0" collapsed="false">
      <c r="A22" s="3"/>
      <c r="B22" s="3"/>
      <c r="C22" s="33" t="s">
        <v>433</v>
      </c>
      <c r="D22" s="41"/>
      <c r="E22" s="42" t="n">
        <v>149</v>
      </c>
      <c r="F22" s="43" t="n">
        <f aca="false">IF(useExample="Yes",E22,IF(D22="","",D22))</f>
        <v>149</v>
      </c>
      <c r="G22" s="35" t="s">
        <v>434</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435</v>
      </c>
      <c r="D24" s="39"/>
      <c r="E24" s="39"/>
      <c r="F24" s="39"/>
      <c r="G24" s="40" t="s">
        <v>267</v>
      </c>
      <c r="H24" s="36" t="str">
        <f aca="false">IF(F26&lt;&gt;"","Done","")</f>
        <v>Done</v>
      </c>
    </row>
    <row r="25" customFormat="false" ht="18" hidden="false" customHeight="true" outlineLevel="0" collapsed="false">
      <c r="A25" s="3"/>
      <c r="B25" s="3"/>
      <c r="C25" s="28" t="s">
        <v>436</v>
      </c>
      <c r="D25" s="28"/>
      <c r="E25" s="28"/>
      <c r="F25" s="28"/>
      <c r="G25" s="28"/>
      <c r="H25" s="28"/>
    </row>
    <row r="26" customFormat="false" ht="15.75" hidden="false" customHeight="true" outlineLevel="0" collapsed="false">
      <c r="A26" s="3"/>
      <c r="B26" s="3"/>
      <c r="C26" s="33" t="s">
        <v>437</v>
      </c>
      <c r="D26" s="41"/>
      <c r="E26" s="42" t="n">
        <v>40</v>
      </c>
      <c r="F26" s="43" t="n">
        <f aca="false">IF(useExample="Yes",E26,IF(D26="","",D26))</f>
        <v>40</v>
      </c>
      <c r="G26" s="35" t="s">
        <v>354</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438</v>
      </c>
      <c r="D28" s="39"/>
      <c r="E28" s="39"/>
      <c r="F28" s="39"/>
      <c r="G28" s="40" t="s">
        <v>76</v>
      </c>
      <c r="H28" s="36" t="str">
        <f aca="false">IF(AND(F30&lt;&gt;"",F31&lt;&gt;""),"Done",IF(OR(F30&lt;&gt;"",F31&lt;&gt;""),"Part",""))</f>
        <v>Done</v>
      </c>
    </row>
    <row r="29" customFormat="false" ht="31.5" hidden="false" customHeight="true" outlineLevel="0" collapsed="false">
      <c r="A29" s="3"/>
      <c r="B29" s="3"/>
      <c r="C29" s="28" t="s">
        <v>439</v>
      </c>
      <c r="D29" s="28"/>
      <c r="E29" s="28"/>
      <c r="F29" s="28"/>
      <c r="G29" s="28"/>
      <c r="H29" s="28"/>
    </row>
    <row r="30" customFormat="false" ht="30" hidden="false" customHeight="true" outlineLevel="0" collapsed="false">
      <c r="A30" s="3"/>
      <c r="B30" s="3"/>
      <c r="C30" s="33" t="s">
        <v>440</v>
      </c>
      <c r="D30" s="66"/>
      <c r="E30" s="67" t="n">
        <v>0.6</v>
      </c>
      <c r="F30" s="68" t="n">
        <f aca="false">IF(useExample="Yes",E30,IF(D30="","",D30))</f>
        <v>0.6</v>
      </c>
      <c r="G30" s="35" t="s">
        <v>441</v>
      </c>
      <c r="H30" s="34"/>
    </row>
    <row r="31" customFormat="false" ht="43.5" hidden="false" customHeight="true" outlineLevel="0" collapsed="false">
      <c r="A31" s="3"/>
      <c r="B31" s="3"/>
      <c r="C31" s="33" t="s">
        <v>442</v>
      </c>
      <c r="D31" s="66"/>
      <c r="E31" s="67" t="n">
        <v>0.08</v>
      </c>
      <c r="F31" s="68" t="n">
        <f aca="false">IF(useExample="Yes",E31,IF(D31="","",D31))</f>
        <v>0.08</v>
      </c>
      <c r="G31" s="35" t="s">
        <v>443</v>
      </c>
      <c r="H31" s="34"/>
    </row>
    <row r="32" customFormat="false" ht="15" hidden="false" customHeight="false" outlineLevel="0" collapsed="false">
      <c r="A32" s="3"/>
      <c r="B32" s="3"/>
      <c r="C32" s="3"/>
      <c r="D32" s="3"/>
      <c r="E32" s="3"/>
      <c r="F32" s="3"/>
      <c r="G32" s="3"/>
      <c r="H32" s="3"/>
    </row>
    <row r="33" customFormat="false" ht="15" hidden="false" customHeight="false" outlineLevel="0" collapsed="false">
      <c r="A33" s="47" t="n">
        <v>7</v>
      </c>
      <c r="B33" s="48" t="s">
        <v>87</v>
      </c>
      <c r="C33" s="49" t="s">
        <v>444</v>
      </c>
      <c r="D33" s="50"/>
      <c r="E33" s="50"/>
      <c r="F33" s="50"/>
      <c r="G33" s="51" t="s">
        <v>98</v>
      </c>
      <c r="H33" s="47" t="str">
        <f aca="false">IF(F35&lt;&gt;"","Done","")</f>
        <v>Done</v>
      </c>
    </row>
    <row r="34" customFormat="false" ht="18" hidden="false" customHeight="true" outlineLevel="0" collapsed="false">
      <c r="A34" s="3"/>
      <c r="B34" s="3"/>
      <c r="C34" s="28" t="s">
        <v>445</v>
      </c>
      <c r="D34" s="28"/>
      <c r="E34" s="28"/>
      <c r="F34" s="28"/>
      <c r="G34" s="28"/>
      <c r="H34" s="28"/>
    </row>
    <row r="35" customFormat="false" ht="43.5" hidden="false" customHeight="true" outlineLevel="0" collapsed="false">
      <c r="A35" s="3"/>
      <c r="B35" s="3"/>
      <c r="C35" s="33" t="s">
        <v>446</v>
      </c>
      <c r="D35" s="30"/>
      <c r="E35" s="31" t="s">
        <v>447</v>
      </c>
      <c r="F35" s="52" t="str">
        <f aca="false">IF(useExample="Yes",E35,IF(D35="","",D35))</f>
        <v>The default</v>
      </c>
      <c r="G35" s="35" t="s">
        <v>448</v>
      </c>
      <c r="H35" s="34"/>
    </row>
    <row r="36" customFormat="false" ht="15" hidden="false" customHeight="false" outlineLevel="0" collapsed="false">
      <c r="A36" s="3"/>
      <c r="B36" s="3"/>
      <c r="C36" s="3"/>
      <c r="D36" s="3"/>
      <c r="E36" s="3"/>
      <c r="F36" s="3"/>
      <c r="G36" s="3"/>
      <c r="H36" s="3"/>
    </row>
    <row r="37" customFormat="false" ht="15" hidden="false" customHeight="false" outlineLevel="0" collapsed="false">
      <c r="A37" s="47" t="n">
        <v>8</v>
      </c>
      <c r="B37" s="48" t="s">
        <v>87</v>
      </c>
      <c r="C37" s="49" t="s">
        <v>449</v>
      </c>
      <c r="D37" s="50"/>
      <c r="E37" s="50"/>
      <c r="F37" s="50"/>
      <c r="G37" s="51" t="s">
        <v>193</v>
      </c>
      <c r="H37" s="47" t="str">
        <f aca="false">IF(AND(F39&lt;&gt;"",F40&lt;&gt;""),"Done",IF(OR(F39&lt;&gt;"",F40&lt;&gt;""),"Part",""))</f>
        <v>Done</v>
      </c>
    </row>
    <row r="38" customFormat="false" ht="31.5" hidden="false" customHeight="true" outlineLevel="0" collapsed="false">
      <c r="A38" s="3"/>
      <c r="B38" s="3"/>
      <c r="C38" s="28" t="s">
        <v>450</v>
      </c>
      <c r="D38" s="28"/>
      <c r="E38" s="28"/>
      <c r="F38" s="28"/>
      <c r="G38" s="28"/>
      <c r="H38" s="28"/>
    </row>
    <row r="39" customFormat="false" ht="99.75" hidden="false" customHeight="true" outlineLevel="0" collapsed="false">
      <c r="A39" s="3"/>
      <c r="B39" s="3"/>
      <c r="C39" s="33" t="s">
        <v>451</v>
      </c>
      <c r="D39" s="30"/>
      <c r="E39" s="31" t="s">
        <v>452</v>
      </c>
      <c r="F39" s="52" t="str">
        <f aca="false">IF(useExample="Yes",E39,IF(D39="","",D39))</f>
        <v>To keep the weight off, most people stay on as members: $149 a month, and if you start today the first month's meal plans are included.</v>
      </c>
      <c r="G39" s="35" t="s">
        <v>453</v>
      </c>
      <c r="H39" s="34"/>
    </row>
    <row r="40" customFormat="false" ht="57.75" hidden="false" customHeight="true" outlineLevel="0" collapsed="false">
      <c r="A40" s="3"/>
      <c r="B40" s="3"/>
      <c r="C40" s="33" t="s">
        <v>454</v>
      </c>
      <c r="D40" s="30"/>
      <c r="E40" s="31" t="s">
        <v>455</v>
      </c>
      <c r="F40" s="52" t="str">
        <f aca="false">IF(useExample="Yes",E40,IF(D40="","",D40))</f>
        <v>A new eight-week block every two months, and a tracked weigh-in chart</v>
      </c>
      <c r="G40" s="35" t="s">
        <v>456</v>
      </c>
      <c r="H40" s="34"/>
    </row>
    <row r="41" customFormat="false" ht="15" hidden="false" customHeight="false" outlineLevel="0" collapsed="false">
      <c r="A41" s="3"/>
      <c r="B41" s="3"/>
      <c r="C41" s="3"/>
      <c r="D41" s="3"/>
      <c r="E41" s="3"/>
      <c r="F41" s="3"/>
      <c r="G41" s="3"/>
      <c r="H41" s="3"/>
    </row>
    <row r="42" customFormat="false" ht="15" hidden="false" customHeight="false" outlineLevel="0" collapsed="false">
      <c r="A42" s="47" t="n">
        <v>9</v>
      </c>
      <c r="B42" s="48" t="s">
        <v>87</v>
      </c>
      <c r="C42" s="49" t="s">
        <v>457</v>
      </c>
      <c r="D42" s="50"/>
      <c r="E42" s="50"/>
      <c r="F42" s="50"/>
      <c r="G42" s="51" t="s">
        <v>372</v>
      </c>
      <c r="H42" s="47" t="str">
        <f aca="false">IF(COUNTIF(F44:F49,"Yes")=6,"Done",IF(COUNTIF(F44:F49,"Yes")&gt;0,"Part",""))</f>
        <v>Done</v>
      </c>
    </row>
    <row r="43" customFormat="false" ht="18" hidden="false" customHeight="true" outlineLevel="0" collapsed="false">
      <c r="A43" s="3"/>
      <c r="B43" s="3"/>
      <c r="C43" s="28" t="s">
        <v>458</v>
      </c>
      <c r="D43" s="28"/>
      <c r="E43" s="28"/>
      <c r="F43" s="28"/>
      <c r="G43" s="28"/>
      <c r="H43" s="28"/>
    </row>
    <row r="44" customFormat="false" ht="15" hidden="false" customHeight="false" outlineLevel="0" collapsed="false">
      <c r="A44" s="3"/>
      <c r="B44" s="3"/>
      <c r="C44" s="33" t="s">
        <v>459</v>
      </c>
      <c r="D44" s="58"/>
      <c r="E44" s="59" t="s">
        <v>9</v>
      </c>
      <c r="F44" s="17" t="str">
        <f aca="false">IF(useExample="Yes",E44,D44)</f>
        <v>Yes</v>
      </c>
      <c r="G44" s="60" t="s">
        <v>131</v>
      </c>
      <c r="H44" s="34"/>
    </row>
    <row r="45" customFormat="false" ht="15" hidden="false" customHeight="false" outlineLevel="0" collapsed="false">
      <c r="A45" s="3"/>
      <c r="B45" s="3"/>
      <c r="C45" s="33" t="s">
        <v>460</v>
      </c>
      <c r="D45" s="58"/>
      <c r="E45" s="59" t="s">
        <v>9</v>
      </c>
      <c r="F45" s="17" t="str">
        <f aca="false">IF(useExample="Yes",E45,D45)</f>
        <v>Yes</v>
      </c>
      <c r="G45" s="60" t="s">
        <v>131</v>
      </c>
      <c r="H45" s="34"/>
    </row>
    <row r="46" customFormat="false" ht="15" hidden="false" customHeight="false" outlineLevel="0" collapsed="false">
      <c r="A46" s="3"/>
      <c r="B46" s="3"/>
      <c r="C46" s="33" t="s">
        <v>461</v>
      </c>
      <c r="D46" s="58"/>
      <c r="E46" s="59" t="s">
        <v>9</v>
      </c>
      <c r="F46" s="17" t="str">
        <f aca="false">IF(useExample="Yes",E46,D46)</f>
        <v>Yes</v>
      </c>
      <c r="G46" s="60" t="s">
        <v>131</v>
      </c>
      <c r="H46" s="34"/>
    </row>
    <row r="47" customFormat="false" ht="15" hidden="false" customHeight="false" outlineLevel="0" collapsed="false">
      <c r="A47" s="3"/>
      <c r="B47" s="3"/>
      <c r="C47" s="33" t="s">
        <v>462</v>
      </c>
      <c r="D47" s="58"/>
      <c r="E47" s="59" t="s">
        <v>9</v>
      </c>
      <c r="F47" s="17" t="str">
        <f aca="false">IF(useExample="Yes",E47,D47)</f>
        <v>Yes</v>
      </c>
      <c r="G47" s="60" t="s">
        <v>131</v>
      </c>
      <c r="H47" s="34"/>
    </row>
    <row r="48" customFormat="false" ht="15" hidden="false" customHeight="false" outlineLevel="0" collapsed="false">
      <c r="A48" s="3"/>
      <c r="B48" s="3"/>
      <c r="C48" s="33" t="s">
        <v>463</v>
      </c>
      <c r="D48" s="58"/>
      <c r="E48" s="59" t="s">
        <v>9</v>
      </c>
      <c r="F48" s="17" t="str">
        <f aca="false">IF(useExample="Yes",E48,D48)</f>
        <v>Yes</v>
      </c>
      <c r="G48" s="60" t="s">
        <v>131</v>
      </c>
      <c r="H48" s="34"/>
    </row>
    <row r="49" customFormat="false" ht="15" hidden="false" customHeight="false" outlineLevel="0" collapsed="false">
      <c r="A49" s="3"/>
      <c r="B49" s="3"/>
      <c r="C49" s="33" t="s">
        <v>464</v>
      </c>
      <c r="D49" s="58"/>
      <c r="E49" s="59" t="s">
        <v>9</v>
      </c>
      <c r="F49" s="17" t="str">
        <f aca="false">IF(useExample="Yes",E49,D49)</f>
        <v>Yes</v>
      </c>
      <c r="G49" s="60" t="s">
        <v>131</v>
      </c>
      <c r="H49" s="34"/>
    </row>
    <row r="50" customFormat="false" ht="15" hidden="false" customHeight="false" outlineLevel="0" collapsed="false">
      <c r="A50" s="3"/>
      <c r="B50" s="3"/>
      <c r="C50" s="3"/>
      <c r="D50" s="3"/>
      <c r="E50" s="3"/>
      <c r="F50" s="3"/>
      <c r="G50" s="3"/>
      <c r="H50" s="3"/>
    </row>
    <row r="51" customFormat="false" ht="15" hidden="false" customHeight="false" outlineLevel="0" collapsed="false">
      <c r="A51" s="53" t="n">
        <v>10</v>
      </c>
      <c r="B51" s="54" t="s">
        <v>116</v>
      </c>
      <c r="C51" s="55" t="s">
        <v>465</v>
      </c>
      <c r="D51" s="56"/>
      <c r="E51" s="56"/>
      <c r="F51" s="56"/>
      <c r="G51" s="57" t="s">
        <v>298</v>
      </c>
      <c r="H51" s="53" t="str">
        <f aca="false">IF(F53&lt;&gt;"","Done","")</f>
        <v>Done</v>
      </c>
    </row>
    <row r="52" customFormat="false" ht="31.5" hidden="false" customHeight="true" outlineLevel="0" collapsed="false">
      <c r="A52" s="3"/>
      <c r="B52" s="3"/>
      <c r="C52" s="28" t="s">
        <v>466</v>
      </c>
      <c r="D52" s="28"/>
      <c r="E52" s="28"/>
      <c r="F52" s="28"/>
      <c r="G52" s="28"/>
      <c r="H52" s="28"/>
    </row>
    <row r="53" customFormat="false" ht="30" hidden="false" customHeight="true" outlineLevel="0" collapsed="false">
      <c r="A53" s="3"/>
      <c r="B53" s="3"/>
      <c r="C53" s="33" t="s">
        <v>467</v>
      </c>
      <c r="D53" s="44"/>
      <c r="E53" s="45" t="n">
        <v>42</v>
      </c>
      <c r="F53" s="46" t="n">
        <f aca="false">IF(useExample="Yes",E53,IF(D53="","",D53))</f>
        <v>42</v>
      </c>
      <c r="G53" s="35" t="s">
        <v>468</v>
      </c>
      <c r="H53" s="34"/>
    </row>
    <row r="54" customFormat="false" ht="15" hidden="false" customHeight="false" outlineLevel="0" collapsed="false">
      <c r="A54" s="3"/>
      <c r="B54" s="3"/>
      <c r="C54" s="3"/>
      <c r="D54" s="3"/>
      <c r="E54" s="3"/>
      <c r="F54" s="3"/>
      <c r="G54" s="3"/>
      <c r="H54" s="3"/>
    </row>
    <row r="55" customFormat="false" ht="15" hidden="false" customHeight="false" outlineLevel="0" collapsed="false">
      <c r="A55" s="53" t="n">
        <v>11</v>
      </c>
      <c r="B55" s="54" t="s">
        <v>116</v>
      </c>
      <c r="C55" s="55" t="s">
        <v>469</v>
      </c>
      <c r="D55" s="56"/>
      <c r="E55" s="56"/>
      <c r="F55" s="56"/>
      <c r="G55" s="57" t="s">
        <v>118</v>
      </c>
      <c r="H55" s="53" t="str">
        <f aca="false">IF(F57&lt;&gt;"","Done","")</f>
        <v>Done</v>
      </c>
    </row>
    <row r="56" customFormat="false" ht="18" hidden="false" customHeight="true" outlineLevel="0" collapsed="false">
      <c r="A56" s="3"/>
      <c r="B56" s="3"/>
      <c r="C56" s="28" t="s">
        <v>470</v>
      </c>
      <c r="D56" s="28"/>
      <c r="E56" s="28"/>
      <c r="F56" s="28"/>
      <c r="G56" s="28"/>
      <c r="H56" s="28"/>
    </row>
    <row r="57" customFormat="false" ht="30" hidden="false" customHeight="true" outlineLevel="0" collapsed="false">
      <c r="A57" s="3"/>
      <c r="B57" s="3"/>
      <c r="C57" s="33" t="s">
        <v>471</v>
      </c>
      <c r="D57" s="66"/>
      <c r="E57" s="67" t="n">
        <v>0.78</v>
      </c>
      <c r="F57" s="68" t="n">
        <f aca="false">IF(useExample="Yes",E57,IF(D57="","",D57))</f>
        <v>0.78</v>
      </c>
      <c r="G57" s="35" t="s">
        <v>472</v>
      </c>
      <c r="H57" s="34"/>
    </row>
    <row r="58" customFormat="false" ht="15" hidden="false" customHeight="false" outlineLevel="0" collapsed="false">
      <c r="A58" s="3"/>
      <c r="B58" s="3"/>
      <c r="C58" s="3"/>
      <c r="D58" s="3"/>
      <c r="E58" s="3"/>
      <c r="F58" s="3"/>
      <c r="G58" s="3"/>
      <c r="H58" s="3"/>
    </row>
    <row r="59" customFormat="false" ht="15" hidden="false" customHeight="false" outlineLevel="0" collapsed="false">
      <c r="A59" s="53" t="n">
        <v>12</v>
      </c>
      <c r="B59" s="54" t="s">
        <v>116</v>
      </c>
      <c r="C59" s="55" t="s">
        <v>473</v>
      </c>
      <c r="D59" s="56"/>
      <c r="E59" s="56"/>
      <c r="F59" s="56"/>
      <c r="G59" s="57" t="s">
        <v>391</v>
      </c>
      <c r="H59" s="53" t="str">
        <f aca="false">IF(COUNTIF(F61:F65,"Yes")=5,"Done",IF(COUNTIF(F61:F65,"Yes")&gt;0,"Part",""))</f>
        <v>Done</v>
      </c>
    </row>
    <row r="60" customFormat="false" ht="18" hidden="false" customHeight="true" outlineLevel="0" collapsed="false">
      <c r="A60" s="3"/>
      <c r="B60" s="3"/>
      <c r="C60" s="28" t="s">
        <v>474</v>
      </c>
      <c r="D60" s="28"/>
      <c r="E60" s="28"/>
      <c r="F60" s="28"/>
      <c r="G60" s="28"/>
      <c r="H60" s="28"/>
    </row>
    <row r="61" customFormat="false" ht="15" hidden="false" customHeight="false" outlineLevel="0" collapsed="false">
      <c r="A61" s="3"/>
      <c r="B61" s="3"/>
      <c r="C61" s="33" t="s">
        <v>475</v>
      </c>
      <c r="D61" s="58"/>
      <c r="E61" s="59" t="s">
        <v>9</v>
      </c>
      <c r="F61" s="17" t="str">
        <f aca="false">IF(useExample="Yes",E61,D61)</f>
        <v>Yes</v>
      </c>
      <c r="G61" s="60" t="s">
        <v>131</v>
      </c>
      <c r="H61" s="34"/>
    </row>
    <row r="62" customFormat="false" ht="15" hidden="false" customHeight="false" outlineLevel="0" collapsed="false">
      <c r="A62" s="3"/>
      <c r="B62" s="3"/>
      <c r="C62" s="33" t="s">
        <v>476</v>
      </c>
      <c r="D62" s="58"/>
      <c r="E62" s="59" t="s">
        <v>9</v>
      </c>
      <c r="F62" s="17" t="str">
        <f aca="false">IF(useExample="Yes",E62,D62)</f>
        <v>Yes</v>
      </c>
      <c r="G62" s="60" t="s">
        <v>131</v>
      </c>
      <c r="H62" s="34"/>
    </row>
    <row r="63" customFormat="false" ht="15" hidden="false" customHeight="false" outlineLevel="0" collapsed="false">
      <c r="A63" s="3"/>
      <c r="B63" s="3"/>
      <c r="C63" s="33" t="s">
        <v>477</v>
      </c>
      <c r="D63" s="58"/>
      <c r="E63" s="59" t="s">
        <v>9</v>
      </c>
      <c r="F63" s="17" t="str">
        <f aca="false">IF(useExample="Yes",E63,D63)</f>
        <v>Yes</v>
      </c>
      <c r="G63" s="60" t="s">
        <v>131</v>
      </c>
      <c r="H63" s="34"/>
    </row>
    <row r="64" customFormat="false" ht="15" hidden="false" customHeight="false" outlineLevel="0" collapsed="false">
      <c r="A64" s="3"/>
      <c r="B64" s="3"/>
      <c r="C64" s="33" t="s">
        <v>478</v>
      </c>
      <c r="D64" s="58"/>
      <c r="E64" s="59" t="s">
        <v>9</v>
      </c>
      <c r="F64" s="17" t="str">
        <f aca="false">IF(useExample="Yes",E64,D64)</f>
        <v>Yes</v>
      </c>
      <c r="G64" s="60" t="s">
        <v>131</v>
      </c>
      <c r="H64" s="34"/>
    </row>
    <row r="65" customFormat="false" ht="15" hidden="false" customHeight="false" outlineLevel="0" collapsed="false">
      <c r="A65" s="3"/>
      <c r="B65" s="3"/>
      <c r="C65" s="33" t="s">
        <v>479</v>
      </c>
      <c r="D65" s="58"/>
      <c r="E65" s="59" t="s">
        <v>9</v>
      </c>
      <c r="F65" s="17" t="str">
        <f aca="false">IF(useExample="Yes",E65,D65)</f>
        <v>Yes</v>
      </c>
      <c r="G65" s="60" t="s">
        <v>131</v>
      </c>
      <c r="H65" s="34"/>
    </row>
    <row r="66" customFormat="false" ht="15" hidden="false" customHeight="false" outlineLevel="0" collapsed="false">
      <c r="A66" s="3"/>
      <c r="B66" s="3"/>
      <c r="C66" s="3"/>
      <c r="D66" s="3"/>
      <c r="E66" s="3"/>
      <c r="F66" s="3"/>
      <c r="G66" s="3"/>
      <c r="H66" s="3"/>
    </row>
    <row r="67" customFormat="false" ht="15" hidden="false" customHeight="false" outlineLevel="0" collapsed="false">
      <c r="A67" s="61" t="n">
        <v>13</v>
      </c>
      <c r="B67" s="62" t="s">
        <v>136</v>
      </c>
      <c r="C67" s="63" t="s">
        <v>480</v>
      </c>
      <c r="D67" s="64"/>
      <c r="E67" s="64"/>
      <c r="F67" s="64"/>
      <c r="G67" s="65" t="s">
        <v>138</v>
      </c>
      <c r="H67" s="61" t="str">
        <f aca="false">IF(AND(F69&lt;&gt;"",F70&lt;&gt;""),"Done",IF(OR(F69&lt;&gt;"",F70&lt;&gt;""),"Part",""))</f>
        <v>Done</v>
      </c>
    </row>
    <row r="68" customFormat="false" ht="31.5" hidden="false" customHeight="true" outlineLevel="0" collapsed="false">
      <c r="A68" s="3"/>
      <c r="B68" s="3"/>
      <c r="C68" s="28" t="s">
        <v>481</v>
      </c>
      <c r="D68" s="28"/>
      <c r="E68" s="28"/>
      <c r="F68" s="28"/>
      <c r="G68" s="28"/>
      <c r="H68" s="28"/>
    </row>
    <row r="69" customFormat="false" ht="15.75" hidden="false" customHeight="true" outlineLevel="0" collapsed="false">
      <c r="A69" s="3"/>
      <c r="B69" s="3"/>
      <c r="C69" s="33" t="s">
        <v>482</v>
      </c>
      <c r="D69" s="41"/>
      <c r="E69" s="42" t="n">
        <v>1490</v>
      </c>
      <c r="F69" s="43" t="n">
        <f aca="false">IF(useExample="Yes",E69,IF(D69="","",D69))</f>
        <v>1490</v>
      </c>
      <c r="G69" s="35" t="s">
        <v>483</v>
      </c>
      <c r="H69" s="34"/>
    </row>
    <row r="70" customFormat="false" ht="30" hidden="false" customHeight="true" outlineLevel="0" collapsed="false">
      <c r="A70" s="3"/>
      <c r="B70" s="3"/>
      <c r="C70" s="33" t="s">
        <v>484</v>
      </c>
      <c r="D70" s="66"/>
      <c r="E70" s="67" t="n">
        <v>0.15</v>
      </c>
      <c r="F70" s="68" t="n">
        <f aca="false">IF(useExample="Yes",E70,IF(D70="","",D70))</f>
        <v>0.15</v>
      </c>
      <c r="G70" s="35" t="s">
        <v>318</v>
      </c>
      <c r="H70" s="34"/>
    </row>
    <row r="71" customFormat="false" ht="15" hidden="false" customHeight="false" outlineLevel="0" collapsed="false">
      <c r="A71" s="3"/>
      <c r="B71" s="3"/>
      <c r="C71" s="3"/>
      <c r="D71" s="3"/>
      <c r="E71" s="3"/>
      <c r="F71" s="3"/>
      <c r="G71" s="3"/>
      <c r="H71" s="3"/>
    </row>
    <row r="72" customFormat="false" ht="15" hidden="false" customHeight="false" outlineLevel="0" collapsed="false">
      <c r="A72" s="61" t="n">
        <v>14</v>
      </c>
      <c r="B72" s="62" t="s">
        <v>136</v>
      </c>
      <c r="C72" s="63" t="s">
        <v>485</v>
      </c>
      <c r="D72" s="64"/>
      <c r="E72" s="64"/>
      <c r="F72" s="64"/>
      <c r="G72" s="65" t="s">
        <v>229</v>
      </c>
      <c r="H72" s="61" t="str">
        <f aca="false">IF(F74&lt;&gt;"","Done","")</f>
        <v>Done</v>
      </c>
    </row>
    <row r="73" customFormat="false" ht="18" hidden="false" customHeight="true" outlineLevel="0" collapsed="false">
      <c r="A73" s="3"/>
      <c r="B73" s="3"/>
      <c r="C73" s="28" t="s">
        <v>486</v>
      </c>
      <c r="D73" s="28"/>
      <c r="E73" s="28"/>
      <c r="F73" s="28"/>
      <c r="G73" s="28"/>
      <c r="H73" s="28"/>
    </row>
    <row r="74" customFormat="false" ht="57.75" hidden="false" customHeight="true" outlineLevel="0" collapsed="false">
      <c r="A74" s="3"/>
      <c r="B74" s="3"/>
      <c r="C74" s="33" t="s">
        <v>487</v>
      </c>
      <c r="D74" s="30"/>
      <c r="E74" s="31" t="s">
        <v>488</v>
      </c>
      <c r="F74" s="52" t="str">
        <f aca="false">IF(useExample="Yes",E74,IF(D74="","",D74))</f>
        <v>A result they can watch grow</v>
      </c>
      <c r="G74" s="35" t="s">
        <v>489</v>
      </c>
      <c r="H74" s="34"/>
    </row>
    <row r="75" customFormat="false" ht="15" hidden="false" customHeight="false" outlineLevel="0" collapsed="false">
      <c r="A75" s="3"/>
      <c r="B75" s="3"/>
      <c r="C75" s="3"/>
      <c r="D75" s="3"/>
      <c r="E75" s="3"/>
      <c r="F75" s="3"/>
      <c r="G75" s="3"/>
      <c r="H75" s="3"/>
    </row>
    <row r="76" customFormat="false" ht="15" hidden="false" customHeight="false" outlineLevel="0" collapsed="false">
      <c r="A76" s="61" t="n">
        <v>15</v>
      </c>
      <c r="B76" s="62" t="s">
        <v>136</v>
      </c>
      <c r="C76" s="63" t="s">
        <v>490</v>
      </c>
      <c r="D76" s="64"/>
      <c r="E76" s="64"/>
      <c r="F76" s="64"/>
      <c r="G76" s="65" t="s">
        <v>408</v>
      </c>
      <c r="H76" s="61" t="str">
        <f aca="false">IF(COUNTIF(F78:F82,"Yes")=5,"Done",IF(COUNTIF(F78:F82,"Yes")&gt;0,"Part",""))</f>
        <v>Done</v>
      </c>
    </row>
    <row r="77" customFormat="false" ht="18" hidden="false" customHeight="true" outlineLevel="0" collapsed="false">
      <c r="A77" s="3"/>
      <c r="B77" s="3"/>
      <c r="C77" s="28" t="s">
        <v>491</v>
      </c>
      <c r="D77" s="28"/>
      <c r="E77" s="28"/>
      <c r="F77" s="28"/>
      <c r="G77" s="28"/>
      <c r="H77" s="28"/>
    </row>
    <row r="78" customFormat="false" ht="15" hidden="false" customHeight="false" outlineLevel="0" collapsed="false">
      <c r="A78" s="3"/>
      <c r="B78" s="3"/>
      <c r="C78" s="33" t="s">
        <v>492</v>
      </c>
      <c r="D78" s="58"/>
      <c r="E78" s="59" t="s">
        <v>9</v>
      </c>
      <c r="F78" s="17" t="str">
        <f aca="false">IF(useExample="Yes",E78,D78)</f>
        <v>Yes</v>
      </c>
      <c r="G78" s="60" t="s">
        <v>131</v>
      </c>
      <c r="H78" s="34"/>
    </row>
    <row r="79" customFormat="false" ht="15" hidden="false" customHeight="false" outlineLevel="0" collapsed="false">
      <c r="A79" s="3"/>
      <c r="B79" s="3"/>
      <c r="C79" s="33" t="s">
        <v>493</v>
      </c>
      <c r="D79" s="58"/>
      <c r="E79" s="59" t="s">
        <v>9</v>
      </c>
      <c r="F79" s="17" t="str">
        <f aca="false">IF(useExample="Yes",E79,D79)</f>
        <v>Yes</v>
      </c>
      <c r="G79" s="60" t="s">
        <v>131</v>
      </c>
      <c r="H79" s="34"/>
    </row>
    <row r="80" customFormat="false" ht="15" hidden="false" customHeight="false" outlineLevel="0" collapsed="false">
      <c r="A80" s="3"/>
      <c r="B80" s="3"/>
      <c r="C80" s="33" t="s">
        <v>494</v>
      </c>
      <c r="D80" s="58"/>
      <c r="E80" s="59" t="s">
        <v>9</v>
      </c>
      <c r="F80" s="17" t="str">
        <f aca="false">IF(useExample="Yes",E80,D80)</f>
        <v>Yes</v>
      </c>
      <c r="G80" s="60" t="s">
        <v>131</v>
      </c>
      <c r="H80" s="34"/>
    </row>
    <row r="81" customFormat="false" ht="15" hidden="false" customHeight="false" outlineLevel="0" collapsed="false">
      <c r="A81" s="3"/>
      <c r="B81" s="3"/>
      <c r="C81" s="33" t="s">
        <v>495</v>
      </c>
      <c r="D81" s="58"/>
      <c r="E81" s="59" t="s">
        <v>9</v>
      </c>
      <c r="F81" s="17" t="str">
        <f aca="false">IF(useExample="Yes",E81,D81)</f>
        <v>Yes</v>
      </c>
      <c r="G81" s="60" t="s">
        <v>131</v>
      </c>
      <c r="H81" s="34"/>
    </row>
    <row r="82" customFormat="false" ht="15" hidden="false" customHeight="false" outlineLevel="0" collapsed="false">
      <c r="A82" s="3"/>
      <c r="B82" s="3"/>
      <c r="C82" s="33" t="s">
        <v>496</v>
      </c>
      <c r="D82" s="58"/>
      <c r="E82" s="59" t="s">
        <v>9</v>
      </c>
      <c r="F82" s="17" t="str">
        <f aca="false">IF(useExample="Yes",E82,D82)</f>
        <v>Yes</v>
      </c>
      <c r="G82" s="60" t="s">
        <v>131</v>
      </c>
      <c r="H82" s="34"/>
    </row>
  </sheetData>
  <mergeCells count="20">
    <mergeCell ref="A1:H1"/>
    <mergeCell ref="A2:H2"/>
    <mergeCell ref="C6:H6"/>
    <mergeCell ref="C8:H8"/>
    <mergeCell ref="C11:H11"/>
    <mergeCell ref="C13:H13"/>
    <mergeCell ref="C16:H16"/>
    <mergeCell ref="C18:H18"/>
    <mergeCell ref="C21:H21"/>
    <mergeCell ref="C25:H25"/>
    <mergeCell ref="C29:H29"/>
    <mergeCell ref="C34:H34"/>
    <mergeCell ref="C38:H38"/>
    <mergeCell ref="C43:H43"/>
    <mergeCell ref="C52:H52"/>
    <mergeCell ref="C56:H56"/>
    <mergeCell ref="C60:H60"/>
    <mergeCell ref="C68:H68"/>
    <mergeCell ref="C73:H73"/>
    <mergeCell ref="C77:H77"/>
  </mergeCells>
  <conditionalFormatting sqref="H5:H84">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4">
    <dataValidation allowBlank="true" errorStyle="stop" operator="between" showDropDown="false" showErrorMessage="false" showInputMessage="false" sqref="D44:D49 D61:D65 D78:D82" type="list">
      <formula1>"Yes,No"</formula1>
      <formula2>0</formula2>
    </dataValidation>
    <dataValidation allowBlank="true" errorStyle="stop" operator="between" showDropDown="false" showErrorMessage="false" showInputMessage="false" sqref="D7" type="list">
      <formula1>"About 10,About 5,About 20"</formula1>
      <formula2>0</formula2>
    </dataValidation>
    <dataValidation allowBlank="true" errorStyle="stop" operator="between" showDropDown="false" showErrorMessage="false" showInputMessage="false" sqref="D12" type="list">
      <formula1>"Getting people to join,Getting people to stay; by giving them something to wait for,Raising the price"</formula1>
      <formula2>0</formula2>
    </dataValidation>
    <dataValidation allowBlank="true" errorStyle="stop" operator="between" showDropDown="false" showErrorMessage="false" showInputMessage="false" sqref="D17" type="list">
      <formula1>"It goes up a little,It roughly doubles,Nothing until you raise prices"</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Type a number, or leave it blank if you do not know yet." errorStyle="stop" operator="greaterThanOrEqual" showDropDown="false" showErrorMessage="false" showInputMessage="false" sqref="D31" type="decimal">
      <formula1>-1000000000</formula1>
      <formula2>0</formula2>
    </dataValidation>
    <dataValidation allowBlank="true" errorStyle="stop" operator="between" showDropDown="false" showErrorMessage="false" showInputMessage="false" sqref="D35" type="list">
      <formula1>"Bonus for committing,Discount for a longer term,Waived fee,Bonuses over time,The default"</formula1>
      <formula2>0</formula2>
    </dataValidation>
    <dataValidation allowBlank="true" error="Type a number, or leave it blank if you do not know yet." errorStyle="stop" operator="greaterThanOrEqual" showDropDown="false" showErrorMessage="false" showInputMessage="false" sqref="D53" type="decimal">
      <formula1>-1000000000</formula1>
      <formula2>0</formula2>
    </dataValidation>
    <dataValidation allowBlank="true" error="Type a number, or leave it blank if you do not know yet." errorStyle="stop" operator="greaterThanOrEqual" showDropDown="false" showErrorMessage="false" showInputMessage="false" sqref="D57" type="decimal">
      <formula1>-1000000000</formula1>
      <formula2>0</formula2>
    </dataValidation>
    <dataValidation allowBlank="true" error="Type a number, or leave it blank if you do not know yet." errorStyle="stop" operator="greaterThanOrEqual" showDropDown="false" showErrorMessage="false" showInputMessage="false" sqref="D69" type="decimal">
      <formula1>-1000000000</formula1>
      <formula2>0</formula2>
    </dataValidation>
    <dataValidation allowBlank="true" error="Type a number, or leave it blank if you do not know yet." errorStyle="stop" operator="greaterThanOrEqual" showDropDown="false" showErrorMessage="false" showInputMessage="false" sqref="D70" type="decimal">
      <formula1>-1000000000</formula1>
      <formula2>0</formula2>
    </dataValidation>
    <dataValidation allowBlank="true" errorStyle="stop" operator="between" showDropDown="false" showErrorMessage="false" showInputMessage="false" sqref="D74" type="list">
      <formula1>"A bonus that arrives every few months,A group they would miss,A result they can watch grow,A price locked while they stay,Milestones with rewards"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52"/>
    <col collapsed="false" customWidth="true" hidden="false" outlineLevel="0" max="4" min="4" style="0" width="24"/>
    <col collapsed="false" customWidth="true" hidden="false" outlineLevel="0" max="5" min="5" style="0" width="20"/>
    <col collapsed="false" customWidth="true" hidden="false" outlineLevel="0" max="6" min="6" style="0" width="16"/>
    <col collapsed="false" customWidth="true" hidden="false" outlineLevel="0" max="7" min="7" style="0" width="44"/>
    <col collapsed="false" customWidth="true" hidden="false" outlineLevel="0" max="8" min="8" style="0" width="10"/>
  </cols>
  <sheetData>
    <row r="1" customFormat="false" ht="19.7" hidden="false" customHeight="false" outlineLevel="0" collapsed="false">
      <c r="A1" s="21" t="s">
        <v>497</v>
      </c>
      <c r="B1" s="21"/>
      <c r="C1" s="21"/>
      <c r="D1" s="21"/>
      <c r="E1" s="21"/>
      <c r="F1" s="21"/>
      <c r="G1" s="21"/>
      <c r="H1" s="21"/>
    </row>
    <row r="2" customFormat="false" ht="15" hidden="false" customHeight="false" outlineLevel="0" collapsed="false">
      <c r="A2" s="2" t="s">
        <v>498</v>
      </c>
      <c r="B2" s="2"/>
      <c r="C2" s="2"/>
      <c r="D2" s="2"/>
      <c r="E2" s="2"/>
      <c r="F2" s="2"/>
      <c r="G2" s="2"/>
      <c r="H2" s="2"/>
    </row>
    <row r="3" customFormat="false" ht="15" hidden="false" customHeight="false" outlineLevel="0" collapsed="false">
      <c r="A3" s="22" t="s">
        <v>44</v>
      </c>
      <c r="B3" s="3"/>
      <c r="C3" s="3"/>
      <c r="D3" s="3"/>
      <c r="E3" s="3"/>
      <c r="F3" s="3"/>
      <c r="G3" s="3"/>
      <c r="H3" s="3"/>
    </row>
    <row r="4" customFormat="false" ht="15" hidden="false" customHeight="false" outlineLevel="0" collapsed="false">
      <c r="A4" s="14" t="s">
        <v>45</v>
      </c>
      <c r="B4" s="14" t="s">
        <v>46</v>
      </c>
      <c r="C4" s="14" t="s">
        <v>47</v>
      </c>
      <c r="D4" s="14" t="s">
        <v>48</v>
      </c>
      <c r="E4" s="14" t="s">
        <v>18</v>
      </c>
      <c r="F4" s="14" t="s">
        <v>49</v>
      </c>
      <c r="G4" s="14" t="s">
        <v>50</v>
      </c>
      <c r="H4" s="14" t="s">
        <v>51</v>
      </c>
    </row>
    <row r="5" customFormat="false" ht="15" hidden="false" customHeight="false" outlineLevel="0" collapsed="false">
      <c r="A5" s="23" t="n">
        <v>1</v>
      </c>
      <c r="B5" s="24" t="s">
        <v>52</v>
      </c>
      <c r="C5" s="25" t="s">
        <v>499</v>
      </c>
      <c r="D5" s="26"/>
      <c r="E5" s="26"/>
      <c r="F5" s="26"/>
      <c r="G5" s="27" t="s">
        <v>163</v>
      </c>
      <c r="H5" s="23" t="str">
        <f aca="false">IF(F7="","",IF(F7="$380","Done","Not yet"))</f>
        <v>Done</v>
      </c>
    </row>
    <row r="6" customFormat="false" ht="157.5" hidden="false" customHeight="true" outlineLevel="0" collapsed="false">
      <c r="A6" s="3"/>
      <c r="B6" s="3"/>
      <c r="C6" s="28" t="s">
        <v>500</v>
      </c>
      <c r="D6" s="28"/>
      <c r="E6" s="28"/>
      <c r="F6" s="28"/>
      <c r="G6" s="28"/>
      <c r="H6" s="28"/>
    </row>
    <row r="7" customFormat="false" ht="45.75" hidden="false" customHeight="true" outlineLevel="0" collapsed="false">
      <c r="A7" s="3"/>
      <c r="B7" s="3"/>
      <c r="C7" s="29" t="s">
        <v>501</v>
      </c>
      <c r="D7" s="30"/>
      <c r="E7" s="31" t="s">
        <v>502</v>
      </c>
      <c r="F7" s="32" t="str">
        <f aca="false">IF(useExample="Yes",E7,D7)</f>
        <v>$380</v>
      </c>
      <c r="G7" s="33" t="str">
        <f aca="false">IF(F7="","",IF(F7="$380","Right. Gross profit is price minus delivery cost: 500 minus 120. The cost of the customer is compared against it, not subtracted from it.","Not quite. Gross profit is price minus delivery cost: 500 minus 120. The cost of the customer is compared against it, not subtracted from it."))</f>
        <v>Right. Gross profit is price minus delivery cost: 500 minus 120. The cost of the customer is compared against it, not subtracted from it.</v>
      </c>
      <c r="H7" s="34"/>
    </row>
    <row r="8" customFormat="false" ht="15.75" hidden="false" customHeight="true" outlineLevel="0" collapsed="false">
      <c r="A8" s="3"/>
      <c r="B8" s="3"/>
      <c r="C8" s="35" t="s">
        <v>503</v>
      </c>
      <c r="D8" s="35"/>
      <c r="E8" s="35"/>
      <c r="F8" s="35"/>
      <c r="G8" s="35"/>
      <c r="H8" s="35"/>
    </row>
    <row r="9" customFormat="false" ht="15" hidden="false" customHeight="false" outlineLevel="0" collapsed="false">
      <c r="A9" s="3"/>
      <c r="B9" s="3"/>
      <c r="C9" s="3"/>
      <c r="D9" s="3"/>
      <c r="E9" s="3"/>
      <c r="F9" s="3"/>
      <c r="G9" s="3"/>
      <c r="H9" s="3"/>
    </row>
    <row r="10" customFormat="false" ht="15" hidden="false" customHeight="false" outlineLevel="0" collapsed="false">
      <c r="A10" s="23" t="n">
        <v>2</v>
      </c>
      <c r="B10" s="24" t="s">
        <v>52</v>
      </c>
      <c r="C10" s="25" t="s">
        <v>504</v>
      </c>
      <c r="D10" s="26"/>
      <c r="E10" s="26"/>
      <c r="F10" s="26"/>
      <c r="G10" s="27" t="s">
        <v>54</v>
      </c>
      <c r="H10" s="23" t="str">
        <f aca="false">IF(F12="","",IF(F12="Self-funding: each customer pays for the next","Done","Not yet"))</f>
        <v>Done</v>
      </c>
    </row>
    <row r="11" customFormat="false" ht="73.5" hidden="false" customHeight="true" outlineLevel="0" collapsed="false">
      <c r="A11" s="3"/>
      <c r="B11" s="3"/>
      <c r="C11" s="28" t="s">
        <v>505</v>
      </c>
      <c r="D11" s="28"/>
      <c r="E11" s="28"/>
      <c r="F11" s="28"/>
      <c r="G11" s="28"/>
      <c r="H11" s="28"/>
    </row>
    <row r="12" customFormat="false" ht="31.5" hidden="false" customHeight="true" outlineLevel="0" collapsed="false">
      <c r="A12" s="3"/>
      <c r="B12" s="3"/>
      <c r="C12" s="29" t="s">
        <v>506</v>
      </c>
      <c r="D12" s="30"/>
      <c r="E12" s="31" t="s">
        <v>507</v>
      </c>
      <c r="F12" s="32" t="str">
        <f aca="false">IF(useExample="Yes",E12,D12)</f>
        <v>Self-funding: each customer pays for the next</v>
      </c>
      <c r="G12" s="33" t="str">
        <f aca="false">IF(F12="","",IF(F12="Self-funding: each customer pays for the next","Right. Twice the cost inside 30 days is the self-funding line.","Not quite. Twice the cost inside 30 days is the self-funding line."))</f>
        <v>Right. Twice the cost inside 30 days is the self-funding line.</v>
      </c>
      <c r="H12" s="34"/>
    </row>
    <row r="13" customFormat="false" ht="15.75" hidden="false" customHeight="true" outlineLevel="0" collapsed="false">
      <c r="A13" s="3"/>
      <c r="B13" s="3"/>
      <c r="C13" s="35" t="s">
        <v>508</v>
      </c>
      <c r="D13" s="35"/>
      <c r="E13" s="35"/>
      <c r="F13" s="35"/>
      <c r="G13" s="35"/>
      <c r="H13" s="35"/>
    </row>
    <row r="14" customFormat="false" ht="15" hidden="false" customHeight="false" outlineLevel="0" collapsed="false">
      <c r="A14" s="3"/>
      <c r="B14" s="3"/>
      <c r="C14" s="3"/>
      <c r="D14" s="3"/>
      <c r="E14" s="3"/>
      <c r="F14" s="3"/>
      <c r="G14" s="3"/>
      <c r="H14" s="3"/>
    </row>
    <row r="15" customFormat="false" ht="15" hidden="false" customHeight="false" outlineLevel="0" collapsed="false">
      <c r="A15" s="23" t="n">
        <v>3</v>
      </c>
      <c r="B15" s="24" t="s">
        <v>52</v>
      </c>
      <c r="C15" s="25" t="s">
        <v>509</v>
      </c>
      <c r="D15" s="26"/>
      <c r="E15" s="26"/>
      <c r="F15" s="26"/>
      <c r="G15" s="27" t="s">
        <v>54</v>
      </c>
      <c r="H15" s="23" t="str">
        <f aca="false">IF(F17="","",IF(F17="A bigger office","Done","Not yet"))</f>
        <v>Done</v>
      </c>
    </row>
    <row r="16" customFormat="false" ht="73.5" hidden="false" customHeight="true" outlineLevel="0" collapsed="false">
      <c r="A16" s="3"/>
      <c r="B16" s="3"/>
      <c r="C16" s="28" t="s">
        <v>510</v>
      </c>
      <c r="D16" s="28"/>
      <c r="E16" s="28"/>
      <c r="F16" s="28"/>
      <c r="G16" s="28"/>
      <c r="H16" s="28"/>
    </row>
    <row r="17" customFormat="false" ht="31.5" hidden="false" customHeight="true" outlineLevel="0" collapsed="false">
      <c r="A17" s="3"/>
      <c r="B17" s="3"/>
      <c r="C17" s="29" t="s">
        <v>511</v>
      </c>
      <c r="D17" s="30"/>
      <c r="E17" s="31" t="s">
        <v>512</v>
      </c>
      <c r="F17" s="32" t="str">
        <f aca="false">IF(useExample="Yes",E17,D17)</f>
        <v>A bigger office</v>
      </c>
      <c r="G17" s="33" t="str">
        <f aca="false">IF(F17="","",IF(F17="A bigger office","Right. An office is a cost. Growth comes from customers, price, frequency and margin.","Not quite. An office is a cost. Growth comes from customers, price, frequency and margin."))</f>
        <v>Right. An office is a cost. Growth comes from customers, price, frequency and margin.</v>
      </c>
      <c r="H17" s="34"/>
    </row>
    <row r="18" customFormat="false" ht="15.75" hidden="false" customHeight="true" outlineLevel="0" collapsed="false">
      <c r="A18" s="3"/>
      <c r="B18" s="3"/>
      <c r="C18" s="35" t="s">
        <v>513</v>
      </c>
      <c r="D18" s="35"/>
      <c r="E18" s="35"/>
      <c r="F18" s="35"/>
      <c r="G18" s="35"/>
      <c r="H18" s="35"/>
    </row>
    <row r="19" customFormat="false" ht="15" hidden="false" customHeight="false" outlineLevel="0" collapsed="false">
      <c r="A19" s="3"/>
      <c r="B19" s="3"/>
      <c r="C19" s="3"/>
      <c r="D19" s="3"/>
      <c r="E19" s="3"/>
      <c r="F19" s="3"/>
      <c r="G19" s="3"/>
      <c r="H19" s="3"/>
    </row>
    <row r="20" customFormat="false" ht="15" hidden="false" customHeight="false" outlineLevel="0" collapsed="false">
      <c r="A20" s="36" t="n">
        <v>4</v>
      </c>
      <c r="B20" s="37" t="s">
        <v>69</v>
      </c>
      <c r="C20" s="38" t="s">
        <v>514</v>
      </c>
      <c r="D20" s="39"/>
      <c r="E20" s="39"/>
      <c r="F20" s="39"/>
      <c r="G20" s="40" t="s">
        <v>267</v>
      </c>
      <c r="H20" s="36" t="str">
        <f aca="false">IF(F22&lt;&gt;"","Done","")</f>
        <v>Done</v>
      </c>
    </row>
    <row r="21" customFormat="false" ht="18" hidden="false" customHeight="true" outlineLevel="0" collapsed="false">
      <c r="A21" s="3"/>
      <c r="B21" s="3"/>
      <c r="C21" s="28" t="s">
        <v>515</v>
      </c>
      <c r="D21" s="28"/>
      <c r="E21" s="28"/>
      <c r="F21" s="28"/>
      <c r="G21" s="28"/>
      <c r="H21" s="28"/>
    </row>
    <row r="22" customFormat="false" ht="15.75" hidden="false" customHeight="true" outlineLevel="0" collapsed="false">
      <c r="A22" s="3"/>
      <c r="B22" s="3"/>
      <c r="C22" s="33" t="s">
        <v>516</v>
      </c>
      <c r="D22" s="44"/>
      <c r="E22" s="45" t="n">
        <v>80</v>
      </c>
      <c r="F22" s="46" t="n">
        <f aca="false">IF(useExample="Yes",E22,IF(D22="","",D22))</f>
        <v>80</v>
      </c>
      <c r="G22" s="35" t="s">
        <v>517</v>
      </c>
      <c r="H22" s="34"/>
    </row>
    <row r="23" customFormat="false" ht="15" hidden="false" customHeight="false" outlineLevel="0" collapsed="false">
      <c r="A23" s="3"/>
      <c r="B23" s="3"/>
      <c r="C23" s="3"/>
      <c r="D23" s="3"/>
      <c r="E23" s="3"/>
      <c r="F23" s="3"/>
      <c r="G23" s="3"/>
      <c r="H23" s="3"/>
    </row>
    <row r="24" customFormat="false" ht="15" hidden="false" customHeight="false" outlineLevel="0" collapsed="false">
      <c r="A24" s="36" t="n">
        <v>5</v>
      </c>
      <c r="B24" s="37" t="s">
        <v>69</v>
      </c>
      <c r="C24" s="38" t="s">
        <v>518</v>
      </c>
      <c r="D24" s="39"/>
      <c r="E24" s="39"/>
      <c r="F24" s="39"/>
      <c r="G24" s="40" t="s">
        <v>76</v>
      </c>
      <c r="H24" s="36" t="str">
        <f aca="false">IF(F26&lt;&gt;"","Done","")</f>
        <v>Done</v>
      </c>
    </row>
    <row r="25" customFormat="false" ht="31.5" hidden="false" customHeight="true" outlineLevel="0" collapsed="false">
      <c r="A25" s="3"/>
      <c r="B25" s="3"/>
      <c r="C25" s="28" t="s">
        <v>519</v>
      </c>
      <c r="D25" s="28"/>
      <c r="E25" s="28"/>
      <c r="F25" s="28"/>
      <c r="G25" s="28"/>
      <c r="H25" s="28"/>
    </row>
    <row r="26" customFormat="false" ht="30" hidden="false" customHeight="true" outlineLevel="0" collapsed="false">
      <c r="A26" s="3"/>
      <c r="B26" s="3"/>
      <c r="C26" s="33" t="s">
        <v>520</v>
      </c>
      <c r="D26" s="41"/>
      <c r="E26" s="42" t="n">
        <v>9000</v>
      </c>
      <c r="F26" s="43" t="n">
        <f aca="false">IF(useExample="Yes",E26,IF(D26="","",D26))</f>
        <v>9000</v>
      </c>
      <c r="G26" s="35" t="s">
        <v>521</v>
      </c>
      <c r="H26" s="34"/>
    </row>
    <row r="27" customFormat="false" ht="15" hidden="false" customHeight="false" outlineLevel="0" collapsed="false">
      <c r="A27" s="3"/>
      <c r="B27" s="3"/>
      <c r="C27" s="3"/>
      <c r="D27" s="3"/>
      <c r="E27" s="3"/>
      <c r="F27" s="3"/>
      <c r="G27" s="3"/>
      <c r="H27" s="3"/>
    </row>
    <row r="28" customFormat="false" ht="15" hidden="false" customHeight="false" outlineLevel="0" collapsed="false">
      <c r="A28" s="36" t="n">
        <v>6</v>
      </c>
      <c r="B28" s="37" t="s">
        <v>69</v>
      </c>
      <c r="C28" s="38" t="s">
        <v>522</v>
      </c>
      <c r="D28" s="39"/>
      <c r="E28" s="39"/>
      <c r="F28" s="39"/>
      <c r="G28" s="40" t="s">
        <v>76</v>
      </c>
      <c r="H28" s="36" t="str">
        <f aca="false">IF(AND(F30&lt;&gt;"",F31&lt;&gt;""),"Done",IF(OR(F30&lt;&gt;"",F31&lt;&gt;""),"Part",""))</f>
        <v>Done</v>
      </c>
    </row>
    <row r="29" customFormat="false" ht="31.5" hidden="false" customHeight="true" outlineLevel="0" collapsed="false">
      <c r="A29" s="3"/>
      <c r="B29" s="3"/>
      <c r="C29" s="28" t="s">
        <v>523</v>
      </c>
      <c r="D29" s="28"/>
      <c r="E29" s="28"/>
      <c r="F29" s="28"/>
      <c r="G29" s="28"/>
      <c r="H29" s="28"/>
    </row>
    <row r="30" customFormat="false" ht="43.5" hidden="false" customHeight="true" outlineLevel="0" collapsed="false">
      <c r="A30" s="3"/>
      <c r="B30" s="3"/>
      <c r="C30" s="33" t="s">
        <v>524</v>
      </c>
      <c r="D30" s="41"/>
      <c r="E30" s="42" t="n">
        <v>8000</v>
      </c>
      <c r="F30" s="43" t="n">
        <f aca="false">IF(useExample="Yes",E30,IF(D30="","",D30))</f>
        <v>8000</v>
      </c>
      <c r="G30" s="35" t="s">
        <v>525</v>
      </c>
      <c r="H30" s="34"/>
    </row>
    <row r="31" customFormat="false" ht="30" hidden="false" customHeight="true" outlineLevel="0" collapsed="false">
      <c r="A31" s="3"/>
      <c r="B31" s="3"/>
      <c r="C31" s="33" t="s">
        <v>526</v>
      </c>
      <c r="D31" s="66"/>
      <c r="E31" s="67" t="n">
        <v>0.5</v>
      </c>
      <c r="F31" s="68" t="n">
        <f aca="false">IF(useExample="Yes",E31,IF(D31="","",D31))</f>
        <v>0.5</v>
      </c>
      <c r="G31" s="35" t="s">
        <v>527</v>
      </c>
      <c r="H31" s="34"/>
    </row>
    <row r="32" customFormat="false" ht="15" hidden="false" customHeight="false" outlineLevel="0" collapsed="false">
      <c r="A32" s="3"/>
      <c r="B32" s="3"/>
      <c r="C32" s="3"/>
      <c r="D32" s="3"/>
      <c r="E32" s="3"/>
      <c r="F32" s="3"/>
      <c r="G32" s="3"/>
      <c r="H32" s="3"/>
    </row>
    <row r="33" customFormat="false" ht="15" hidden="false" customHeight="false" outlineLevel="0" collapsed="false">
      <c r="A33" s="47" t="n">
        <v>7</v>
      </c>
      <c r="B33" s="48" t="s">
        <v>87</v>
      </c>
      <c r="C33" s="49" t="s">
        <v>528</v>
      </c>
      <c r="D33" s="50"/>
      <c r="E33" s="50"/>
      <c r="F33" s="50"/>
      <c r="G33" s="51" t="s">
        <v>529</v>
      </c>
      <c r="H33" s="47" t="str">
        <f aca="false">IF(F35&lt;&gt;"","Done","")</f>
        <v>Done</v>
      </c>
    </row>
    <row r="34" customFormat="false" ht="31.5" hidden="false" customHeight="true" outlineLevel="0" collapsed="false">
      <c r="A34" s="3"/>
      <c r="B34" s="3"/>
      <c r="C34" s="28" t="s">
        <v>530</v>
      </c>
      <c r="D34" s="28"/>
      <c r="E34" s="28"/>
      <c r="F34" s="28"/>
      <c r="G34" s="28"/>
      <c r="H34" s="28"/>
    </row>
    <row r="35" customFormat="false" ht="43.5" hidden="false" customHeight="true" outlineLevel="0" collapsed="false">
      <c r="A35" s="3"/>
      <c r="B35" s="3"/>
      <c r="C35" s="33" t="s">
        <v>531</v>
      </c>
      <c r="D35" s="30"/>
      <c r="E35" s="31" t="s">
        <v>532</v>
      </c>
      <c r="F35" s="52" t="str">
        <f aca="false">IF(useExample="Yes",E35,IF(D35="","",D35))</f>
        <v>30-day cash per customer</v>
      </c>
      <c r="G35" s="35" t="s">
        <v>533</v>
      </c>
      <c r="H35" s="34"/>
    </row>
    <row r="36" customFormat="false" ht="15" hidden="false" customHeight="false" outlineLevel="0" collapsed="false">
      <c r="A36" s="3"/>
      <c r="B36" s="3"/>
      <c r="C36" s="3"/>
      <c r="D36" s="3"/>
      <c r="E36" s="3"/>
      <c r="F36" s="3"/>
      <c r="G36" s="3"/>
      <c r="H36" s="3"/>
    </row>
    <row r="37" customFormat="false" ht="15" hidden="false" customHeight="false" outlineLevel="0" collapsed="false">
      <c r="A37" s="47" t="n">
        <v>8</v>
      </c>
      <c r="B37" s="48" t="s">
        <v>87</v>
      </c>
      <c r="C37" s="49" t="s">
        <v>534</v>
      </c>
      <c r="D37" s="50"/>
      <c r="E37" s="50"/>
      <c r="F37" s="50"/>
      <c r="G37" s="51" t="s">
        <v>535</v>
      </c>
      <c r="H37" s="47" t="str">
        <f aca="false">IF(AND(F39&lt;&gt;"",F40&lt;&gt;""),"Done",IF(OR(F39&lt;&gt;"",F40&lt;&gt;""),"Part",""))</f>
        <v>Done</v>
      </c>
    </row>
    <row r="38" customFormat="false" ht="18" hidden="false" customHeight="true" outlineLevel="0" collapsed="false">
      <c r="A38" s="3"/>
      <c r="B38" s="3"/>
      <c r="C38" s="28" t="s">
        <v>536</v>
      </c>
      <c r="D38" s="28"/>
      <c r="E38" s="28"/>
      <c r="F38" s="28"/>
      <c r="G38" s="28"/>
      <c r="H38" s="28"/>
    </row>
    <row r="39" customFormat="false" ht="30" hidden="false" customHeight="true" outlineLevel="0" collapsed="false">
      <c r="A39" s="3"/>
      <c r="B39" s="3"/>
      <c r="C39" s="33" t="s">
        <v>537</v>
      </c>
      <c r="D39" s="30"/>
      <c r="E39" s="31" t="s">
        <v>538</v>
      </c>
      <c r="F39" s="52" t="str">
        <f aca="false">IF(useExample="Yes",E39,IF(D39="","",D39))</f>
        <v>The whiteboard by the front desk</v>
      </c>
      <c r="G39" s="35" t="s">
        <v>539</v>
      </c>
      <c r="H39" s="34"/>
    </row>
    <row r="40" customFormat="false" ht="15.75" hidden="false" customHeight="true" outlineLevel="0" collapsed="false">
      <c r="A40" s="3"/>
      <c r="B40" s="3"/>
      <c r="C40" s="33" t="s">
        <v>540</v>
      </c>
      <c r="D40" s="30"/>
      <c r="E40" s="31" t="s">
        <v>541</v>
      </c>
      <c r="F40" s="52" t="str">
        <f aca="false">IF(useExample="Yes",E40,IF(D40="","",D40))</f>
        <v>Sam, every Monday</v>
      </c>
      <c r="G40" s="35" t="s">
        <v>542</v>
      </c>
      <c r="H40" s="34"/>
    </row>
    <row r="41" customFormat="false" ht="15" hidden="false" customHeight="false" outlineLevel="0" collapsed="false">
      <c r="A41" s="3"/>
      <c r="B41" s="3"/>
      <c r="C41" s="3"/>
      <c r="D41" s="3"/>
      <c r="E41" s="3"/>
      <c r="F41" s="3"/>
      <c r="G41" s="3"/>
      <c r="H41" s="3"/>
    </row>
    <row r="42" customFormat="false" ht="15" hidden="false" customHeight="false" outlineLevel="0" collapsed="false">
      <c r="A42" s="47" t="n">
        <v>9</v>
      </c>
      <c r="B42" s="48" t="s">
        <v>87</v>
      </c>
      <c r="C42" s="49" t="s">
        <v>543</v>
      </c>
      <c r="D42" s="50"/>
      <c r="E42" s="50"/>
      <c r="F42" s="50"/>
      <c r="G42" s="51" t="s">
        <v>104</v>
      </c>
      <c r="H42" s="47" t="str">
        <f aca="false">IF(COUNTIF(F44:F49,"Yes")=6,"Done",IF(COUNTIF(F44:F49,"Yes")&gt;0,"Part",""))</f>
        <v>Done</v>
      </c>
    </row>
    <row r="43" customFormat="false" ht="18" hidden="false" customHeight="true" outlineLevel="0" collapsed="false">
      <c r="A43" s="3"/>
      <c r="B43" s="3"/>
      <c r="C43" s="28" t="s">
        <v>544</v>
      </c>
      <c r="D43" s="28"/>
      <c r="E43" s="28"/>
      <c r="F43" s="28"/>
      <c r="G43" s="28"/>
      <c r="H43" s="28"/>
    </row>
    <row r="44" customFormat="false" ht="15" hidden="false" customHeight="false" outlineLevel="0" collapsed="false">
      <c r="A44" s="3"/>
      <c r="B44" s="3"/>
      <c r="C44" s="33" t="s">
        <v>545</v>
      </c>
      <c r="D44" s="58"/>
      <c r="E44" s="59" t="s">
        <v>9</v>
      </c>
      <c r="F44" s="17" t="str">
        <f aca="false">IF(useExample="Yes",E44,D44)</f>
        <v>Yes</v>
      </c>
      <c r="G44" s="60" t="s">
        <v>131</v>
      </c>
      <c r="H44" s="34"/>
    </row>
    <row r="45" customFormat="false" ht="15" hidden="false" customHeight="false" outlineLevel="0" collapsed="false">
      <c r="A45" s="3"/>
      <c r="B45" s="3"/>
      <c r="C45" s="33" t="s">
        <v>532</v>
      </c>
      <c r="D45" s="58"/>
      <c r="E45" s="59" t="s">
        <v>9</v>
      </c>
      <c r="F45" s="17" t="str">
        <f aca="false">IF(useExample="Yes",E45,D45)</f>
        <v>Yes</v>
      </c>
      <c r="G45" s="60" t="s">
        <v>131</v>
      </c>
      <c r="H45" s="34"/>
    </row>
    <row r="46" customFormat="false" ht="15" hidden="false" customHeight="false" outlineLevel="0" collapsed="false">
      <c r="A46" s="3"/>
      <c r="B46" s="3"/>
      <c r="C46" s="33" t="s">
        <v>546</v>
      </c>
      <c r="D46" s="58"/>
      <c r="E46" s="59" t="s">
        <v>9</v>
      </c>
      <c r="F46" s="17" t="str">
        <f aca="false">IF(useExample="Yes",E46,D46)</f>
        <v>Yes</v>
      </c>
      <c r="G46" s="60" t="s">
        <v>131</v>
      </c>
      <c r="H46" s="34"/>
    </row>
    <row r="47" customFormat="false" ht="15" hidden="false" customHeight="false" outlineLevel="0" collapsed="false">
      <c r="A47" s="3"/>
      <c r="B47" s="3"/>
      <c r="C47" s="33" t="s">
        <v>547</v>
      </c>
      <c r="D47" s="58"/>
      <c r="E47" s="59" t="s">
        <v>9</v>
      </c>
      <c r="F47" s="17" t="str">
        <f aca="false">IF(useExample="Yes",E47,D47)</f>
        <v>Yes</v>
      </c>
      <c r="G47" s="60" t="s">
        <v>131</v>
      </c>
      <c r="H47" s="34"/>
    </row>
    <row r="48" customFormat="false" ht="15" hidden="false" customHeight="false" outlineLevel="0" collapsed="false">
      <c r="A48" s="3"/>
      <c r="B48" s="3"/>
      <c r="C48" s="33" t="s">
        <v>548</v>
      </c>
      <c r="D48" s="58"/>
      <c r="E48" s="59" t="s">
        <v>9</v>
      </c>
      <c r="F48" s="17" t="str">
        <f aca="false">IF(useExample="Yes",E48,D48)</f>
        <v>Yes</v>
      </c>
      <c r="G48" s="60" t="s">
        <v>131</v>
      </c>
      <c r="H48" s="34"/>
    </row>
    <row r="49" customFormat="false" ht="15" hidden="false" customHeight="false" outlineLevel="0" collapsed="false">
      <c r="A49" s="3"/>
      <c r="B49" s="3"/>
      <c r="C49" s="33" t="s">
        <v>36</v>
      </c>
      <c r="D49" s="58"/>
      <c r="E49" s="59" t="s">
        <v>9</v>
      </c>
      <c r="F49" s="17" t="str">
        <f aca="false">IF(useExample="Yes",E49,D49)</f>
        <v>Yes</v>
      </c>
      <c r="G49" s="60" t="s">
        <v>131</v>
      </c>
      <c r="H49" s="34"/>
    </row>
    <row r="50" customFormat="false" ht="15" hidden="false" customHeight="false" outlineLevel="0" collapsed="false">
      <c r="A50" s="3"/>
      <c r="B50" s="3"/>
      <c r="C50" s="3"/>
      <c r="D50" s="3"/>
      <c r="E50" s="3"/>
      <c r="F50" s="3"/>
      <c r="G50" s="3"/>
      <c r="H50" s="3"/>
    </row>
    <row r="51" customFormat="false" ht="15" hidden="false" customHeight="false" outlineLevel="0" collapsed="false">
      <c r="A51" s="53" t="n">
        <v>10</v>
      </c>
      <c r="B51" s="54" t="s">
        <v>116</v>
      </c>
      <c r="C51" s="55" t="s">
        <v>549</v>
      </c>
      <c r="D51" s="56"/>
      <c r="E51" s="56"/>
      <c r="F51" s="56"/>
      <c r="G51" s="57" t="s">
        <v>123</v>
      </c>
      <c r="H51" s="53" t="str">
        <f aca="false">IF(F53&lt;&gt;"","Done","")</f>
        <v>Done</v>
      </c>
    </row>
    <row r="52" customFormat="false" ht="31.5" hidden="false" customHeight="true" outlineLevel="0" collapsed="false">
      <c r="A52" s="3"/>
      <c r="B52" s="3"/>
      <c r="C52" s="28" t="s">
        <v>550</v>
      </c>
      <c r="D52" s="28"/>
      <c r="E52" s="28"/>
      <c r="F52" s="28"/>
      <c r="G52" s="28"/>
      <c r="H52" s="28"/>
    </row>
    <row r="53" customFormat="false" ht="30" hidden="false" customHeight="true" outlineLevel="0" collapsed="false">
      <c r="A53" s="3"/>
      <c r="B53" s="3"/>
      <c r="C53" s="33" t="s">
        <v>551</v>
      </c>
      <c r="D53" s="41"/>
      <c r="E53" s="42" t="n">
        <v>760</v>
      </c>
      <c r="F53" s="43" t="n">
        <f aca="false">IF(useExample="Yes",E53,IF(D53="","",D53))</f>
        <v>760</v>
      </c>
      <c r="G53" s="35" t="s">
        <v>552</v>
      </c>
      <c r="H53" s="34"/>
    </row>
    <row r="54" customFormat="false" ht="15" hidden="false" customHeight="false" outlineLevel="0" collapsed="false">
      <c r="A54" s="3"/>
      <c r="B54" s="3"/>
      <c r="C54" s="3"/>
      <c r="D54" s="3"/>
      <c r="E54" s="3"/>
      <c r="F54" s="3"/>
      <c r="G54" s="3"/>
      <c r="H54" s="3"/>
    </row>
    <row r="55" customFormat="false" ht="15" hidden="false" customHeight="false" outlineLevel="0" collapsed="false">
      <c r="A55" s="53" t="n">
        <v>11</v>
      </c>
      <c r="B55" s="54" t="s">
        <v>116</v>
      </c>
      <c r="C55" s="55" t="s">
        <v>553</v>
      </c>
      <c r="D55" s="56"/>
      <c r="E55" s="56"/>
      <c r="F55" s="56"/>
      <c r="G55" s="57" t="s">
        <v>211</v>
      </c>
      <c r="H55" s="53" t="str">
        <f aca="false">IF(F57&lt;&gt;"","Done","")</f>
        <v>Done</v>
      </c>
    </row>
    <row r="56" customFormat="false" ht="18" hidden="false" customHeight="true" outlineLevel="0" collapsed="false">
      <c r="A56" s="3"/>
      <c r="B56" s="3"/>
      <c r="C56" s="28" t="s">
        <v>554</v>
      </c>
      <c r="D56" s="28"/>
      <c r="E56" s="28"/>
      <c r="F56" s="28"/>
      <c r="G56" s="28"/>
      <c r="H56" s="28"/>
    </row>
    <row r="57" customFormat="false" ht="15.75" hidden="false" customHeight="true" outlineLevel="0" collapsed="false">
      <c r="A57" s="3"/>
      <c r="B57" s="3"/>
      <c r="C57" s="33" t="s">
        <v>555</v>
      </c>
      <c r="D57" s="44"/>
      <c r="E57" s="45" t="n">
        <v>55</v>
      </c>
      <c r="F57" s="46" t="n">
        <f aca="false">IF(useExample="Yes",E57,IF(D57="","",D57))</f>
        <v>55</v>
      </c>
      <c r="G57" s="35" t="s">
        <v>556</v>
      </c>
      <c r="H57" s="34"/>
    </row>
    <row r="58" customFormat="false" ht="15" hidden="false" customHeight="false" outlineLevel="0" collapsed="false">
      <c r="A58" s="3"/>
      <c r="B58" s="3"/>
      <c r="C58" s="3"/>
      <c r="D58" s="3"/>
      <c r="E58" s="3"/>
      <c r="F58" s="3"/>
      <c r="G58" s="3"/>
      <c r="H58" s="3"/>
    </row>
    <row r="59" customFormat="false" ht="15" hidden="false" customHeight="false" outlineLevel="0" collapsed="false">
      <c r="A59" s="53" t="n">
        <v>12</v>
      </c>
      <c r="B59" s="54" t="s">
        <v>116</v>
      </c>
      <c r="C59" s="55" t="s">
        <v>557</v>
      </c>
      <c r="D59" s="56"/>
      <c r="E59" s="56"/>
      <c r="F59" s="56"/>
      <c r="G59" s="57" t="s">
        <v>123</v>
      </c>
      <c r="H59" s="53" t="str">
        <f aca="false">IF(COUNTIF(F61:F66,"Yes")=6,"Done",IF(COUNTIF(F61:F66,"Yes")&gt;0,"Part",""))</f>
        <v>Done</v>
      </c>
    </row>
    <row r="60" customFormat="false" ht="18" hidden="false" customHeight="true" outlineLevel="0" collapsed="false">
      <c r="A60" s="3"/>
      <c r="B60" s="3"/>
      <c r="C60" s="28" t="s">
        <v>558</v>
      </c>
      <c r="D60" s="28"/>
      <c r="E60" s="28"/>
      <c r="F60" s="28"/>
      <c r="G60" s="28"/>
      <c r="H60" s="28"/>
    </row>
    <row r="61" customFormat="false" ht="15" hidden="false" customHeight="false" outlineLevel="0" collapsed="false">
      <c r="A61" s="3"/>
      <c r="B61" s="3"/>
      <c r="C61" s="33" t="s">
        <v>559</v>
      </c>
      <c r="D61" s="58"/>
      <c r="E61" s="59" t="s">
        <v>9</v>
      </c>
      <c r="F61" s="17" t="str">
        <f aca="false">IF(useExample="Yes",E61,D61)</f>
        <v>Yes</v>
      </c>
      <c r="G61" s="60" t="s">
        <v>131</v>
      </c>
      <c r="H61" s="34"/>
    </row>
    <row r="62" customFormat="false" ht="15" hidden="false" customHeight="false" outlineLevel="0" collapsed="false">
      <c r="A62" s="3"/>
      <c r="B62" s="3"/>
      <c r="C62" s="33" t="s">
        <v>560</v>
      </c>
      <c r="D62" s="58"/>
      <c r="E62" s="59" t="s">
        <v>9</v>
      </c>
      <c r="F62" s="17" t="str">
        <f aca="false">IF(useExample="Yes",E62,D62)</f>
        <v>Yes</v>
      </c>
      <c r="G62" s="60" t="s">
        <v>131</v>
      </c>
      <c r="H62" s="34"/>
    </row>
    <row r="63" customFormat="false" ht="15" hidden="false" customHeight="false" outlineLevel="0" collapsed="false">
      <c r="A63" s="3"/>
      <c r="B63" s="3"/>
      <c r="C63" s="33" t="s">
        <v>561</v>
      </c>
      <c r="D63" s="58"/>
      <c r="E63" s="59" t="s">
        <v>9</v>
      </c>
      <c r="F63" s="17" t="str">
        <f aca="false">IF(useExample="Yes",E63,D63)</f>
        <v>Yes</v>
      </c>
      <c r="G63" s="60" t="s">
        <v>131</v>
      </c>
      <c r="H63" s="34"/>
    </row>
    <row r="64" customFormat="false" ht="15" hidden="false" customHeight="false" outlineLevel="0" collapsed="false">
      <c r="A64" s="3"/>
      <c r="B64" s="3"/>
      <c r="C64" s="33" t="s">
        <v>562</v>
      </c>
      <c r="D64" s="58"/>
      <c r="E64" s="59" t="s">
        <v>9</v>
      </c>
      <c r="F64" s="17" t="str">
        <f aca="false">IF(useExample="Yes",E64,D64)</f>
        <v>Yes</v>
      </c>
      <c r="G64" s="60" t="s">
        <v>131</v>
      </c>
      <c r="H64" s="34"/>
    </row>
    <row r="65" customFormat="false" ht="15" hidden="false" customHeight="false" outlineLevel="0" collapsed="false">
      <c r="A65" s="3"/>
      <c r="B65" s="3"/>
      <c r="C65" s="33" t="s">
        <v>563</v>
      </c>
      <c r="D65" s="58"/>
      <c r="E65" s="59" t="s">
        <v>9</v>
      </c>
      <c r="F65" s="17" t="str">
        <f aca="false">IF(useExample="Yes",E65,D65)</f>
        <v>Yes</v>
      </c>
      <c r="G65" s="60" t="s">
        <v>131</v>
      </c>
      <c r="H65" s="34"/>
    </row>
    <row r="66" customFormat="false" ht="15" hidden="false" customHeight="false" outlineLevel="0" collapsed="false">
      <c r="A66" s="3"/>
      <c r="B66" s="3"/>
      <c r="C66" s="33" t="s">
        <v>564</v>
      </c>
      <c r="D66" s="58"/>
      <c r="E66" s="59" t="s">
        <v>9</v>
      </c>
      <c r="F66" s="17" t="str">
        <f aca="false">IF(useExample="Yes",E66,D66)</f>
        <v>Yes</v>
      </c>
      <c r="G66" s="60" t="s">
        <v>131</v>
      </c>
      <c r="H66" s="34"/>
    </row>
    <row r="67" customFormat="false" ht="15" hidden="false" customHeight="false" outlineLevel="0" collapsed="false">
      <c r="A67" s="3"/>
      <c r="B67" s="3"/>
      <c r="C67" s="3"/>
      <c r="D67" s="3"/>
      <c r="E67" s="3"/>
      <c r="F67" s="3"/>
      <c r="G67" s="3"/>
      <c r="H67" s="3"/>
    </row>
    <row r="68" customFormat="false" ht="15" hidden="false" customHeight="false" outlineLevel="0" collapsed="false">
      <c r="A68" s="61" t="n">
        <v>13</v>
      </c>
      <c r="B68" s="62" t="s">
        <v>136</v>
      </c>
      <c r="C68" s="63" t="s">
        <v>565</v>
      </c>
      <c r="D68" s="64"/>
      <c r="E68" s="64"/>
      <c r="F68" s="64"/>
      <c r="G68" s="65" t="s">
        <v>143</v>
      </c>
      <c r="H68" s="61" t="str">
        <f aca="false">IF(F70&lt;&gt;"","Done","")</f>
        <v>Done</v>
      </c>
    </row>
    <row r="69" customFormat="false" ht="31.5" hidden="false" customHeight="true" outlineLevel="0" collapsed="false">
      <c r="A69" s="3"/>
      <c r="B69" s="3"/>
      <c r="C69" s="28" t="s">
        <v>566</v>
      </c>
      <c r="D69" s="28"/>
      <c r="E69" s="28"/>
      <c r="F69" s="28"/>
      <c r="G69" s="28"/>
      <c r="H69" s="28"/>
    </row>
    <row r="70" customFormat="false" ht="30" hidden="false" customHeight="true" outlineLevel="0" collapsed="false">
      <c r="A70" s="3"/>
      <c r="B70" s="3"/>
      <c r="C70" s="33" t="s">
        <v>567</v>
      </c>
      <c r="D70" s="66"/>
      <c r="E70" s="67" t="n">
        <v>0.1</v>
      </c>
      <c r="F70" s="68" t="n">
        <f aca="false">IF(useExample="Yes",E70,IF(D70="","",D70))</f>
        <v>0.1</v>
      </c>
      <c r="G70" s="35" t="s">
        <v>568</v>
      </c>
      <c r="H70" s="34"/>
    </row>
    <row r="71" customFormat="false" ht="15" hidden="false" customHeight="false" outlineLevel="0" collapsed="false">
      <c r="A71" s="3"/>
      <c r="B71" s="3"/>
      <c r="C71" s="3"/>
      <c r="D71" s="3"/>
      <c r="E71" s="3"/>
      <c r="F71" s="3"/>
      <c r="G71" s="3"/>
      <c r="H71" s="3"/>
    </row>
    <row r="72" customFormat="false" ht="15" hidden="false" customHeight="false" outlineLevel="0" collapsed="false">
      <c r="A72" s="61" t="n">
        <v>14</v>
      </c>
      <c r="B72" s="62" t="s">
        <v>136</v>
      </c>
      <c r="C72" s="63" t="s">
        <v>569</v>
      </c>
      <c r="D72" s="64"/>
      <c r="E72" s="64"/>
      <c r="F72" s="64"/>
      <c r="G72" s="65" t="s">
        <v>229</v>
      </c>
      <c r="H72" s="61" t="str">
        <f aca="false">IF(F74&lt;&gt;"","Done","")</f>
        <v>Done</v>
      </c>
    </row>
    <row r="73" customFormat="false" ht="18" hidden="false" customHeight="true" outlineLevel="0" collapsed="false">
      <c r="A73" s="3"/>
      <c r="B73" s="3"/>
      <c r="C73" s="28" t="s">
        <v>570</v>
      </c>
      <c r="D73" s="28"/>
      <c r="E73" s="28"/>
      <c r="F73" s="28"/>
      <c r="G73" s="28"/>
      <c r="H73" s="28"/>
    </row>
    <row r="74" customFormat="false" ht="43.5" hidden="false" customHeight="true" outlineLevel="0" collapsed="false">
      <c r="A74" s="3"/>
      <c r="B74" s="3"/>
      <c r="C74" s="33" t="s">
        <v>571</v>
      </c>
      <c r="D74" s="30"/>
      <c r="E74" s="31" t="s">
        <v>572</v>
      </c>
      <c r="F74" s="52" t="str">
        <f aca="false">IF(useExample="Yes",E74,IF(D74="","",D74))</f>
        <v>Capacity to serve them</v>
      </c>
      <c r="G74" s="35" t="s">
        <v>573</v>
      </c>
      <c r="H74" s="34"/>
    </row>
    <row r="75" customFormat="false" ht="15" hidden="false" customHeight="false" outlineLevel="0" collapsed="false">
      <c r="A75" s="3"/>
      <c r="B75" s="3"/>
      <c r="C75" s="3"/>
      <c r="D75" s="3"/>
      <c r="E75" s="3"/>
      <c r="F75" s="3"/>
      <c r="G75" s="3"/>
      <c r="H75" s="3"/>
    </row>
    <row r="76" customFormat="false" ht="15" hidden="false" customHeight="false" outlineLevel="0" collapsed="false">
      <c r="A76" s="61" t="n">
        <v>15</v>
      </c>
      <c r="B76" s="62" t="s">
        <v>136</v>
      </c>
      <c r="C76" s="63" t="s">
        <v>574</v>
      </c>
      <c r="D76" s="64"/>
      <c r="E76" s="64"/>
      <c r="F76" s="64"/>
      <c r="G76" s="65" t="s">
        <v>575</v>
      </c>
      <c r="H76" s="61" t="str">
        <f aca="false">IF(COUNTIF(F78:F82,"Yes")=5,"Done",IF(COUNTIF(F78:F82,"Yes")&gt;0,"Part",""))</f>
        <v>Done</v>
      </c>
    </row>
    <row r="77" customFormat="false" ht="18" hidden="false" customHeight="true" outlineLevel="0" collapsed="false">
      <c r="A77" s="3"/>
      <c r="B77" s="3"/>
      <c r="C77" s="28" t="s">
        <v>576</v>
      </c>
      <c r="D77" s="28"/>
      <c r="E77" s="28"/>
      <c r="F77" s="28"/>
      <c r="G77" s="28"/>
      <c r="H77" s="28"/>
    </row>
    <row r="78" customFormat="false" ht="15" hidden="false" customHeight="false" outlineLevel="0" collapsed="false">
      <c r="A78" s="3"/>
      <c r="B78" s="3"/>
      <c r="C78" s="33" t="s">
        <v>577</v>
      </c>
      <c r="D78" s="58"/>
      <c r="E78" s="59" t="s">
        <v>9</v>
      </c>
      <c r="F78" s="17" t="str">
        <f aca="false">IF(useExample="Yes",E78,D78)</f>
        <v>Yes</v>
      </c>
      <c r="G78" s="60" t="s">
        <v>131</v>
      </c>
      <c r="H78" s="34"/>
    </row>
    <row r="79" customFormat="false" ht="15" hidden="false" customHeight="false" outlineLevel="0" collapsed="false">
      <c r="A79" s="3"/>
      <c r="B79" s="3"/>
      <c r="C79" s="33" t="s">
        <v>578</v>
      </c>
      <c r="D79" s="58"/>
      <c r="E79" s="59" t="s">
        <v>9</v>
      </c>
      <c r="F79" s="17" t="str">
        <f aca="false">IF(useExample="Yes",E79,D79)</f>
        <v>Yes</v>
      </c>
      <c r="G79" s="60" t="s">
        <v>131</v>
      </c>
      <c r="H79" s="34"/>
    </row>
    <row r="80" customFormat="false" ht="15" hidden="false" customHeight="false" outlineLevel="0" collapsed="false">
      <c r="A80" s="3"/>
      <c r="B80" s="3"/>
      <c r="C80" s="33" t="s">
        <v>579</v>
      </c>
      <c r="D80" s="58"/>
      <c r="E80" s="59" t="s">
        <v>9</v>
      </c>
      <c r="F80" s="17" t="str">
        <f aca="false">IF(useExample="Yes",E80,D80)</f>
        <v>Yes</v>
      </c>
      <c r="G80" s="60" t="s">
        <v>131</v>
      </c>
      <c r="H80" s="34"/>
    </row>
    <row r="81" customFormat="false" ht="15" hidden="false" customHeight="false" outlineLevel="0" collapsed="false">
      <c r="A81" s="3"/>
      <c r="B81" s="3"/>
      <c r="C81" s="33" t="s">
        <v>580</v>
      </c>
      <c r="D81" s="58"/>
      <c r="E81" s="59" t="s">
        <v>9</v>
      </c>
      <c r="F81" s="17" t="str">
        <f aca="false">IF(useExample="Yes",E81,D81)</f>
        <v>Yes</v>
      </c>
      <c r="G81" s="60" t="s">
        <v>131</v>
      </c>
      <c r="H81" s="34"/>
    </row>
    <row r="82" customFormat="false" ht="15" hidden="false" customHeight="false" outlineLevel="0" collapsed="false">
      <c r="A82" s="3"/>
      <c r="B82" s="3"/>
      <c r="C82" s="33" t="s">
        <v>581</v>
      </c>
      <c r="D82" s="58"/>
      <c r="E82" s="59" t="s">
        <v>9</v>
      </c>
      <c r="F82" s="17" t="str">
        <f aca="false">IF(useExample="Yes",E82,D82)</f>
        <v>Yes</v>
      </c>
      <c r="G82" s="60" t="s">
        <v>131</v>
      </c>
      <c r="H82" s="34"/>
    </row>
  </sheetData>
  <mergeCells count="20">
    <mergeCell ref="A1:H1"/>
    <mergeCell ref="A2:H2"/>
    <mergeCell ref="C6:H6"/>
    <mergeCell ref="C8:H8"/>
    <mergeCell ref="C11:H11"/>
    <mergeCell ref="C13:H13"/>
    <mergeCell ref="C16:H16"/>
    <mergeCell ref="C18:H18"/>
    <mergeCell ref="C21:H21"/>
    <mergeCell ref="C25:H25"/>
    <mergeCell ref="C29:H29"/>
    <mergeCell ref="C34:H34"/>
    <mergeCell ref="C38:H38"/>
    <mergeCell ref="C43:H43"/>
    <mergeCell ref="C52:H52"/>
    <mergeCell ref="C56:H56"/>
    <mergeCell ref="C60:H60"/>
    <mergeCell ref="C69:H69"/>
    <mergeCell ref="C73:H73"/>
    <mergeCell ref="C77:H77"/>
  </mergeCells>
  <conditionalFormatting sqref="H5:H84">
    <cfRule type="cellIs" priority="2" operator="equal" aboveAverage="0" equalAverage="0" bottom="0" percent="0" rank="0" text="" dxfId="0">
      <formula>"Done"</formula>
    </cfRule>
    <cfRule type="cellIs" priority="3" operator="equal" aboveAverage="0" equalAverage="0" bottom="0" percent="0" rank="0" text="" dxfId="1">
      <formula>"Part"</formula>
    </cfRule>
    <cfRule type="cellIs" priority="4" operator="equal" aboveAverage="0" equalAverage="0" bottom="0" percent="0" rank="0" text="" dxfId="2">
      <formula>"Not yet"</formula>
    </cfRule>
  </conditionalFormatting>
  <dataValidations count="13">
    <dataValidation allowBlank="true" errorStyle="stop" operator="between" showDropDown="false" showErrorMessage="false" showInputMessage="false" sqref="D44:D49 D61:D66 D78:D82" type="list">
      <formula1>"Yes,No"</formula1>
      <formula2>0</formula2>
    </dataValidation>
    <dataValidation allowBlank="true" errorStyle="stop" operator="between" showDropDown="false" showErrorMessage="false" showInputMessage="false" sqref="D7" type="list">
      <formula1>"$380,$230,$350"</formula1>
      <formula2>0</formula2>
    </dataValidation>
    <dataValidation allowBlank="true" errorStyle="stop" operator="between" showDropDown="false" showErrorMessage="false" showInputMessage="false" sqref="D12" type="list">
      <formula1>"Break even only,Self-funding: each customer pays for the next,Losing money"</formula1>
      <formula2>0</formula2>
    </dataValidation>
    <dataValidation allowBlank="true" errorStyle="stop" operator="between" showDropDown="false" showErrorMessage="false" showInputMessage="false" sqref="D17" type="list">
      <formula1>"Customers buy more often,A bigger office,Each sale costs less to deliver"</formula1>
      <formula2>0</formula2>
    </dataValidation>
    <dataValidation allowBlank="true" error="Type a number, or leave it blank if you do not know yet." errorStyle="stop" operator="greaterThanOrEqual" showDropDown="false" showErrorMessage="false" showInputMessage="false" sqref="D22" type="decimal">
      <formula1>-1000000000</formula1>
      <formula2>0</formula2>
    </dataValidation>
    <dataValidation allowBlank="true" error="Type a number, or leave it blank if you do not know yet." errorStyle="stop" operator="greaterThanOrEqual" showDropDown="false" showErrorMessage="false" showInputMessage="false" sqref="D26" type="decimal">
      <formula1>-1000000000</formula1>
      <formula2>0</formula2>
    </dataValidation>
    <dataValidation allowBlank="true" error="Type a number, or leave it blank if you do not know yet." errorStyle="stop" operator="greaterThanOrEqual" showDropDown="false" showErrorMessage="false" showInputMessage="false" sqref="D30" type="decimal">
      <formula1>-1000000000</formula1>
      <formula2>0</formula2>
    </dataValidation>
    <dataValidation allowBlank="true" error="Type a number, or leave it blank if you do not know yet." errorStyle="stop" operator="greaterThanOrEqual" showDropDown="false" showErrorMessage="false" showInputMessage="false" sqref="D31" type="decimal">
      <formula1>-1000000000</formula1>
      <formula2>0</formula2>
    </dataValidation>
    <dataValidation allowBlank="true" errorStyle="stop" operator="between" showDropDown="false" showErrorMessage="false" showInputMessage="false" sqref="D35" type="list">
      <formula1>"Cost of a customer,30-day cash per customer,30-day ratio,Monthly churn,LTGP to CAC,Leads per week"</formula1>
      <formula2>0</formula2>
    </dataValidation>
    <dataValidation allowBlank="true" error="Type a number, or leave it blank if you do not know yet." errorStyle="stop" operator="greaterThanOrEqual" showDropDown="false" showErrorMessage="false" showInputMessage="false" sqref="D53" type="decimal">
      <formula1>-1000000000</formula1>
      <formula2>0</formula2>
    </dataValidation>
    <dataValidation allowBlank="true" error="Type a number, or leave it blank if you do not know yet." errorStyle="stop" operator="greaterThanOrEqual" showDropDown="false" showErrorMessage="false" showInputMessage="false" sqref="D57" type="decimal">
      <formula1>-1000000000</formula1>
      <formula2>0</formula2>
    </dataValidation>
    <dataValidation allowBlank="true" error="Type a number, or leave it blank if you do not know yet." errorStyle="stop" operator="greaterThanOrEqual" showDropDown="false" showErrorMessage="false" showInputMessage="false" sqref="D70" type="decimal">
      <formula1>-1000000000</formula1>
      <formula2>0</formula2>
    </dataValidation>
    <dataValidation allowBlank="true" errorStyle="stop" operator="between" showDropDown="false" showErrorMessage="false" showInputMessage="false" sqref="D74" type="list">
      <formula1>"Cash to buy customers,Capacity to serve them,Leads,Conversion of leads,Cost or quality of delivery"</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6" min="2" style="0" width="16"/>
    <col collapsed="false" customWidth="true" hidden="false" outlineLevel="0" max="7" min="7" style="0" width="48"/>
  </cols>
  <sheetData>
    <row r="1" customFormat="false" ht="19.7" hidden="false" customHeight="false" outlineLevel="0" collapsed="false">
      <c r="A1" s="21" t="s">
        <v>582</v>
      </c>
      <c r="B1" s="21"/>
      <c r="C1" s="21"/>
      <c r="D1" s="21"/>
      <c r="E1" s="21"/>
      <c r="F1" s="21"/>
      <c r="G1" s="21"/>
    </row>
    <row r="2" customFormat="false" ht="15" hidden="false" customHeight="false" outlineLevel="0" collapsed="false">
      <c r="A2" s="2" t="s">
        <v>583</v>
      </c>
      <c r="B2" s="2"/>
      <c r="C2" s="2"/>
      <c r="D2" s="2"/>
      <c r="E2" s="2"/>
      <c r="F2" s="2"/>
      <c r="G2" s="2"/>
    </row>
    <row r="3" customFormat="false" ht="15" hidden="false" customHeight="false" outlineLevel="0" collapsed="false">
      <c r="A3" s="3"/>
      <c r="B3" s="3"/>
      <c r="C3" s="3"/>
      <c r="D3" s="3"/>
      <c r="E3" s="3"/>
      <c r="F3" s="3"/>
      <c r="G3" s="3"/>
    </row>
    <row r="4" customFormat="false" ht="15" hidden="false" customHeight="false" outlineLevel="0" collapsed="false">
      <c r="A4" s="69" t="s">
        <v>584</v>
      </c>
      <c r="B4" s="70"/>
      <c r="C4" s="70"/>
      <c r="D4" s="70"/>
      <c r="E4" s="70"/>
      <c r="F4" s="70"/>
      <c r="G4" s="70"/>
    </row>
    <row r="5" customFormat="false" ht="27.75" hidden="false" customHeight="true" outlineLevel="0" collapsed="false">
      <c r="A5" s="33" t="s">
        <v>585</v>
      </c>
      <c r="B5" s="71" t="n">
        <f aca="false">IF(AND(price&lt;&gt;"",deliveryCost&lt;&gt;""),price-deliveryCost,"not yet")</f>
        <v>139</v>
      </c>
      <c r="C5" s="34"/>
      <c r="D5" s="34"/>
      <c r="E5" s="34"/>
      <c r="F5" s="34"/>
      <c r="G5" s="35" t="s">
        <v>586</v>
      </c>
    </row>
    <row r="6" customFormat="false" ht="40.5" hidden="false" customHeight="true" outlineLevel="0" collapsed="false">
      <c r="A6" s="33" t="s">
        <v>587</v>
      </c>
      <c r="B6" s="72" t="n">
        <f aca="false">IF(AND(price&lt;&gt;"",deliveryCost&lt;&gt;""),IF(price=0,"no margin",(price-deliveryCost)/price),"not yet")</f>
        <v>0.698492462311558</v>
      </c>
      <c r="C6" s="32" t="str">
        <f aca="false">IF(ISNUMBER(B6),IF(B6&gt;=0.5,"good",IF(B6&gt;=0.3,"watch","low")),"")</f>
        <v>good</v>
      </c>
      <c r="D6" s="34"/>
      <c r="E6" s="34"/>
      <c r="F6" s="34"/>
      <c r="G6" s="35" t="s">
        <v>588</v>
      </c>
    </row>
    <row r="7" customFormat="false" ht="27.75" hidden="false" customHeight="true" outlineLevel="0" collapsed="false">
      <c r="A7" s="33" t="s">
        <v>589</v>
      </c>
      <c r="B7" s="71" t="n">
        <f aca="false">IF(AND(adSpend&lt;&gt;"",newCustomers&lt;&gt;""),IF(newCustomers=0,"no customers",adSpend/newCustomers),"not yet")</f>
        <v>150</v>
      </c>
      <c r="C7" s="34"/>
      <c r="D7" s="34"/>
      <c r="E7" s="34"/>
      <c r="F7" s="34"/>
      <c r="G7" s="35" t="s">
        <v>590</v>
      </c>
    </row>
    <row r="8" customFormat="false" ht="54" hidden="false" customHeight="true" outlineLevel="0" collapsed="false">
      <c r="A8" s="33" t="s">
        <v>591</v>
      </c>
      <c r="B8" s="71" t="n">
        <f aca="false">IF(AND(ISNUMBER(gpPerSale),ISNUMBER(cac)),gpPerSale-cac,"not yet")</f>
        <v>-11</v>
      </c>
      <c r="C8" s="32" t="str">
        <f aca="false">IF(ISNUMBER(B8),IF(B8&gt;=0,"pays for itself","the rest of the model covers this"),"")</f>
        <v>the rest of the model covers this</v>
      </c>
      <c r="D8" s="34"/>
      <c r="E8" s="34"/>
      <c r="F8" s="34"/>
      <c r="G8" s="35" t="s">
        <v>592</v>
      </c>
    </row>
    <row r="9" customFormat="false" ht="15" hidden="false" customHeight="true" outlineLevel="0" collapsed="false">
      <c r="A9" s="33" t="s">
        <v>593</v>
      </c>
      <c r="B9" s="71" t="n">
        <f aca="false">IF(AND(adSpend&lt;&gt;"",leads&lt;&gt;""),IF(leads=0,"no leads",adSpend/leads),"not yet")</f>
        <v>15</v>
      </c>
      <c r="C9" s="34"/>
      <c r="D9" s="34"/>
      <c r="E9" s="34"/>
      <c r="F9" s="34"/>
      <c r="G9" s="35" t="s">
        <v>594</v>
      </c>
    </row>
    <row r="10" customFormat="false" ht="27.75" hidden="false" customHeight="true" outlineLevel="0" collapsed="false">
      <c r="A10" s="33" t="s">
        <v>595</v>
      </c>
      <c r="B10" s="73" t="n">
        <f aca="false">IF(AND(leads&lt;&gt;"",attrConversion&lt;&gt;""),ROUND(leads*attrConversion,0),"not yet")</f>
        <v>40</v>
      </c>
      <c r="C10" s="34"/>
      <c r="D10" s="34"/>
      <c r="E10" s="34"/>
      <c r="F10" s="34"/>
      <c r="G10" s="35" t="s">
        <v>596</v>
      </c>
    </row>
    <row r="11" customFormat="false" ht="15" hidden="false" customHeight="true" outlineLevel="0" collapsed="false">
      <c r="A11" s="33" t="s">
        <v>597</v>
      </c>
      <c r="B11" s="74" t="n">
        <f aca="false">IF(AND(cash30Today&lt;&gt;"",ISNUMBER(cac)),IF(cac=0,"free customers",cash30Today/cac),"not yet")</f>
        <v>1.32666666666667</v>
      </c>
      <c r="C11" s="32" t="str">
        <f aca="false">IF(ISNUMBER(B11),IF(B11&gt;=2,"self-funding",IF(B11&gt;=1,"break even","losing")),"")</f>
        <v>break even</v>
      </c>
      <c r="D11" s="34"/>
      <c r="E11" s="34"/>
      <c r="F11" s="34"/>
      <c r="G11" s="35" t="s">
        <v>598</v>
      </c>
    </row>
    <row r="12" customFormat="false" ht="27.75" hidden="false" customHeight="true" outlineLevel="0" collapsed="false">
      <c r="A12" s="33" t="s">
        <v>599</v>
      </c>
      <c r="B12" s="73" t="n">
        <f aca="false">IF(daysToCash&lt;&gt;"",daysToCash,"not yet")</f>
        <v>21</v>
      </c>
      <c r="C12" s="34"/>
      <c r="D12" s="34"/>
      <c r="E12" s="34"/>
      <c r="F12" s="34"/>
      <c r="G12" s="35" t="s">
        <v>600</v>
      </c>
    </row>
    <row r="13" customFormat="false" ht="15" hidden="false" customHeight="false" outlineLevel="0" collapsed="false">
      <c r="A13" s="3"/>
      <c r="B13" s="3"/>
      <c r="C13" s="3"/>
      <c r="D13" s="3"/>
      <c r="E13" s="3"/>
      <c r="F13" s="3"/>
      <c r="G13" s="3"/>
    </row>
    <row r="14" customFormat="false" ht="15" hidden="false" customHeight="false" outlineLevel="0" collapsed="false">
      <c r="A14" s="69" t="s">
        <v>601</v>
      </c>
      <c r="B14" s="70"/>
      <c r="C14" s="70"/>
      <c r="D14" s="70"/>
      <c r="E14" s="70"/>
      <c r="F14" s="70"/>
      <c r="G14" s="70"/>
    </row>
    <row r="15" customFormat="false" ht="15" hidden="false" customHeight="true" outlineLevel="0" collapsed="false">
      <c r="A15" s="33" t="s">
        <v>602</v>
      </c>
      <c r="B15" s="71" t="n">
        <f aca="false">IF(AND(attrPrice&lt;&gt;"",attrCost&lt;&gt;""),attrPrice-attrCost,"not yet")</f>
        <v>380</v>
      </c>
      <c r="C15" s="34"/>
      <c r="D15" s="34"/>
      <c r="E15" s="34"/>
      <c r="F15" s="34"/>
      <c r="G15" s="35" t="s">
        <v>603</v>
      </c>
    </row>
    <row r="16" customFormat="false" ht="15" hidden="false" customHeight="true" outlineLevel="0" collapsed="false">
      <c r="A16" s="33" t="s">
        <v>604</v>
      </c>
      <c r="B16" s="71" t="n">
        <f aca="false">IF(AND(upPrice&lt;&gt;"",upCost&lt;&gt;""),upPrice-upCost,"not yet")</f>
        <v>900</v>
      </c>
      <c r="C16" s="34"/>
      <c r="D16" s="34"/>
      <c r="E16" s="34"/>
      <c r="F16" s="34"/>
      <c r="G16" s="35" t="s">
        <v>605</v>
      </c>
    </row>
    <row r="17" customFormat="false" ht="27.75" hidden="false" customHeight="true" outlineLevel="0" collapsed="false">
      <c r="A17" s="33" t="s">
        <v>606</v>
      </c>
      <c r="B17" s="71" t="n">
        <f aca="false">IF(AND(ISNUMBER(upGp),upTake&lt;&gt;""),upGp*upTake,"not yet")</f>
        <v>225</v>
      </c>
      <c r="C17" s="34"/>
      <c r="D17" s="34"/>
      <c r="E17" s="34"/>
      <c r="F17" s="34"/>
      <c r="G17" s="35" t="s">
        <v>607</v>
      </c>
    </row>
    <row r="18" customFormat="false" ht="15" hidden="false" customHeight="true" outlineLevel="0" collapsed="false">
      <c r="A18" s="33" t="s">
        <v>608</v>
      </c>
      <c r="B18" s="71" t="n">
        <f aca="false">IF(AND(downPrice&lt;&gt;"",downCost&lt;&gt;""),downPrice-downCost,"not yet")</f>
        <v>150</v>
      </c>
      <c r="C18" s="34"/>
      <c r="D18" s="34"/>
      <c r="E18" s="34"/>
      <c r="F18" s="34"/>
      <c r="G18" s="35" t="s">
        <v>605</v>
      </c>
    </row>
    <row r="19" customFormat="false" ht="27.75" hidden="false" customHeight="true" outlineLevel="0" collapsed="false">
      <c r="A19" s="33" t="s">
        <v>609</v>
      </c>
      <c r="B19" s="71" t="n">
        <f aca="false">IF(AND(ISNUMBER(downGp),upTake&lt;&gt;"",downTake&lt;&gt;""),downGp*(1-upTake)*downTake,"not yet")</f>
        <v>45</v>
      </c>
      <c r="C19" s="34"/>
      <c r="D19" s="34"/>
      <c r="E19" s="34"/>
      <c r="F19" s="34"/>
      <c r="G19" s="35" t="s">
        <v>610</v>
      </c>
    </row>
    <row r="20" customFormat="false" ht="15" hidden="false" customHeight="true" outlineLevel="0" collapsed="false">
      <c r="A20" s="33" t="s">
        <v>611</v>
      </c>
      <c r="B20" s="71" t="n">
        <f aca="false">IF(AND(contPrice&lt;&gt;"",contCost&lt;&gt;""),contPrice-contCost,"not yet")</f>
        <v>109</v>
      </c>
      <c r="C20" s="34"/>
      <c r="D20" s="34"/>
      <c r="E20" s="34"/>
      <c r="F20" s="34"/>
      <c r="G20" s="35" t="s">
        <v>612</v>
      </c>
    </row>
    <row r="21" customFormat="false" ht="15" hidden="false" customHeight="true" outlineLevel="0" collapsed="false">
      <c r="A21" s="33" t="s">
        <v>613</v>
      </c>
      <c r="B21" s="71" t="n">
        <f aca="false">IF(AND(ISNUMBER(contGp),contJoin&lt;&gt;""),contGp*contJoin,"not yet")</f>
        <v>65.4</v>
      </c>
      <c r="C21" s="34"/>
      <c r="D21" s="34"/>
      <c r="E21" s="34"/>
      <c r="F21" s="34"/>
      <c r="G21" s="35" t="s">
        <v>614</v>
      </c>
    </row>
    <row r="22" customFormat="false" ht="15" hidden="false" customHeight="true" outlineLevel="0" collapsed="false">
      <c r="A22" s="33" t="s">
        <v>615</v>
      </c>
      <c r="B22" s="75" t="n">
        <f aca="false">IF(churn&lt;&gt;"",IF(churn=0,"nobody leaves",1/churn),"not yet")</f>
        <v>12.5</v>
      </c>
      <c r="C22" s="34"/>
      <c r="D22" s="34"/>
      <c r="E22" s="34"/>
      <c r="F22" s="34"/>
      <c r="G22" s="35" t="s">
        <v>616</v>
      </c>
    </row>
    <row r="23" customFormat="false" ht="27.75" hidden="false" customHeight="true" outlineLevel="0" collapsed="false">
      <c r="A23" s="33" t="s">
        <v>617</v>
      </c>
      <c r="B23" s="71" t="n">
        <f aca="false">IF(AND(ISNUMBER(contGp),contJoin&lt;&gt;"",ISNUMBER(expectedMonths)),contGp*contJoin*expectedMonths,"not yet")</f>
        <v>817.5</v>
      </c>
      <c r="C23" s="34"/>
      <c r="D23" s="34"/>
      <c r="E23" s="34"/>
      <c r="F23" s="34"/>
      <c r="G23" s="35" t="s">
        <v>618</v>
      </c>
    </row>
    <row r="24" customFormat="false" ht="15" hidden="false" customHeight="false" outlineLevel="0" collapsed="false">
      <c r="A24" s="3"/>
      <c r="B24" s="3"/>
      <c r="C24" s="3"/>
      <c r="D24" s="3"/>
      <c r="E24" s="3"/>
      <c r="F24" s="3"/>
      <c r="G24" s="3"/>
    </row>
    <row r="25" customFormat="false" ht="15" hidden="false" customHeight="false" outlineLevel="0" collapsed="false">
      <c r="A25" s="69" t="s">
        <v>619</v>
      </c>
      <c r="B25" s="70"/>
      <c r="C25" s="70"/>
      <c r="D25" s="70"/>
      <c r="E25" s="70"/>
      <c r="F25" s="70"/>
      <c r="G25" s="70"/>
    </row>
    <row r="26" customFormat="false" ht="54" hidden="false" customHeight="true" outlineLevel="0" collapsed="false">
      <c r="A26" s="33" t="s">
        <v>620</v>
      </c>
      <c r="B26" s="71" t="n">
        <f aca="false">IF(AND(ISNUMBER(attrGp),ISNUMBER(upExpected),ISNUMBER(downExpected),ISNUMBER(contMonth1)),attrGp+upExpected+downExpected+contMonth1,"not yet")</f>
        <v>715.4</v>
      </c>
      <c r="C26" s="34"/>
      <c r="D26" s="34"/>
      <c r="E26" s="34"/>
      <c r="F26" s="34"/>
      <c r="G26" s="35" t="s">
        <v>621</v>
      </c>
    </row>
    <row r="27" customFormat="false" ht="40.5" hidden="false" customHeight="true" outlineLevel="0" collapsed="false">
      <c r="A27" s="33" t="s">
        <v>622</v>
      </c>
      <c r="B27" s="71" t="n">
        <f aca="false">IF(AND(attrPrice&lt;&gt;"",upPrice&lt;&gt;"",upTake&lt;&gt;"",downPrice&lt;&gt;"",downTake&lt;&gt;"",contPrice&lt;&gt;"",contJoin&lt;&gt;""),attrPrice+upPrice*upTake+downPrice*(1-upTake)*downTake+contPrice*contJoin,"not yet")</f>
        <v>1024.4</v>
      </c>
      <c r="C27" s="34"/>
      <c r="D27" s="34"/>
      <c r="E27" s="34"/>
      <c r="F27" s="34"/>
      <c r="G27" s="35" t="s">
        <v>623</v>
      </c>
    </row>
    <row r="28" customFormat="false" ht="27.75" hidden="false" customHeight="true" outlineLevel="0" collapsed="false">
      <c r="A28" s="33" t="s">
        <v>624</v>
      </c>
      <c r="B28" s="74" t="n">
        <f aca="false">IF(AND(ISNUMBER(gp30),ISNUMBER(cac)),IF(cac=0,"free customers",gp30/cac),"not yet")</f>
        <v>4.76933333333333</v>
      </c>
      <c r="C28" s="32" t="str">
        <f aca="false">IF(ISNUMBER(B28),IF(B28&gt;=2,"SELF-FUNDING: each customer pays for the next",IF(B28&gt;=1,"break even inside the month","not paying back inside 30 days")),"")</f>
        <v>SELF-FUNDING: each customer pays for the next</v>
      </c>
      <c r="D28" s="34"/>
      <c r="E28" s="34"/>
      <c r="F28" s="34"/>
      <c r="G28" s="35" t="s">
        <v>625</v>
      </c>
    </row>
    <row r="29" customFormat="false" ht="27.75" hidden="false" customHeight="true" outlineLevel="0" collapsed="false">
      <c r="A29" s="33" t="s">
        <v>626</v>
      </c>
      <c r="B29" s="71" t="n">
        <f aca="false">IF(ISNUMBER(gp30),gp30/2,"not yet")</f>
        <v>357.7</v>
      </c>
      <c r="C29" s="34"/>
      <c r="D29" s="34"/>
      <c r="E29" s="34"/>
      <c r="F29" s="34"/>
      <c r="G29" s="35" t="s">
        <v>627</v>
      </c>
    </row>
    <row r="30" customFormat="false" ht="27.75" hidden="false" customHeight="true" outlineLevel="0" collapsed="false">
      <c r="A30" s="33" t="s">
        <v>628</v>
      </c>
      <c r="B30" s="71" t="n">
        <f aca="false">IF(AND(ISNUMBER(attrGp),ISNUMBER(upExpected),ISNUMBER(downExpected),ISNUMBER(contLtgp)),attrGp+upExpected+downExpected+contLtgp,"not yet")</f>
        <v>1467.5</v>
      </c>
      <c r="C30" s="34"/>
      <c r="D30" s="34"/>
      <c r="E30" s="34"/>
      <c r="F30" s="34"/>
      <c r="G30" s="35" t="s">
        <v>629</v>
      </c>
    </row>
    <row r="31" customFormat="false" ht="27.75" hidden="false" customHeight="true" outlineLevel="0" collapsed="false">
      <c r="A31" s="33" t="s">
        <v>36</v>
      </c>
      <c r="B31" s="74" t="n">
        <f aca="false">IF(AND(ISNUMBER(ltgp),ISNUMBER(cac)),IF(cac=0,"free customers",ltgp/cac),"not yet")</f>
        <v>9.78333333333333</v>
      </c>
      <c r="C31" s="32" t="str">
        <f aca="false">IF(ISNUMBER(B31),IF(B31&gt;=3,"good: 3x or more",IF(B31&gt;=1,"thin","losing")),"")</f>
        <v>good: 3x or more</v>
      </c>
      <c r="D31" s="34"/>
      <c r="E31" s="34"/>
      <c r="F31" s="34"/>
      <c r="G31" s="35" t="s">
        <v>37</v>
      </c>
    </row>
    <row r="32" customFormat="false" ht="27.75" hidden="false" customHeight="true" outlineLevel="0" collapsed="false">
      <c r="A32" s="33" t="s">
        <v>630</v>
      </c>
      <c r="B32" s="71" t="n">
        <f aca="false">IF(AND(ISNUMBER(gp30),attrConversion&lt;&gt;""),gp30*attrConversion,"not yet")</f>
        <v>71.54</v>
      </c>
      <c r="C32" s="34"/>
      <c r="D32" s="34"/>
      <c r="E32" s="34"/>
      <c r="F32" s="34"/>
      <c r="G32" s="35" t="s">
        <v>631</v>
      </c>
    </row>
    <row r="33" customFormat="false" ht="40.5" hidden="false" customHeight="true" outlineLevel="0" collapsed="false">
      <c r="A33" s="33" t="s">
        <v>632</v>
      </c>
      <c r="B33" s="73" t="n">
        <f aca="false">IF(AND(fixedCosts&lt;&gt;"",ISNUMBER(gp30)),IF(gp30&lt;=0,"no profit in 30 days",ROUNDUP(fixedCosts/gp30,0)),"not yet")</f>
        <v>13</v>
      </c>
      <c r="C33" s="34"/>
      <c r="D33" s="34"/>
      <c r="E33" s="34"/>
      <c r="F33" s="34"/>
      <c r="G33" s="35" t="s">
        <v>633</v>
      </c>
    </row>
    <row r="34" customFormat="false" ht="40.5" hidden="false" customHeight="true" outlineLevel="0" collapsed="false">
      <c r="A34" s="33" t="s">
        <v>634</v>
      </c>
      <c r="B34" s="73" t="n">
        <f aca="false">IF(AND(growthCash&lt;&gt;"",ISNUMBER(cac)),IF(cac=0,"no ceiling",ROUNDDOWN(growthCash/cac,0)),"not yet")</f>
        <v>53</v>
      </c>
      <c r="C34" s="34"/>
      <c r="D34" s="34"/>
      <c r="E34" s="34"/>
      <c r="F34" s="34"/>
      <c r="G34" s="35" t="s">
        <v>635</v>
      </c>
    </row>
    <row r="35" customFormat="false" ht="27.75" hidden="false" customHeight="true" outlineLevel="0" collapsed="false">
      <c r="A35" s="33" t="s">
        <v>636</v>
      </c>
      <c r="B35" s="73" t="n">
        <f aca="false">IF(AND(capacity&lt;&gt;"",newCustomers&lt;&gt;""),capacity-newCustomers,"not yet")</f>
        <v>40</v>
      </c>
      <c r="C35" s="34"/>
      <c r="D35" s="34"/>
      <c r="E35" s="34"/>
      <c r="F35" s="34"/>
      <c r="G35" s="35" t="s">
        <v>637</v>
      </c>
    </row>
    <row r="36" customFormat="false" ht="54" hidden="false" customHeight="true" outlineLevel="0" collapsed="false">
      <c r="A36" s="33" t="s">
        <v>638</v>
      </c>
      <c r="B36" s="71" t="n">
        <f aca="false">IF(AND(ISNUMBER(gp30),hoursPerCustomer&lt;&gt;""),IF(hoursPerCustomer=0,"no hours",gp30/hoursPerCustomer),"not yet")</f>
        <v>119.233333333333</v>
      </c>
      <c r="C36" s="34"/>
      <c r="D36" s="34"/>
      <c r="E36" s="34"/>
      <c r="F36" s="34"/>
      <c r="G36" s="35" t="s">
        <v>639</v>
      </c>
    </row>
    <row r="37" customFormat="false" ht="15" hidden="false" customHeight="false" outlineLevel="0" collapsed="false">
      <c r="A37" s="3"/>
      <c r="B37" s="3"/>
      <c r="C37" s="3"/>
      <c r="D37" s="3"/>
      <c r="E37" s="3"/>
      <c r="F37" s="3"/>
      <c r="G37" s="3"/>
    </row>
    <row r="38" customFormat="false" ht="15" hidden="false" customHeight="false" outlineLevel="0" collapsed="false">
      <c r="A38" s="69" t="s">
        <v>640</v>
      </c>
      <c r="B38" s="70"/>
      <c r="C38" s="70"/>
      <c r="D38" s="70"/>
      <c r="E38" s="70"/>
      <c r="F38" s="70"/>
      <c r="G38" s="70"/>
    </row>
    <row r="39" customFormat="false" ht="40.5" hidden="false" customHeight="true" outlineLevel="0" collapsed="false">
      <c r="A39" s="33" t="s">
        <v>641</v>
      </c>
      <c r="B39" s="72" t="n">
        <f aca="false">IF(AND(showRate&lt;&gt;"",upOfferedShare&lt;&gt;"",upTake&lt;&gt;""),showRate*upOfferedShare*upTake,"not yet")</f>
        <v>0.17</v>
      </c>
      <c r="C39" s="34"/>
      <c r="D39" s="34"/>
      <c r="E39" s="34"/>
      <c r="F39" s="34"/>
      <c r="G39" s="35" t="s">
        <v>642</v>
      </c>
    </row>
    <row r="40" customFormat="false" ht="27.75" hidden="false" customHeight="true" outlineLevel="0" collapsed="false">
      <c r="A40" s="33" t="s">
        <v>643</v>
      </c>
      <c r="B40" s="71" t="n">
        <f aca="false">IF(AND(ISNUMBER(attrGp),attrPrice&lt;&gt;"",refundRate&lt;&gt;""),attrGp-attrPrice*refundRate,"not yet")</f>
        <v>320</v>
      </c>
      <c r="C40" s="34"/>
      <c r="D40" s="34"/>
      <c r="E40" s="34"/>
      <c r="F40" s="34"/>
      <c r="G40" s="35" t="s">
        <v>644</v>
      </c>
    </row>
    <row r="41" customFormat="false" ht="15" hidden="false" customHeight="true" outlineLevel="0" collapsed="false">
      <c r="A41" s="33" t="s">
        <v>645</v>
      </c>
      <c r="B41" s="71" t="n">
        <f aca="false">IF(AND(downPrice&lt;&gt;"",planFirstShare&lt;&gt;"",upTake&lt;&gt;"",downTake&lt;&gt;""),downPrice*planFirstShare*(1-upTake)*downTake,"not yet")</f>
        <v>45.9</v>
      </c>
      <c r="C41" s="34"/>
      <c r="D41" s="34"/>
      <c r="E41" s="34"/>
      <c r="F41" s="34"/>
      <c r="G41" s="35" t="s">
        <v>646</v>
      </c>
    </row>
    <row r="42" customFormat="false" ht="40.5" hidden="false" customHeight="true" outlineLevel="0" collapsed="false">
      <c r="A42" s="33" t="s">
        <v>647</v>
      </c>
      <c r="B42" s="71" t="n">
        <f aca="false">IF(AND(ISNUMBER(attrGp),upWhen&lt;&gt;"",ISNUMBER(upExpected),downPrice&lt;&gt;"",planFirstShare&lt;&gt;"",downCost&lt;&gt;"",upTake&lt;&gt;"",downTake&lt;&gt;"",contFirstDays&lt;&gt;"",ISNUMBER(contMonth1)),attrGp+IF(upWhen&lt;=30,upExpected+(downPrice*planFirstShare-downCost)*(1-upTake)*downTake,0)+IF(contFirstDays&lt;=30,contMonth1,0),"not yet")</f>
        <v>560.9</v>
      </c>
      <c r="C42" s="34"/>
      <c r="D42" s="34"/>
      <c r="E42" s="34"/>
      <c r="F42" s="34"/>
      <c r="G42" s="35" t="s">
        <v>648</v>
      </c>
    </row>
    <row r="43" customFormat="false" ht="27.75" hidden="false" customHeight="true" outlineLevel="0" collapsed="false">
      <c r="A43" s="33" t="s">
        <v>649</v>
      </c>
      <c r="B43" s="71" t="n">
        <f aca="false">IF(AND(downPrice&lt;&gt;"",planFirstShare&lt;&gt;"",planDefault&lt;&gt;"",upTake&lt;&gt;"",downTake&lt;&gt;""),downPrice*(1-planFirstShare)*planDefault*(1-upTake)*downTake,"not yet")</f>
        <v>7.128</v>
      </c>
      <c r="C43" s="34"/>
      <c r="D43" s="34"/>
      <c r="E43" s="34"/>
      <c r="F43" s="34"/>
      <c r="G43" s="35" t="s">
        <v>650</v>
      </c>
    </row>
    <row r="44" customFormat="false" ht="15" hidden="false" customHeight="true" outlineLevel="0" collapsed="false">
      <c r="A44" s="33" t="s">
        <v>651</v>
      </c>
      <c r="B44" s="72" t="n">
        <f aca="false">IF(churn&lt;&gt;"",(1-churn)^3,"not yet")</f>
        <v>0.778688</v>
      </c>
      <c r="C44" s="34"/>
      <c r="D44" s="34"/>
      <c r="E44" s="34"/>
      <c r="F44" s="34"/>
      <c r="G44" s="35"/>
    </row>
    <row r="45" customFormat="false" ht="15" hidden="false" customHeight="true" outlineLevel="0" collapsed="false">
      <c r="A45" s="33" t="s">
        <v>652</v>
      </c>
      <c r="B45" s="72" t="n">
        <f aca="false">IF(retain3&lt;&gt;"",retain3,"not yet")</f>
        <v>0.78</v>
      </c>
      <c r="C45" s="34"/>
      <c r="D45" s="34"/>
      <c r="E45" s="34"/>
      <c r="F45" s="34"/>
      <c r="G45" s="35"/>
    </row>
    <row r="46" customFormat="false" ht="15" hidden="false" customHeight="true" outlineLevel="0" collapsed="false">
      <c r="A46" s="33" t="s">
        <v>653</v>
      </c>
      <c r="B46" s="74" t="n">
        <f aca="false">IF(AND(measuredCash30&lt;&gt;"",ISNUMBER(cac)),IF(cac=0,"free customers",measuredCash30/cac),"not yet")</f>
        <v>5.06666666666667</v>
      </c>
      <c r="C46" s="32" t="str">
        <f aca="false">IF(ISNUMBER(B46),IF(B46&gt;=2,"self-funding",IF(B46&gt;=1,"break even","losing")),"")</f>
        <v>self-funding</v>
      </c>
      <c r="D46" s="34"/>
      <c r="E46" s="34"/>
      <c r="F46" s="34"/>
      <c r="G46" s="35" t="s">
        <v>654</v>
      </c>
    </row>
    <row r="47" customFormat="false" ht="15" hidden="false" customHeight="true" outlineLevel="0" collapsed="false">
      <c r="A47" s="33" t="s">
        <v>655</v>
      </c>
      <c r="B47" s="72" t="n">
        <f aca="false">IF(AND(measuredNewCustomers&lt;&gt;"",newCustomers&lt;&gt;""),IF(newCustomers=0,"no customers before",measuredNewCustomers/newCustomers-1),"not yet")</f>
        <v>0.375</v>
      </c>
      <c r="C47" s="34"/>
      <c r="D47" s="34"/>
      <c r="E47" s="34"/>
      <c r="F47" s="34"/>
      <c r="G47" s="35" t="s">
        <v>656</v>
      </c>
    </row>
    <row r="48" customFormat="false" ht="15" hidden="false" customHeight="false" outlineLevel="0" collapsed="false">
      <c r="A48" s="3"/>
      <c r="B48" s="3"/>
      <c r="C48" s="3"/>
      <c r="D48" s="3"/>
      <c r="E48" s="3"/>
      <c r="F48" s="3"/>
      <c r="G48" s="3"/>
    </row>
    <row r="49" customFormat="false" ht="15" hidden="false" customHeight="false" outlineLevel="0" collapsed="false">
      <c r="A49" s="69" t="s">
        <v>136</v>
      </c>
      <c r="B49" s="70"/>
      <c r="C49" s="70"/>
      <c r="D49" s="70"/>
      <c r="E49" s="70"/>
      <c r="F49" s="70"/>
      <c r="G49" s="70"/>
    </row>
    <row r="50" customFormat="false" ht="15" hidden="false" customHeight="true" outlineLevel="0" collapsed="false">
      <c r="A50" s="33" t="s">
        <v>657</v>
      </c>
      <c r="B50" s="71" t="n">
        <f aca="false">IF(AND(attrCap&lt;&gt;"",ISNUMBER(collected30)),attrCap*collected30,"not yet")</f>
        <v>30732</v>
      </c>
      <c r="C50" s="34"/>
      <c r="D50" s="34"/>
      <c r="E50" s="34"/>
      <c r="F50" s="34"/>
      <c r="G50" s="35" t="s">
        <v>658</v>
      </c>
    </row>
    <row r="51" customFormat="false" ht="40.5" hidden="false" customHeight="true" outlineLevel="0" collapsed="false">
      <c r="A51" s="33" t="s">
        <v>659</v>
      </c>
      <c r="B51" s="71" t="n">
        <f aca="false">IF(AND(up2Price&lt;&gt;"",up2Take&lt;&gt;"",upTake&lt;&gt;""),up2Price*up2Take*upTake,"not yet")</f>
        <v>50</v>
      </c>
      <c r="C51" s="34"/>
      <c r="D51" s="34"/>
      <c r="E51" s="34"/>
      <c r="F51" s="34"/>
      <c r="G51" s="35" t="s">
        <v>660</v>
      </c>
    </row>
    <row r="52" customFormat="false" ht="27.75" hidden="false" customHeight="true" outlineLevel="0" collapsed="false">
      <c r="A52" s="33" t="s">
        <v>661</v>
      </c>
      <c r="B52" s="72" t="n">
        <f aca="false">IF(AND(anchorPrice&lt;&gt;"",upPrice&lt;&gt;""),IF(anchorPrice=0,"no anchor",upPrice/anchorPrice),"not yet")</f>
        <v>0.5</v>
      </c>
      <c r="C52" s="34"/>
      <c r="D52" s="34"/>
      <c r="E52" s="34"/>
      <c r="F52" s="34"/>
      <c r="G52" s="35" t="s">
        <v>662</v>
      </c>
    </row>
    <row r="53" customFormat="false" ht="40.5" hidden="false" customHeight="true" outlineLevel="0" collapsed="false">
      <c r="A53" s="33" t="s">
        <v>663</v>
      </c>
      <c r="B53" s="71" t="n">
        <f aca="false">IF(AND(contAnnualPrice&lt;&gt;"",contPrice&lt;&gt;"",contAnnualTake&lt;&gt;"",contJoin&lt;&gt;""),(contAnnualPrice-contPrice)*contAnnualTake*contJoin,"not yet")</f>
        <v>120.69</v>
      </c>
      <c r="C53" s="34"/>
      <c r="D53" s="34"/>
      <c r="E53" s="34"/>
      <c r="F53" s="34"/>
      <c r="G53" s="35" t="s">
        <v>664</v>
      </c>
    </row>
    <row r="54" customFormat="false" ht="15" hidden="false" customHeight="true" outlineLevel="0" collapsed="false">
      <c r="A54" s="33" t="s">
        <v>665</v>
      </c>
      <c r="B54" s="71" t="n">
        <f aca="false">IF(AND(ISNUMBER(gp30),ISNUMBER(annualLift)),gp30+annualLift,"not yet")</f>
        <v>836.09</v>
      </c>
      <c r="C54" s="34"/>
      <c r="D54" s="34"/>
      <c r="E54" s="34"/>
      <c r="F54" s="34"/>
      <c r="G54" s="35" t="s">
        <v>666</v>
      </c>
    </row>
    <row r="55" customFormat="false" ht="27.75" hidden="false" customHeight="true" outlineLevel="0" collapsed="false">
      <c r="A55" s="33" t="s">
        <v>667</v>
      </c>
      <c r="B55" s="71" t="n">
        <f aca="false">IF(AND(ISNUMBER(ltgp),ISNUMBER(up2Expected),ISNUMBER(annualLift)),ltgp+up2Expected+annualLift,"not yet")</f>
        <v>1638.19</v>
      </c>
      <c r="C55" s="34"/>
      <c r="D55" s="34"/>
      <c r="E55" s="34"/>
      <c r="F55" s="34"/>
      <c r="G55" s="35" t="s">
        <v>668</v>
      </c>
    </row>
    <row r="56" customFormat="false" ht="27.75" hidden="false" customHeight="true" outlineLevel="0" collapsed="false">
      <c r="A56" s="33" t="s">
        <v>669</v>
      </c>
      <c r="B56" s="71" t="n">
        <f aca="false">IF(AND(entryDownPrice&lt;&gt;"",entryDownTake&lt;&gt;"",attrConversion&lt;&gt;""),entryDownPrice*entryDownTake*(1-attrConversion),"not yet")</f>
        <v>17.82</v>
      </c>
      <c r="C56" s="34"/>
      <c r="D56" s="34"/>
      <c r="E56" s="34"/>
      <c r="F56" s="34"/>
      <c r="G56" s="35" t="s">
        <v>670</v>
      </c>
    </row>
    <row r="57" customFormat="false" ht="27.75" hidden="false" customHeight="true" outlineLevel="0" collapsed="false">
      <c r="A57" s="33" t="s">
        <v>671</v>
      </c>
      <c r="B57" s="71" t="n">
        <f aca="false">IF(AND(ISNUMBER(cashPerLead),ISNUMBER(entryDownExpected)),cashPerLead+entryDownExpected,"not yet")</f>
        <v>89.36</v>
      </c>
      <c r="C57" s="34"/>
      <c r="D57" s="34"/>
      <c r="E57" s="34"/>
      <c r="F57" s="34"/>
      <c r="G57" s="35" t="s">
        <v>672</v>
      </c>
    </row>
    <row r="58" customFormat="false" ht="27.75" hidden="false" customHeight="true" outlineLevel="0" collapsed="false">
      <c r="A58" s="33" t="s">
        <v>673</v>
      </c>
      <c r="B58" s="72" t="n">
        <f aca="false">IF(AND(ISNUMBER(upGp),upPrice&lt;&gt;"",priceRaise&lt;&gt;"",upTake&lt;&gt;""),IF(upGp+upPrice*priceRaise&lt;=0,"no profit",upTake*upGp/(upGp+upPrice*priceRaise)),"not yet")</f>
        <v>0.220588235294118</v>
      </c>
      <c r="C58" s="34"/>
      <c r="D58" s="34"/>
      <c r="E58" s="34"/>
      <c r="F58" s="34"/>
      <c r="G58" s="35" t="s">
        <v>674</v>
      </c>
    </row>
    <row r="59" customFormat="false" ht="15" hidden="false" customHeight="false" outlineLevel="0" collapsed="false">
      <c r="A59" s="3"/>
      <c r="B59" s="3"/>
      <c r="C59" s="3"/>
      <c r="D59" s="3"/>
      <c r="E59" s="3"/>
      <c r="F59" s="3"/>
      <c r="G59" s="3"/>
    </row>
    <row r="60" customFormat="false" ht="15" hidden="false" customHeight="false" outlineLevel="0" collapsed="false">
      <c r="A60" s="69" t="s">
        <v>675</v>
      </c>
      <c r="B60" s="70"/>
      <c r="C60" s="70"/>
      <c r="D60" s="70"/>
      <c r="E60" s="70"/>
      <c r="F60" s="70"/>
      <c r="G60" s="70"/>
    </row>
    <row r="61" customFormat="false" ht="15" hidden="false" customHeight="false" outlineLevel="0" collapsed="false">
      <c r="A61" s="76" t="s">
        <v>676</v>
      </c>
      <c r="B61" s="76" t="s">
        <v>677</v>
      </c>
      <c r="C61" s="76" t="s">
        <v>678</v>
      </c>
      <c r="D61" s="76" t="s">
        <v>679</v>
      </c>
      <c r="E61" s="3"/>
      <c r="F61" s="3"/>
      <c r="G61" s="3"/>
    </row>
    <row r="62" customFormat="false" ht="15" hidden="false" customHeight="false" outlineLevel="0" collapsed="false">
      <c r="A62" s="34" t="s">
        <v>30</v>
      </c>
      <c r="B62" s="77" t="n">
        <f aca="false">IF(ISNUMBER(attrGp),attrGp,0)</f>
        <v>380</v>
      </c>
      <c r="C62" s="77" t="n">
        <f aca="false">IF(ISNUMBER(cac),cac,0)</f>
        <v>150</v>
      </c>
      <c r="D62" s="77" t="n">
        <f aca="false">IF(ISNUMBER(cac),2*cac,0)</f>
        <v>300</v>
      </c>
      <c r="E62" s="3"/>
      <c r="F62" s="3"/>
      <c r="G62" s="3"/>
    </row>
    <row r="63" customFormat="false" ht="15" hidden="false" customHeight="false" outlineLevel="0" collapsed="false">
      <c r="A63" s="34" t="s">
        <v>31</v>
      </c>
      <c r="B63" s="77" t="n">
        <f aca="false">IF(ISNUMBER(upExpected),upExpected,0)</f>
        <v>225</v>
      </c>
      <c r="C63" s="77" t="n">
        <f aca="false">IF(ISNUMBER(cac),cac,0)</f>
        <v>150</v>
      </c>
      <c r="D63" s="77" t="n">
        <f aca="false">IF(ISNUMBER(cac),2*cac,0)</f>
        <v>300</v>
      </c>
      <c r="E63" s="3"/>
      <c r="F63" s="3"/>
      <c r="G63" s="3"/>
    </row>
    <row r="64" customFormat="false" ht="15" hidden="false" customHeight="false" outlineLevel="0" collapsed="false">
      <c r="A64" s="34" t="s">
        <v>32</v>
      </c>
      <c r="B64" s="77" t="n">
        <f aca="false">IF(ISNUMBER(downExpected),downExpected,0)</f>
        <v>45</v>
      </c>
      <c r="C64" s="77" t="n">
        <f aca="false">IF(ISNUMBER(cac),cac,0)</f>
        <v>150</v>
      </c>
      <c r="D64" s="77" t="n">
        <f aca="false">IF(ISNUMBER(cac),2*cac,0)</f>
        <v>300</v>
      </c>
      <c r="E64" s="3"/>
      <c r="F64" s="3"/>
      <c r="G64" s="3"/>
    </row>
    <row r="65" customFormat="false" ht="15" hidden="false" customHeight="false" outlineLevel="0" collapsed="false">
      <c r="A65" s="34" t="s">
        <v>680</v>
      </c>
      <c r="B65" s="77" t="n">
        <f aca="false">IF(ISNUMBER(contMonth1),contMonth1,0)</f>
        <v>65.4</v>
      </c>
      <c r="C65" s="77" t="n">
        <f aca="false">IF(ISNUMBER(cac),cac,0)</f>
        <v>150</v>
      </c>
      <c r="D65" s="77" t="n">
        <f aca="false">IF(ISNUMBER(cac),2*cac,0)</f>
        <v>300</v>
      </c>
      <c r="E65" s="3"/>
      <c r="F65" s="3"/>
      <c r="G65" s="3"/>
    </row>
    <row r="66" customFormat="false" ht="15" hidden="false" customHeight="false" outlineLevel="0" collapsed="false">
      <c r="A66" s="34" t="s">
        <v>681</v>
      </c>
      <c r="B66" s="77" t="n">
        <f aca="false">IF(ISNUMBER(gp30),gp30,0)</f>
        <v>715.4</v>
      </c>
      <c r="C66" s="77" t="n">
        <f aca="false">IF(ISNUMBER(cac),cac,0)</f>
        <v>150</v>
      </c>
      <c r="D66" s="77" t="n">
        <f aca="false">IF(ISNUMBER(cac),2*cac,0)</f>
        <v>300</v>
      </c>
      <c r="E66" s="3"/>
      <c r="F66" s="3"/>
      <c r="G66" s="3"/>
    </row>
    <row r="67" customFormat="false" ht="15" hidden="false" customHeight="false" outlineLevel="0" collapsed="false">
      <c r="A67" s="22" t="s">
        <v>682</v>
      </c>
      <c r="B67" s="3"/>
      <c r="C67" s="3"/>
      <c r="D67" s="3"/>
      <c r="E67" s="3"/>
      <c r="F67" s="3"/>
      <c r="G67" s="3"/>
    </row>
    <row r="68" customFormat="false" ht="15" hidden="false" customHeight="false" outlineLevel="0" collapsed="false">
      <c r="A68" s="3"/>
      <c r="B68" s="3"/>
      <c r="C68" s="3"/>
      <c r="D68" s="3"/>
      <c r="E68" s="3"/>
      <c r="F68" s="3"/>
      <c r="G68" s="3"/>
    </row>
    <row r="69" customFormat="false" ht="15" hidden="false" customHeight="false" outlineLevel="0" collapsed="false">
      <c r="A69" s="3"/>
      <c r="B69" s="3"/>
      <c r="C69" s="3"/>
      <c r="D69" s="3"/>
      <c r="E69" s="3"/>
      <c r="F69" s="3"/>
      <c r="G69" s="3"/>
    </row>
    <row r="70" customFormat="false" ht="15" hidden="false" customHeight="false" outlineLevel="0" collapsed="false">
      <c r="A70" s="3"/>
      <c r="B70" s="3"/>
      <c r="C70" s="3"/>
      <c r="D70" s="3"/>
      <c r="E70" s="3"/>
      <c r="F70" s="3"/>
      <c r="G70" s="3"/>
    </row>
    <row r="71" customFormat="false" ht="15" hidden="false" customHeight="false" outlineLevel="0" collapsed="false">
      <c r="A71" s="3"/>
      <c r="B71" s="3"/>
      <c r="C71" s="3"/>
      <c r="D71" s="3"/>
      <c r="E71" s="3"/>
      <c r="F71" s="3"/>
      <c r="G71" s="3"/>
    </row>
    <row r="72" customFormat="false" ht="15" hidden="false" customHeight="false" outlineLevel="0" collapsed="false">
      <c r="A72" s="3"/>
      <c r="B72" s="3"/>
      <c r="C72" s="3"/>
      <c r="D72" s="3"/>
      <c r="E72" s="3"/>
      <c r="F72" s="3"/>
      <c r="G72" s="3"/>
    </row>
    <row r="73" customFormat="false" ht="15" hidden="false" customHeight="false" outlineLevel="0" collapsed="false">
      <c r="A73" s="3"/>
      <c r="B73" s="3"/>
      <c r="C73" s="3"/>
      <c r="D73" s="3"/>
      <c r="E73" s="3"/>
      <c r="F73" s="3"/>
      <c r="G73" s="3"/>
    </row>
    <row r="74" customFormat="false" ht="15" hidden="false" customHeight="false" outlineLevel="0" collapsed="false">
      <c r="A74" s="3"/>
      <c r="B74" s="3"/>
      <c r="C74" s="3"/>
      <c r="D74" s="3"/>
      <c r="E74" s="3"/>
      <c r="F74" s="3"/>
      <c r="G74" s="3"/>
    </row>
    <row r="75" customFormat="false" ht="15" hidden="false" customHeight="false" outlineLevel="0" collapsed="false">
      <c r="A75" s="3"/>
      <c r="B75" s="3"/>
      <c r="C75" s="3"/>
      <c r="D75" s="3"/>
      <c r="E75" s="3"/>
      <c r="F75" s="3"/>
      <c r="G75" s="3"/>
    </row>
    <row r="76" customFormat="false" ht="15" hidden="false" customHeight="false" outlineLevel="0" collapsed="false">
      <c r="A76" s="3"/>
      <c r="B76" s="3"/>
      <c r="C76" s="3"/>
      <c r="D76" s="3"/>
      <c r="E76" s="3"/>
      <c r="F76" s="3"/>
      <c r="G76" s="3"/>
    </row>
    <row r="77" customFormat="false" ht="15" hidden="false" customHeight="false" outlineLevel="0" collapsed="false">
      <c r="A77" s="3"/>
      <c r="B77" s="3"/>
      <c r="C77" s="3"/>
      <c r="D77" s="3"/>
      <c r="E77" s="3"/>
      <c r="F77" s="3"/>
      <c r="G77" s="3"/>
    </row>
    <row r="78" customFormat="false" ht="15" hidden="false" customHeight="false" outlineLevel="0" collapsed="false">
      <c r="A78" s="3"/>
      <c r="B78" s="3"/>
      <c r="C78" s="3"/>
      <c r="D78" s="3"/>
      <c r="E78" s="3"/>
      <c r="F78" s="3"/>
      <c r="G78" s="3"/>
    </row>
    <row r="79" customFormat="false" ht="15" hidden="false" customHeight="false" outlineLevel="0" collapsed="false">
      <c r="A79" s="3"/>
      <c r="B79" s="3"/>
      <c r="C79" s="3"/>
      <c r="D79" s="3"/>
      <c r="E79" s="3"/>
      <c r="F79" s="3"/>
      <c r="G79" s="3"/>
    </row>
    <row r="80" customFormat="false" ht="15" hidden="false" customHeight="false" outlineLevel="0" collapsed="false">
      <c r="A80" s="69" t="s">
        <v>683</v>
      </c>
      <c r="B80" s="70"/>
      <c r="C80" s="70"/>
      <c r="D80" s="70"/>
      <c r="E80" s="70"/>
      <c r="F80" s="70"/>
      <c r="G80" s="70"/>
    </row>
    <row r="81" customFormat="false" ht="15" hidden="false" customHeight="false" outlineLevel="0" collapsed="false">
      <c r="A81" s="76"/>
      <c r="B81" s="76" t="s">
        <v>684</v>
      </c>
      <c r="C81" s="76" t="s">
        <v>685</v>
      </c>
      <c r="D81" s="3"/>
      <c r="E81" s="3"/>
      <c r="F81" s="3"/>
      <c r="G81" s="3"/>
    </row>
    <row r="82" customFormat="false" ht="15" hidden="false" customHeight="false" outlineLevel="0" collapsed="false">
      <c r="A82" s="34" t="s">
        <v>686</v>
      </c>
      <c r="B82" s="77" t="n">
        <f aca="false">IF(cash30Today="",0,cash30Today)</f>
        <v>199</v>
      </c>
      <c r="C82" s="77" t="n">
        <f aca="false">IF(ISNUMBER(cac),cac,0)</f>
        <v>150</v>
      </c>
      <c r="D82" s="3"/>
      <c r="E82" s="3"/>
      <c r="F82" s="3"/>
      <c r="G82" s="3"/>
    </row>
    <row r="83" customFormat="false" ht="15" hidden="false" customHeight="false" outlineLevel="0" collapsed="false">
      <c r="A83" s="34" t="s">
        <v>687</v>
      </c>
      <c r="B83" s="77" t="n">
        <f aca="false">IF(ISNUMBER(collected30),collected30,0)</f>
        <v>1024.4</v>
      </c>
      <c r="C83" s="77" t="n">
        <f aca="false">IF(ISNUMBER(cac),cac,0)</f>
        <v>150</v>
      </c>
      <c r="D83" s="3"/>
      <c r="E83" s="3"/>
      <c r="F83" s="3"/>
      <c r="G83" s="3"/>
    </row>
    <row r="84" customFormat="false" ht="15" hidden="false" customHeight="false" outlineLevel="0" collapsed="false">
      <c r="A84" s="34" t="s">
        <v>688</v>
      </c>
      <c r="B84" s="77" t="n">
        <f aca="false">IF(measuredCash30="",0,measuredCash30)</f>
        <v>760</v>
      </c>
      <c r="C84" s="77" t="n">
        <f aca="false">IF(ISNUMBER(cac),cac,0)</f>
        <v>150</v>
      </c>
      <c r="D84" s="3"/>
      <c r="E84" s="3"/>
      <c r="F84" s="3"/>
      <c r="G84" s="3"/>
    </row>
    <row r="85" customFormat="false" ht="15" hidden="false" customHeight="false" outlineLevel="0" collapsed="false">
      <c r="A85" s="3"/>
      <c r="B85" s="3"/>
      <c r="C85" s="3"/>
      <c r="D85" s="3"/>
      <c r="E85" s="3"/>
      <c r="F85" s="3"/>
      <c r="G85" s="3"/>
    </row>
    <row r="86" customFormat="false" ht="15" hidden="false" customHeight="false" outlineLevel="0" collapsed="false">
      <c r="A86" s="3"/>
      <c r="B86" s="3"/>
      <c r="C86" s="3"/>
      <c r="D86" s="3"/>
      <c r="E86" s="3"/>
      <c r="F86" s="3"/>
      <c r="G86" s="3"/>
    </row>
    <row r="87" customFormat="false" ht="15" hidden="false" customHeight="false" outlineLevel="0" collapsed="false">
      <c r="A87" s="3"/>
      <c r="B87" s="3"/>
      <c r="C87" s="3"/>
      <c r="D87" s="3"/>
      <c r="E87" s="3"/>
      <c r="F87" s="3"/>
      <c r="G87" s="3"/>
    </row>
    <row r="88" customFormat="false" ht="15" hidden="false" customHeight="false" outlineLevel="0" collapsed="false">
      <c r="A88" s="3"/>
      <c r="B88" s="3"/>
      <c r="C88" s="3"/>
      <c r="D88" s="3"/>
      <c r="E88" s="3"/>
      <c r="F88" s="3"/>
      <c r="G88" s="3"/>
    </row>
    <row r="89" customFormat="false" ht="15" hidden="false" customHeight="false" outlineLevel="0" collapsed="false">
      <c r="A89" s="3"/>
      <c r="B89" s="3"/>
      <c r="C89" s="3"/>
      <c r="D89" s="3"/>
      <c r="E89" s="3"/>
      <c r="F89" s="3"/>
      <c r="G89" s="3"/>
    </row>
    <row r="90" customFormat="false" ht="15" hidden="false" customHeight="false" outlineLevel="0" collapsed="false">
      <c r="A90" s="3"/>
      <c r="B90" s="3"/>
      <c r="C90" s="3"/>
      <c r="D90" s="3"/>
      <c r="E90" s="3"/>
      <c r="F90" s="3"/>
      <c r="G90" s="3"/>
    </row>
    <row r="91" customFormat="false" ht="15" hidden="false" customHeight="false" outlineLevel="0" collapsed="false">
      <c r="A91" s="3"/>
      <c r="B91" s="3"/>
      <c r="C91" s="3"/>
      <c r="D91" s="3"/>
      <c r="E91" s="3"/>
      <c r="F91" s="3"/>
      <c r="G91" s="3"/>
    </row>
    <row r="92" customFormat="false" ht="15" hidden="false" customHeight="false" outlineLevel="0" collapsed="false">
      <c r="A92" s="3"/>
      <c r="B92" s="3"/>
      <c r="C92" s="3"/>
      <c r="D92" s="3"/>
      <c r="E92" s="3"/>
      <c r="F92" s="3"/>
      <c r="G92" s="3"/>
    </row>
    <row r="93" customFormat="false" ht="15" hidden="false" customHeight="false" outlineLevel="0" collapsed="false">
      <c r="A93" s="3"/>
      <c r="B93" s="3"/>
      <c r="C93" s="3"/>
      <c r="D93" s="3"/>
      <c r="E93" s="3"/>
      <c r="F93" s="3"/>
      <c r="G93" s="3"/>
    </row>
    <row r="94" customFormat="false" ht="15" hidden="false" customHeight="false" outlineLevel="0" collapsed="false">
      <c r="A94" s="3"/>
      <c r="B94" s="3"/>
      <c r="C94" s="3"/>
      <c r="D94" s="3"/>
      <c r="E94" s="3"/>
      <c r="F94" s="3"/>
      <c r="G94" s="3"/>
    </row>
    <row r="95" customFormat="false" ht="15" hidden="false" customHeight="false" outlineLevel="0" collapsed="false">
      <c r="A95" s="3"/>
      <c r="B95" s="3"/>
      <c r="C95" s="3"/>
      <c r="D95" s="3"/>
      <c r="E95" s="3"/>
      <c r="F95" s="3"/>
      <c r="G95" s="3"/>
    </row>
    <row r="96" customFormat="false" ht="15" hidden="false" customHeight="false" outlineLevel="0" collapsed="false">
      <c r="A96" s="3"/>
      <c r="B96" s="3"/>
      <c r="C96" s="3"/>
      <c r="D96" s="3"/>
      <c r="E96" s="3"/>
      <c r="F96" s="3"/>
      <c r="G96" s="3"/>
    </row>
    <row r="97" customFormat="false" ht="15" hidden="false" customHeight="false" outlineLevel="0" collapsed="false">
      <c r="A97" s="3"/>
      <c r="B97" s="3"/>
      <c r="C97" s="3"/>
      <c r="D97" s="3"/>
      <c r="E97" s="3"/>
      <c r="F97" s="3"/>
      <c r="G97" s="3"/>
    </row>
    <row r="98" customFormat="false" ht="15" hidden="false" customHeight="false" outlineLevel="0" collapsed="false">
      <c r="A98" s="3"/>
      <c r="B98" s="3"/>
      <c r="C98" s="3"/>
      <c r="D98" s="3"/>
      <c r="E98" s="3"/>
      <c r="F98" s="3"/>
      <c r="G98" s="3"/>
    </row>
    <row r="99" customFormat="false" ht="15" hidden="false" customHeight="false" outlineLevel="0" collapsed="false">
      <c r="A99" s="3"/>
      <c r="B99" s="3"/>
      <c r="C99" s="3"/>
      <c r="D99" s="3"/>
      <c r="E99" s="3"/>
      <c r="F99" s="3"/>
      <c r="G99" s="3"/>
    </row>
    <row r="100" customFormat="false" ht="15" hidden="false" customHeight="false" outlineLevel="0" collapsed="false">
      <c r="A100" s="69" t="s">
        <v>689</v>
      </c>
      <c r="B100" s="70"/>
      <c r="C100" s="70"/>
      <c r="D100" s="70"/>
      <c r="E100" s="70"/>
      <c r="F100" s="70"/>
      <c r="G100" s="70"/>
    </row>
    <row r="101" customFormat="false" ht="15" hidden="false" customHeight="false" outlineLevel="0" collapsed="false">
      <c r="A101" s="76" t="s">
        <v>690</v>
      </c>
      <c r="B101" s="76" t="s">
        <v>691</v>
      </c>
      <c r="C101" s="3"/>
      <c r="D101" s="3"/>
      <c r="E101" s="3"/>
      <c r="F101" s="3"/>
      <c r="G101" s="3"/>
    </row>
    <row r="102" customFormat="false" ht="15" hidden="false" customHeight="false" outlineLevel="0" collapsed="false">
      <c r="A102" s="34" t="s">
        <v>692</v>
      </c>
      <c r="B102" s="78" t="n">
        <f aca="false">100</f>
        <v>100</v>
      </c>
      <c r="C102" s="3"/>
      <c r="D102" s="3"/>
      <c r="E102" s="3"/>
      <c r="F102" s="3"/>
      <c r="G102" s="3"/>
    </row>
    <row r="103" customFormat="false" ht="15" hidden="false" customHeight="false" outlineLevel="0" collapsed="false">
      <c r="A103" s="34" t="s">
        <v>693</v>
      </c>
      <c r="B103" s="78" t="n">
        <f aca="false">IF(attrConversion="",0,100*attrConversion)</f>
        <v>10</v>
      </c>
      <c r="C103" s="3"/>
      <c r="D103" s="3"/>
      <c r="E103" s="3"/>
      <c r="F103" s="3"/>
      <c r="G103" s="3"/>
    </row>
    <row r="104" customFormat="false" ht="15" hidden="false" customHeight="false" outlineLevel="0" collapsed="false">
      <c r="A104" s="34" t="s">
        <v>694</v>
      </c>
      <c r="B104" s="78" t="n">
        <f aca="false">IF(upTake="",0,B103*upTake)</f>
        <v>2.5</v>
      </c>
      <c r="C104" s="3"/>
      <c r="D104" s="3"/>
      <c r="E104" s="3"/>
      <c r="F104" s="3"/>
      <c r="G104" s="3"/>
    </row>
    <row r="105" customFormat="false" ht="15" hidden="false" customHeight="false" outlineLevel="0" collapsed="false">
      <c r="A105" s="34" t="s">
        <v>695</v>
      </c>
      <c r="B105" s="78" t="n">
        <f aca="false">IF(downTake="",0,(B103-B104)*downTake)</f>
        <v>3</v>
      </c>
      <c r="C105" s="3"/>
      <c r="D105" s="3"/>
      <c r="E105" s="3"/>
      <c r="F105" s="3"/>
      <c r="G105" s="3"/>
    </row>
    <row r="106" customFormat="false" ht="15" hidden="false" customHeight="false" outlineLevel="0" collapsed="false">
      <c r="A106" s="34" t="s">
        <v>696</v>
      </c>
      <c r="B106" s="78" t="n">
        <f aca="false">IF(contJoin="",0,B103*contJoin)</f>
        <v>6</v>
      </c>
      <c r="C106" s="3"/>
      <c r="D106" s="3"/>
      <c r="E106" s="3"/>
      <c r="F106" s="3"/>
      <c r="G106" s="3"/>
    </row>
    <row r="107" customFormat="false" ht="15" hidden="false" customHeight="false" outlineLevel="0" collapsed="false">
      <c r="A107" s="3"/>
      <c r="B107" s="3"/>
      <c r="C107" s="3"/>
      <c r="D107" s="3"/>
      <c r="E107" s="3"/>
      <c r="F107" s="3"/>
      <c r="G107" s="3"/>
    </row>
    <row r="108" customFormat="false" ht="15" hidden="false" customHeight="false" outlineLevel="0" collapsed="false">
      <c r="A108" s="3"/>
      <c r="B108" s="3"/>
      <c r="C108" s="3"/>
      <c r="D108" s="3"/>
      <c r="E108" s="3"/>
      <c r="F108" s="3"/>
      <c r="G108" s="3"/>
    </row>
    <row r="109" customFormat="false" ht="15" hidden="false" customHeight="false" outlineLevel="0" collapsed="false">
      <c r="A109" s="3"/>
      <c r="B109" s="3"/>
      <c r="C109" s="3"/>
      <c r="D109" s="3"/>
      <c r="E109" s="3"/>
      <c r="F109" s="3"/>
      <c r="G109" s="3"/>
    </row>
    <row r="110" customFormat="false" ht="15" hidden="false" customHeight="false" outlineLevel="0" collapsed="false">
      <c r="A110" s="3"/>
      <c r="B110" s="3"/>
      <c r="C110" s="3"/>
      <c r="D110" s="3"/>
      <c r="E110" s="3"/>
      <c r="F110" s="3"/>
      <c r="G110" s="3"/>
    </row>
    <row r="111" customFormat="false" ht="15" hidden="false" customHeight="false" outlineLevel="0" collapsed="false">
      <c r="A111" s="3"/>
      <c r="B111" s="3"/>
      <c r="C111" s="3"/>
      <c r="D111" s="3"/>
      <c r="E111" s="3"/>
      <c r="F111" s="3"/>
      <c r="G111" s="3"/>
    </row>
    <row r="112" customFormat="false" ht="15" hidden="false" customHeight="false" outlineLevel="0" collapsed="false">
      <c r="A112" s="3"/>
      <c r="B112" s="3"/>
      <c r="C112" s="3"/>
      <c r="D112" s="3"/>
      <c r="E112" s="3"/>
      <c r="F112" s="3"/>
      <c r="G112" s="3"/>
    </row>
    <row r="113" customFormat="false" ht="15" hidden="false" customHeight="false" outlineLevel="0" collapsed="false">
      <c r="A113" s="3"/>
      <c r="B113" s="3"/>
      <c r="C113" s="3"/>
      <c r="D113" s="3"/>
      <c r="E113" s="3"/>
      <c r="F113" s="3"/>
      <c r="G113" s="3"/>
    </row>
    <row r="114" customFormat="false" ht="15" hidden="false" customHeight="false" outlineLevel="0" collapsed="false">
      <c r="A114" s="3"/>
      <c r="B114" s="3"/>
      <c r="C114" s="3"/>
      <c r="D114" s="3"/>
      <c r="E114" s="3"/>
      <c r="F114" s="3"/>
      <c r="G114" s="3"/>
    </row>
    <row r="115" customFormat="false" ht="15" hidden="false" customHeight="false" outlineLevel="0" collapsed="false">
      <c r="A115" s="3"/>
      <c r="B115" s="3"/>
      <c r="C115" s="3"/>
      <c r="D115" s="3"/>
      <c r="E115" s="3"/>
      <c r="F115" s="3"/>
      <c r="G115" s="3"/>
    </row>
    <row r="116" customFormat="false" ht="15" hidden="false" customHeight="false" outlineLevel="0" collapsed="false">
      <c r="A116" s="3"/>
      <c r="B116" s="3"/>
      <c r="C116" s="3"/>
      <c r="D116" s="3"/>
      <c r="E116" s="3"/>
      <c r="F116" s="3"/>
      <c r="G116" s="3"/>
    </row>
    <row r="117" customFormat="false" ht="15" hidden="false" customHeight="false" outlineLevel="0" collapsed="false">
      <c r="A117" s="3"/>
      <c r="B117" s="3"/>
      <c r="C117" s="3"/>
      <c r="D117" s="3"/>
      <c r="E117" s="3"/>
      <c r="F117" s="3"/>
      <c r="G117" s="3"/>
    </row>
    <row r="118" customFormat="false" ht="15" hidden="false" customHeight="false" outlineLevel="0" collapsed="false">
      <c r="A118" s="3"/>
      <c r="B118" s="3"/>
      <c r="C118" s="3"/>
      <c r="D118" s="3"/>
      <c r="E118" s="3"/>
      <c r="F118" s="3"/>
      <c r="G118" s="3"/>
    </row>
    <row r="119" customFormat="false" ht="15" hidden="false" customHeight="false" outlineLevel="0" collapsed="false">
      <c r="A119" s="3"/>
      <c r="B119" s="3"/>
      <c r="C119" s="3"/>
      <c r="D119" s="3"/>
      <c r="E119" s="3"/>
      <c r="F119" s="3"/>
      <c r="G119" s="3"/>
    </row>
    <row r="120" customFormat="false" ht="15" hidden="false" customHeight="false" outlineLevel="0" collapsed="false">
      <c r="A120" s="69" t="s">
        <v>697</v>
      </c>
      <c r="B120" s="70"/>
      <c r="C120" s="70"/>
      <c r="D120" s="70"/>
      <c r="E120" s="70"/>
      <c r="F120" s="70"/>
      <c r="G120" s="70"/>
    </row>
    <row r="121" customFormat="false" ht="15" hidden="false" customHeight="false" outlineLevel="0" collapsed="false">
      <c r="A121" s="76" t="s">
        <v>698</v>
      </c>
      <c r="B121" s="76" t="s">
        <v>699</v>
      </c>
      <c r="C121" s="76" t="s">
        <v>700</v>
      </c>
      <c r="D121" s="76" t="s">
        <v>701</v>
      </c>
      <c r="E121" s="76" t="s">
        <v>702</v>
      </c>
      <c r="F121" s="3"/>
      <c r="G121" s="3"/>
    </row>
    <row r="122" customFormat="false" ht="15" hidden="false" customHeight="false" outlineLevel="0" collapsed="false">
      <c r="A122" s="34" t="n">
        <v>1</v>
      </c>
      <c r="B122" s="77" t="n">
        <f aca="false">IF(AND(ISNUMBER(cac),cac&gt;0,ISNUMBER(gp30),growthCash&lt;&gt;"",reinvestShare&lt;&gt;"",capacity&lt;&gt;""),growthCash,0)</f>
        <v>8000</v>
      </c>
      <c r="C122" s="78" t="n">
        <f aca="false">IF(AND(ISNUMBER(cac),cac&gt;0,ISNUMBER(gp30),growthCash&lt;&gt;"",reinvestShare&lt;&gt;"",capacity&lt;&gt;""),MIN(capacity,B122/cac),0)</f>
        <v>53.3333333333333</v>
      </c>
      <c r="D122" s="78" t="n">
        <f aca="false">IF(AND(ISNUMBER(cac),cac&gt;0,ISNUMBER(gp30),growthCash&lt;&gt;"",reinvestShare&lt;&gt;"",capacity&lt;&gt;""),MIN(capacity,growthCash/cac),0)</f>
        <v>53.3333333333333</v>
      </c>
      <c r="E122" s="79" t="n">
        <f aca="false">IF(capacity="",0,capacity)</f>
        <v>80</v>
      </c>
      <c r="F122" s="3"/>
      <c r="G122" s="3"/>
    </row>
    <row r="123" customFormat="false" ht="15" hidden="false" customHeight="false" outlineLevel="0" collapsed="false">
      <c r="A123" s="34" t="n">
        <v>2</v>
      </c>
      <c r="B123" s="77" t="n">
        <f aca="false">IF(AND(ISNUMBER(cac),cac&gt;0,ISNUMBER(gp30),growthCash&lt;&gt;"",reinvestShare&lt;&gt;"",capacity&lt;&gt;""),growthCash+reinvestShare*gp30*C122,0)</f>
        <v>27077.3333333333</v>
      </c>
      <c r="C123" s="78" t="n">
        <f aca="false">IF(AND(ISNUMBER(cac),cac&gt;0,ISNUMBER(gp30),growthCash&lt;&gt;"",reinvestShare&lt;&gt;"",capacity&lt;&gt;""),MIN(capacity,B123/cac),0)</f>
        <v>80</v>
      </c>
      <c r="D123" s="78" t="n">
        <f aca="false">IF(AND(ISNUMBER(cac),cac&gt;0,ISNUMBER(gp30),growthCash&lt;&gt;"",reinvestShare&lt;&gt;"",capacity&lt;&gt;""),MIN(capacity,growthCash/cac),0)</f>
        <v>53.3333333333333</v>
      </c>
      <c r="E123" s="79" t="n">
        <f aca="false">IF(capacity="",0,capacity)</f>
        <v>80</v>
      </c>
      <c r="F123" s="3"/>
      <c r="G123" s="3"/>
    </row>
    <row r="124" customFormat="false" ht="15" hidden="false" customHeight="false" outlineLevel="0" collapsed="false">
      <c r="A124" s="34" t="n">
        <v>3</v>
      </c>
      <c r="B124" s="77" t="n">
        <f aca="false">IF(AND(ISNUMBER(cac),cac&gt;0,ISNUMBER(gp30),growthCash&lt;&gt;"",reinvestShare&lt;&gt;"",capacity&lt;&gt;""),growthCash+reinvestShare*gp30*C123,0)</f>
        <v>36616</v>
      </c>
      <c r="C124" s="78" t="n">
        <f aca="false">IF(AND(ISNUMBER(cac),cac&gt;0,ISNUMBER(gp30),growthCash&lt;&gt;"",reinvestShare&lt;&gt;"",capacity&lt;&gt;""),MIN(capacity,B124/cac),0)</f>
        <v>80</v>
      </c>
      <c r="D124" s="78" t="n">
        <f aca="false">IF(AND(ISNUMBER(cac),cac&gt;0,ISNUMBER(gp30),growthCash&lt;&gt;"",reinvestShare&lt;&gt;"",capacity&lt;&gt;""),MIN(capacity,growthCash/cac),0)</f>
        <v>53.3333333333333</v>
      </c>
      <c r="E124" s="79" t="n">
        <f aca="false">IF(capacity="",0,capacity)</f>
        <v>80</v>
      </c>
      <c r="F124" s="3"/>
      <c r="G124" s="3"/>
    </row>
    <row r="125" customFormat="false" ht="15" hidden="false" customHeight="false" outlineLevel="0" collapsed="false">
      <c r="A125" s="34" t="n">
        <v>4</v>
      </c>
      <c r="B125" s="77" t="n">
        <f aca="false">IF(AND(ISNUMBER(cac),cac&gt;0,ISNUMBER(gp30),growthCash&lt;&gt;"",reinvestShare&lt;&gt;"",capacity&lt;&gt;""),growthCash+reinvestShare*gp30*C124,0)</f>
        <v>36616</v>
      </c>
      <c r="C125" s="78" t="n">
        <f aca="false">IF(AND(ISNUMBER(cac),cac&gt;0,ISNUMBER(gp30),growthCash&lt;&gt;"",reinvestShare&lt;&gt;"",capacity&lt;&gt;""),MIN(capacity,B125/cac),0)</f>
        <v>80</v>
      </c>
      <c r="D125" s="78" t="n">
        <f aca="false">IF(AND(ISNUMBER(cac),cac&gt;0,ISNUMBER(gp30),growthCash&lt;&gt;"",reinvestShare&lt;&gt;"",capacity&lt;&gt;""),MIN(capacity,growthCash/cac),0)</f>
        <v>53.3333333333333</v>
      </c>
      <c r="E125" s="79" t="n">
        <f aca="false">IF(capacity="",0,capacity)</f>
        <v>80</v>
      </c>
      <c r="F125" s="3"/>
      <c r="G125" s="3"/>
    </row>
    <row r="126" customFormat="false" ht="15" hidden="false" customHeight="false" outlineLevel="0" collapsed="false">
      <c r="A126" s="34" t="n">
        <v>5</v>
      </c>
      <c r="B126" s="77" t="n">
        <f aca="false">IF(AND(ISNUMBER(cac),cac&gt;0,ISNUMBER(gp30),growthCash&lt;&gt;"",reinvestShare&lt;&gt;"",capacity&lt;&gt;""),growthCash+reinvestShare*gp30*C125,0)</f>
        <v>36616</v>
      </c>
      <c r="C126" s="78" t="n">
        <f aca="false">IF(AND(ISNUMBER(cac),cac&gt;0,ISNUMBER(gp30),growthCash&lt;&gt;"",reinvestShare&lt;&gt;"",capacity&lt;&gt;""),MIN(capacity,B126/cac),0)</f>
        <v>80</v>
      </c>
      <c r="D126" s="78" t="n">
        <f aca="false">IF(AND(ISNUMBER(cac),cac&gt;0,ISNUMBER(gp30),growthCash&lt;&gt;"",reinvestShare&lt;&gt;"",capacity&lt;&gt;""),MIN(capacity,growthCash/cac),0)</f>
        <v>53.3333333333333</v>
      </c>
      <c r="E126" s="79" t="n">
        <f aca="false">IF(capacity="",0,capacity)</f>
        <v>80</v>
      </c>
      <c r="F126" s="3"/>
      <c r="G126" s="3"/>
    </row>
    <row r="127" customFormat="false" ht="15" hidden="false" customHeight="false" outlineLevel="0" collapsed="false">
      <c r="A127" s="34" t="n">
        <v>6</v>
      </c>
      <c r="B127" s="77" t="n">
        <f aca="false">IF(AND(ISNUMBER(cac),cac&gt;0,ISNUMBER(gp30),growthCash&lt;&gt;"",reinvestShare&lt;&gt;"",capacity&lt;&gt;""),growthCash+reinvestShare*gp30*C126,0)</f>
        <v>36616</v>
      </c>
      <c r="C127" s="78" t="n">
        <f aca="false">IF(AND(ISNUMBER(cac),cac&gt;0,ISNUMBER(gp30),growthCash&lt;&gt;"",reinvestShare&lt;&gt;"",capacity&lt;&gt;""),MIN(capacity,B127/cac),0)</f>
        <v>80</v>
      </c>
      <c r="D127" s="78" t="n">
        <f aca="false">IF(AND(ISNUMBER(cac),cac&gt;0,ISNUMBER(gp30),growthCash&lt;&gt;"",reinvestShare&lt;&gt;"",capacity&lt;&gt;""),MIN(capacity,growthCash/cac),0)</f>
        <v>53.3333333333333</v>
      </c>
      <c r="E127" s="79" t="n">
        <f aca="false">IF(capacity="",0,capacity)</f>
        <v>80</v>
      </c>
      <c r="F127" s="3"/>
      <c r="G127" s="3"/>
    </row>
    <row r="128" customFormat="false" ht="15" hidden="false" customHeight="false" outlineLevel="0" collapsed="false">
      <c r="A128" s="34" t="n">
        <v>7</v>
      </c>
      <c r="B128" s="77" t="n">
        <f aca="false">IF(AND(ISNUMBER(cac),cac&gt;0,ISNUMBER(gp30),growthCash&lt;&gt;"",reinvestShare&lt;&gt;"",capacity&lt;&gt;""),growthCash+reinvestShare*gp30*C127,0)</f>
        <v>36616</v>
      </c>
      <c r="C128" s="78" t="n">
        <f aca="false">IF(AND(ISNUMBER(cac),cac&gt;0,ISNUMBER(gp30),growthCash&lt;&gt;"",reinvestShare&lt;&gt;"",capacity&lt;&gt;""),MIN(capacity,B128/cac),0)</f>
        <v>80</v>
      </c>
      <c r="D128" s="78" t="n">
        <f aca="false">IF(AND(ISNUMBER(cac),cac&gt;0,ISNUMBER(gp30),growthCash&lt;&gt;"",reinvestShare&lt;&gt;"",capacity&lt;&gt;""),MIN(capacity,growthCash/cac),0)</f>
        <v>53.3333333333333</v>
      </c>
      <c r="E128" s="79" t="n">
        <f aca="false">IF(capacity="",0,capacity)</f>
        <v>80</v>
      </c>
      <c r="F128" s="3"/>
      <c r="G128" s="3"/>
    </row>
    <row r="129" customFormat="false" ht="15" hidden="false" customHeight="false" outlineLevel="0" collapsed="false">
      <c r="A129" s="34" t="n">
        <v>8</v>
      </c>
      <c r="B129" s="77" t="n">
        <f aca="false">IF(AND(ISNUMBER(cac),cac&gt;0,ISNUMBER(gp30),growthCash&lt;&gt;"",reinvestShare&lt;&gt;"",capacity&lt;&gt;""),growthCash+reinvestShare*gp30*C128,0)</f>
        <v>36616</v>
      </c>
      <c r="C129" s="78" t="n">
        <f aca="false">IF(AND(ISNUMBER(cac),cac&gt;0,ISNUMBER(gp30),growthCash&lt;&gt;"",reinvestShare&lt;&gt;"",capacity&lt;&gt;""),MIN(capacity,B129/cac),0)</f>
        <v>80</v>
      </c>
      <c r="D129" s="78" t="n">
        <f aca="false">IF(AND(ISNUMBER(cac),cac&gt;0,ISNUMBER(gp30),growthCash&lt;&gt;"",reinvestShare&lt;&gt;"",capacity&lt;&gt;""),MIN(capacity,growthCash/cac),0)</f>
        <v>53.3333333333333</v>
      </c>
      <c r="E129" s="79" t="n">
        <f aca="false">IF(capacity="",0,capacity)</f>
        <v>80</v>
      </c>
      <c r="F129" s="3"/>
      <c r="G129" s="3"/>
    </row>
    <row r="130" customFormat="false" ht="15" hidden="false" customHeight="false" outlineLevel="0" collapsed="false">
      <c r="A130" s="34" t="n">
        <v>9</v>
      </c>
      <c r="B130" s="77" t="n">
        <f aca="false">IF(AND(ISNUMBER(cac),cac&gt;0,ISNUMBER(gp30),growthCash&lt;&gt;"",reinvestShare&lt;&gt;"",capacity&lt;&gt;""),growthCash+reinvestShare*gp30*C129,0)</f>
        <v>36616</v>
      </c>
      <c r="C130" s="78" t="n">
        <f aca="false">IF(AND(ISNUMBER(cac),cac&gt;0,ISNUMBER(gp30),growthCash&lt;&gt;"",reinvestShare&lt;&gt;"",capacity&lt;&gt;""),MIN(capacity,B130/cac),0)</f>
        <v>80</v>
      </c>
      <c r="D130" s="78" t="n">
        <f aca="false">IF(AND(ISNUMBER(cac),cac&gt;0,ISNUMBER(gp30),growthCash&lt;&gt;"",reinvestShare&lt;&gt;"",capacity&lt;&gt;""),MIN(capacity,growthCash/cac),0)</f>
        <v>53.3333333333333</v>
      </c>
      <c r="E130" s="79" t="n">
        <f aca="false">IF(capacity="",0,capacity)</f>
        <v>80</v>
      </c>
      <c r="F130" s="3"/>
      <c r="G130" s="3"/>
    </row>
    <row r="131" customFormat="false" ht="15" hidden="false" customHeight="false" outlineLevel="0" collapsed="false">
      <c r="A131" s="34" t="n">
        <v>10</v>
      </c>
      <c r="B131" s="77" t="n">
        <f aca="false">IF(AND(ISNUMBER(cac),cac&gt;0,ISNUMBER(gp30),growthCash&lt;&gt;"",reinvestShare&lt;&gt;"",capacity&lt;&gt;""),growthCash+reinvestShare*gp30*C130,0)</f>
        <v>36616</v>
      </c>
      <c r="C131" s="78" t="n">
        <f aca="false">IF(AND(ISNUMBER(cac),cac&gt;0,ISNUMBER(gp30),growthCash&lt;&gt;"",reinvestShare&lt;&gt;"",capacity&lt;&gt;""),MIN(capacity,B131/cac),0)</f>
        <v>80</v>
      </c>
      <c r="D131" s="78" t="n">
        <f aca="false">IF(AND(ISNUMBER(cac),cac&gt;0,ISNUMBER(gp30),growthCash&lt;&gt;"",reinvestShare&lt;&gt;"",capacity&lt;&gt;""),MIN(capacity,growthCash/cac),0)</f>
        <v>53.3333333333333</v>
      </c>
      <c r="E131" s="79" t="n">
        <f aca="false">IF(capacity="",0,capacity)</f>
        <v>80</v>
      </c>
      <c r="F131" s="3"/>
      <c r="G131" s="3"/>
    </row>
    <row r="132" customFormat="false" ht="15" hidden="false" customHeight="false" outlineLevel="0" collapsed="false">
      <c r="A132" s="34" t="n">
        <v>11</v>
      </c>
      <c r="B132" s="77" t="n">
        <f aca="false">IF(AND(ISNUMBER(cac),cac&gt;0,ISNUMBER(gp30),growthCash&lt;&gt;"",reinvestShare&lt;&gt;"",capacity&lt;&gt;""),growthCash+reinvestShare*gp30*C131,0)</f>
        <v>36616</v>
      </c>
      <c r="C132" s="78" t="n">
        <f aca="false">IF(AND(ISNUMBER(cac),cac&gt;0,ISNUMBER(gp30),growthCash&lt;&gt;"",reinvestShare&lt;&gt;"",capacity&lt;&gt;""),MIN(capacity,B132/cac),0)</f>
        <v>80</v>
      </c>
      <c r="D132" s="78" t="n">
        <f aca="false">IF(AND(ISNUMBER(cac),cac&gt;0,ISNUMBER(gp30),growthCash&lt;&gt;"",reinvestShare&lt;&gt;"",capacity&lt;&gt;""),MIN(capacity,growthCash/cac),0)</f>
        <v>53.3333333333333</v>
      </c>
      <c r="E132" s="79" t="n">
        <f aca="false">IF(capacity="",0,capacity)</f>
        <v>80</v>
      </c>
      <c r="F132" s="3"/>
      <c r="G132" s="3"/>
    </row>
    <row r="133" customFormat="false" ht="15" hidden="false" customHeight="false" outlineLevel="0" collapsed="false">
      <c r="A133" s="34" t="n">
        <v>12</v>
      </c>
      <c r="B133" s="77" t="n">
        <f aca="false">IF(AND(ISNUMBER(cac),cac&gt;0,ISNUMBER(gp30),growthCash&lt;&gt;"",reinvestShare&lt;&gt;"",capacity&lt;&gt;""),growthCash+reinvestShare*gp30*C132,0)</f>
        <v>36616</v>
      </c>
      <c r="C133" s="78" t="n">
        <f aca="false">IF(AND(ISNUMBER(cac),cac&gt;0,ISNUMBER(gp30),growthCash&lt;&gt;"",reinvestShare&lt;&gt;"",capacity&lt;&gt;""),MIN(capacity,B133/cac),0)</f>
        <v>80</v>
      </c>
      <c r="D133" s="78" t="n">
        <f aca="false">IF(AND(ISNUMBER(cac),cac&gt;0,ISNUMBER(gp30),growthCash&lt;&gt;"",reinvestShare&lt;&gt;"",capacity&lt;&gt;""),MIN(capacity,growthCash/cac),0)</f>
        <v>53.3333333333333</v>
      </c>
      <c r="E133" s="79" t="n">
        <f aca="false">IF(capacity="",0,capacity)</f>
        <v>80</v>
      </c>
      <c r="F133" s="3"/>
      <c r="G133" s="3"/>
    </row>
    <row r="134" customFormat="false" ht="15" hidden="false" customHeight="false" outlineLevel="0" collapsed="false">
      <c r="A134" s="3"/>
      <c r="B134" s="3"/>
      <c r="C134" s="3"/>
      <c r="D134" s="3"/>
      <c r="E134" s="3"/>
      <c r="F134" s="3"/>
      <c r="G134" s="3"/>
    </row>
    <row r="135" customFormat="false" ht="15" hidden="false" customHeight="false" outlineLevel="0" collapsed="false">
      <c r="A135" s="3"/>
      <c r="B135" s="3"/>
      <c r="C135" s="3"/>
      <c r="D135" s="3"/>
      <c r="E135" s="3"/>
      <c r="F135" s="3"/>
      <c r="G135" s="3"/>
    </row>
    <row r="136" customFormat="false" ht="15" hidden="false" customHeight="false" outlineLevel="0" collapsed="false">
      <c r="A136" s="3"/>
      <c r="B136" s="3"/>
      <c r="C136" s="3"/>
      <c r="D136" s="3"/>
      <c r="E136" s="3"/>
      <c r="F136" s="3"/>
      <c r="G136" s="3"/>
    </row>
    <row r="137" customFormat="false" ht="15" hidden="false" customHeight="false" outlineLevel="0" collapsed="false">
      <c r="A137" s="3"/>
      <c r="B137" s="3"/>
      <c r="C137" s="3"/>
      <c r="D137" s="3"/>
      <c r="E137" s="3"/>
      <c r="F137" s="3"/>
      <c r="G137" s="3"/>
    </row>
    <row r="138" customFormat="false" ht="15" hidden="false" customHeight="false" outlineLevel="0" collapsed="false">
      <c r="A138" s="3"/>
      <c r="B138" s="3"/>
      <c r="C138" s="3"/>
      <c r="D138" s="3"/>
      <c r="E138" s="3"/>
      <c r="F138" s="3"/>
      <c r="G138" s="3"/>
    </row>
    <row r="139" customFormat="false" ht="15" hidden="false" customHeight="false" outlineLevel="0" collapsed="false">
      <c r="A139" s="3"/>
      <c r="B139" s="3"/>
      <c r="C139" s="3"/>
      <c r="D139" s="3"/>
      <c r="E139" s="3"/>
      <c r="F139" s="3"/>
      <c r="G139" s="3"/>
    </row>
    <row r="140" customFormat="false" ht="15" hidden="false" customHeight="false" outlineLevel="0" collapsed="false">
      <c r="A140" s="69" t="s">
        <v>703</v>
      </c>
      <c r="B140" s="70"/>
      <c r="C140" s="70"/>
      <c r="D140" s="70"/>
      <c r="E140" s="70"/>
      <c r="F140" s="70"/>
      <c r="G140" s="70"/>
    </row>
    <row r="141" customFormat="false" ht="15" hidden="false" customHeight="false" outlineLevel="0" collapsed="false">
      <c r="A141" s="76" t="s">
        <v>698</v>
      </c>
      <c r="B141" s="76" t="s">
        <v>704</v>
      </c>
      <c r="C141" s="3"/>
      <c r="D141" s="3"/>
      <c r="E141" s="3"/>
      <c r="F141" s="3"/>
      <c r="G141" s="3"/>
    </row>
    <row r="142" customFormat="false" ht="15" hidden="false" customHeight="false" outlineLevel="0" collapsed="false">
      <c r="A142" s="34" t="n">
        <v>0</v>
      </c>
      <c r="B142" s="78" t="n">
        <f aca="false">IF(churn="",0,100*(1-churn)^0)</f>
        <v>100</v>
      </c>
      <c r="C142" s="3"/>
      <c r="D142" s="3"/>
      <c r="E142" s="3"/>
      <c r="F142" s="3"/>
      <c r="G142" s="3"/>
    </row>
    <row r="143" customFormat="false" ht="15" hidden="false" customHeight="false" outlineLevel="0" collapsed="false">
      <c r="A143" s="34" t="n">
        <v>1</v>
      </c>
      <c r="B143" s="78" t="n">
        <f aca="false">IF(churn="",0,100*(1-churn)^1)</f>
        <v>92</v>
      </c>
      <c r="C143" s="3"/>
      <c r="D143" s="3"/>
      <c r="E143" s="3"/>
      <c r="F143" s="3"/>
      <c r="G143" s="3"/>
    </row>
    <row r="144" customFormat="false" ht="15" hidden="false" customHeight="false" outlineLevel="0" collapsed="false">
      <c r="A144" s="34" t="n">
        <v>2</v>
      </c>
      <c r="B144" s="78" t="n">
        <f aca="false">IF(churn="",0,100*(1-churn)^2)</f>
        <v>84.64</v>
      </c>
      <c r="C144" s="3"/>
      <c r="D144" s="3"/>
      <c r="E144" s="3"/>
      <c r="F144" s="3"/>
      <c r="G144" s="3"/>
    </row>
    <row r="145" customFormat="false" ht="15" hidden="false" customHeight="false" outlineLevel="0" collapsed="false">
      <c r="A145" s="34" t="n">
        <v>3</v>
      </c>
      <c r="B145" s="78" t="n">
        <f aca="false">IF(churn="",0,100*(1-churn)^3)</f>
        <v>77.8688</v>
      </c>
      <c r="C145" s="3"/>
      <c r="D145" s="3"/>
      <c r="E145" s="3"/>
      <c r="F145" s="3"/>
      <c r="G145" s="3"/>
    </row>
    <row r="146" customFormat="false" ht="15" hidden="false" customHeight="false" outlineLevel="0" collapsed="false">
      <c r="A146" s="34" t="n">
        <v>4</v>
      </c>
      <c r="B146" s="78" t="n">
        <f aca="false">IF(churn="",0,100*(1-churn)^4)</f>
        <v>71.639296</v>
      </c>
      <c r="C146" s="3"/>
      <c r="D146" s="3"/>
      <c r="E146" s="3"/>
      <c r="F146" s="3"/>
      <c r="G146" s="3"/>
    </row>
    <row r="147" customFormat="false" ht="15" hidden="false" customHeight="false" outlineLevel="0" collapsed="false">
      <c r="A147" s="34" t="n">
        <v>5</v>
      </c>
      <c r="B147" s="78" t="n">
        <f aca="false">IF(churn="",0,100*(1-churn)^5)</f>
        <v>65.90815232</v>
      </c>
      <c r="C147" s="3"/>
      <c r="D147" s="3"/>
      <c r="E147" s="3"/>
      <c r="F147" s="3"/>
      <c r="G147" s="3"/>
    </row>
    <row r="148" customFormat="false" ht="15" hidden="false" customHeight="false" outlineLevel="0" collapsed="false">
      <c r="A148" s="34" t="n">
        <v>6</v>
      </c>
      <c r="B148" s="78" t="n">
        <f aca="false">IF(churn="",0,100*(1-churn)^6)</f>
        <v>60.6355001344</v>
      </c>
      <c r="C148" s="3"/>
      <c r="D148" s="3"/>
      <c r="E148" s="3"/>
      <c r="F148" s="3"/>
      <c r="G148" s="3"/>
    </row>
    <row r="149" customFormat="false" ht="15" hidden="false" customHeight="false" outlineLevel="0" collapsed="false">
      <c r="A149" s="34" t="n">
        <v>7</v>
      </c>
      <c r="B149" s="78" t="n">
        <f aca="false">IF(churn="",0,100*(1-churn)^7)</f>
        <v>55.784660123648</v>
      </c>
      <c r="C149" s="3"/>
      <c r="D149" s="3"/>
      <c r="E149" s="3"/>
      <c r="F149" s="3"/>
      <c r="G149" s="3"/>
    </row>
    <row r="150" customFormat="false" ht="15" hidden="false" customHeight="false" outlineLevel="0" collapsed="false">
      <c r="A150" s="34" t="n">
        <v>8</v>
      </c>
      <c r="B150" s="78" t="n">
        <f aca="false">IF(churn="",0,100*(1-churn)^8)</f>
        <v>51.3218873137562</v>
      </c>
      <c r="C150" s="3"/>
      <c r="D150" s="3"/>
      <c r="E150" s="3"/>
      <c r="F150" s="3"/>
      <c r="G150" s="3"/>
    </row>
    <row r="151" customFormat="false" ht="15" hidden="false" customHeight="false" outlineLevel="0" collapsed="false">
      <c r="A151" s="34" t="n">
        <v>9</v>
      </c>
      <c r="B151" s="78" t="n">
        <f aca="false">IF(churn="",0,100*(1-churn)^9)</f>
        <v>47.2161363286557</v>
      </c>
      <c r="C151" s="3"/>
      <c r="D151" s="3"/>
      <c r="E151" s="3"/>
      <c r="F151" s="3"/>
      <c r="G151" s="3"/>
    </row>
    <row r="152" customFormat="false" ht="15" hidden="false" customHeight="false" outlineLevel="0" collapsed="false">
      <c r="A152" s="34" t="n">
        <v>10</v>
      </c>
      <c r="B152" s="78" t="n">
        <f aca="false">IF(churn="",0,100*(1-churn)^10)</f>
        <v>43.4388454223632</v>
      </c>
      <c r="C152" s="3"/>
      <c r="D152" s="3"/>
      <c r="E152" s="3"/>
      <c r="F152" s="3"/>
      <c r="G152" s="3"/>
    </row>
    <row r="153" customFormat="false" ht="15" hidden="false" customHeight="false" outlineLevel="0" collapsed="false">
      <c r="A153" s="34" t="n">
        <v>11</v>
      </c>
      <c r="B153" s="78" t="n">
        <f aca="false">IF(churn="",0,100*(1-churn)^11)</f>
        <v>39.9637377885742</v>
      </c>
      <c r="C153" s="3"/>
      <c r="D153" s="3"/>
      <c r="E153" s="3"/>
      <c r="F153" s="3"/>
      <c r="G153" s="3"/>
    </row>
    <row r="154" customFormat="false" ht="15" hidden="false" customHeight="false" outlineLevel="0" collapsed="false">
      <c r="A154" s="34" t="n">
        <v>12</v>
      </c>
      <c r="B154" s="78" t="n">
        <f aca="false">IF(churn="",0,100*(1-churn)^12)</f>
        <v>36.7666387654882</v>
      </c>
      <c r="C154" s="3"/>
      <c r="D154" s="3"/>
      <c r="E154" s="3"/>
      <c r="F154" s="3"/>
      <c r="G154" s="3"/>
    </row>
    <row r="155" customFormat="false" ht="15" hidden="false" customHeight="false" outlineLevel="0" collapsed="false">
      <c r="A155" s="3"/>
      <c r="B155" s="3"/>
      <c r="C155" s="3"/>
      <c r="D155" s="3"/>
      <c r="E155" s="3"/>
      <c r="F155" s="3"/>
      <c r="G155" s="3"/>
    </row>
    <row r="156" customFormat="false" ht="15" hidden="false" customHeight="false" outlineLevel="0" collapsed="false">
      <c r="A156" s="3"/>
      <c r="B156" s="3"/>
      <c r="C156" s="3"/>
      <c r="D156" s="3"/>
      <c r="E156" s="3"/>
      <c r="F156" s="3"/>
      <c r="G156" s="3"/>
    </row>
    <row r="157" customFormat="false" ht="15" hidden="false" customHeight="false" outlineLevel="0" collapsed="false">
      <c r="A157" s="3"/>
      <c r="B157" s="3"/>
      <c r="C157" s="3"/>
      <c r="D157" s="3"/>
      <c r="E157" s="3"/>
      <c r="F157" s="3"/>
      <c r="G157" s="3"/>
    </row>
    <row r="158" customFormat="false" ht="15" hidden="false" customHeight="false" outlineLevel="0" collapsed="false">
      <c r="A158" s="3"/>
      <c r="B158" s="3"/>
      <c r="C158" s="3"/>
      <c r="D158" s="3"/>
      <c r="E158" s="3"/>
      <c r="F158" s="3"/>
      <c r="G158" s="3"/>
    </row>
    <row r="159" customFormat="false" ht="15" hidden="false" customHeight="false" outlineLevel="0" collapsed="false">
      <c r="A159" s="3"/>
      <c r="B159" s="3"/>
      <c r="C159" s="3"/>
      <c r="D159" s="3"/>
      <c r="E159" s="3"/>
      <c r="F159" s="3"/>
      <c r="G159" s="3"/>
    </row>
    <row r="160" customFormat="false" ht="15" hidden="false" customHeight="false" outlineLevel="0" collapsed="false">
      <c r="A160" s="69" t="s">
        <v>705</v>
      </c>
      <c r="B160" s="70"/>
      <c r="C160" s="70"/>
      <c r="D160" s="70"/>
      <c r="E160" s="70"/>
      <c r="F160" s="70"/>
      <c r="G160" s="70"/>
    </row>
    <row r="161" customFormat="false" ht="15" hidden="false" customHeight="false" outlineLevel="0" collapsed="false">
      <c r="A161" s="76" t="s">
        <v>706</v>
      </c>
      <c r="B161" s="76" t="s">
        <v>707</v>
      </c>
      <c r="C161" s="76" t="s">
        <v>685</v>
      </c>
      <c r="D161" s="76" t="s">
        <v>708</v>
      </c>
      <c r="E161" s="3"/>
      <c r="F161" s="3"/>
      <c r="G161" s="3"/>
    </row>
    <row r="162" customFormat="false" ht="15" hidden="false" customHeight="false" outlineLevel="0" collapsed="false">
      <c r="A162" s="34" t="n">
        <v>0</v>
      </c>
      <c r="B162" s="77" t="n">
        <f aca="false">IF(AND(ISNUMBER(attrGp),ISNUMBER(upExpected),ISNUMBER(downExpected),ISNUMBER(contMonth1),upWhen&lt;&gt;"",contFirstDays&lt;&gt;"",churn&lt;&gt;""),attrGp+IF(0&gt;=upWhen,upExpected+downExpected,0)+IF(0&gt;=contFirstDays+0,contMonth1*(1-churn)^0,0)+IF(0&gt;=contFirstDays+30,contMonth1*(1-churn)^1,0)+IF(0&gt;=contFirstDays+60,contMonth1*(1-churn)^2,0)+IF(0&gt;=contFirstDays+90,contMonth1*(1-churn)^3,0),0)</f>
        <v>380</v>
      </c>
      <c r="C162" s="77" t="n">
        <f aca="false">IF(ISNUMBER(cac),cac,0)</f>
        <v>150</v>
      </c>
      <c r="D162" s="34" t="n">
        <f aca="false">IF(AND(AND(ISNUMBER(attrGp),ISNUMBER(upExpected),ISNUMBER(downExpected),ISNUMBER(contMonth1),upWhen&lt;&gt;"",contFirstDays&lt;&gt;"",churn&lt;&gt;""),ISNUMBER(cac),B162&gt;=cac),A162,"")</f>
        <v>0</v>
      </c>
      <c r="E162" s="3"/>
      <c r="F162" s="3"/>
      <c r="G162" s="3"/>
    </row>
    <row r="163" customFormat="false" ht="15" hidden="false" customHeight="false" outlineLevel="0" collapsed="false">
      <c r="A163" s="34" t="n">
        <v>3</v>
      </c>
      <c r="B163" s="77" t="n">
        <f aca="false">IF(AND(ISNUMBER(attrGp),ISNUMBER(upExpected),ISNUMBER(downExpected),ISNUMBER(contMonth1),upWhen&lt;&gt;"",contFirstDays&lt;&gt;"",churn&lt;&gt;""),attrGp+IF(3&gt;=upWhen,upExpected+downExpected,0)+IF(3&gt;=contFirstDays+0,contMonth1*(1-churn)^0,0)+IF(3&gt;=contFirstDays+30,contMonth1*(1-churn)^1,0)+IF(3&gt;=contFirstDays+60,contMonth1*(1-churn)^2,0)+IF(3&gt;=contFirstDays+90,contMonth1*(1-churn)^3,0),0)</f>
        <v>650</v>
      </c>
      <c r="C163" s="77" t="n">
        <f aca="false">IF(ISNUMBER(cac),cac,0)</f>
        <v>150</v>
      </c>
      <c r="D163" s="34" t="n">
        <f aca="false">IF(AND(AND(ISNUMBER(attrGp),ISNUMBER(upExpected),ISNUMBER(downExpected),ISNUMBER(contMonth1),upWhen&lt;&gt;"",contFirstDays&lt;&gt;"",churn&lt;&gt;""),ISNUMBER(cac),B163&gt;=cac),A163,"")</f>
        <v>3</v>
      </c>
      <c r="E163" s="3"/>
      <c r="F163" s="3"/>
      <c r="G163" s="3"/>
    </row>
    <row r="164" customFormat="false" ht="15" hidden="false" customHeight="false" outlineLevel="0" collapsed="false">
      <c r="A164" s="34" t="n">
        <v>6</v>
      </c>
      <c r="B164" s="77" t="n">
        <f aca="false">IF(AND(ISNUMBER(attrGp),ISNUMBER(upExpected),ISNUMBER(downExpected),ISNUMBER(contMonth1),upWhen&lt;&gt;"",contFirstDays&lt;&gt;"",churn&lt;&gt;""),attrGp+IF(6&gt;=upWhen,upExpected+downExpected,0)+IF(6&gt;=contFirstDays+0,contMonth1*(1-churn)^0,0)+IF(6&gt;=contFirstDays+30,contMonth1*(1-churn)^1,0)+IF(6&gt;=contFirstDays+60,contMonth1*(1-churn)^2,0)+IF(6&gt;=contFirstDays+90,contMonth1*(1-churn)^3,0),0)</f>
        <v>650</v>
      </c>
      <c r="C164" s="77" t="n">
        <f aca="false">IF(ISNUMBER(cac),cac,0)</f>
        <v>150</v>
      </c>
      <c r="D164" s="34" t="n">
        <f aca="false">IF(AND(AND(ISNUMBER(attrGp),ISNUMBER(upExpected),ISNUMBER(downExpected),ISNUMBER(contMonth1),upWhen&lt;&gt;"",contFirstDays&lt;&gt;"",churn&lt;&gt;""),ISNUMBER(cac),B164&gt;=cac),A164,"")</f>
        <v>6</v>
      </c>
      <c r="E164" s="3"/>
      <c r="F164" s="3"/>
      <c r="G164" s="3"/>
    </row>
    <row r="165" customFormat="false" ht="15" hidden="false" customHeight="false" outlineLevel="0" collapsed="false">
      <c r="A165" s="34" t="n">
        <v>9</v>
      </c>
      <c r="B165" s="77" t="n">
        <f aca="false">IF(AND(ISNUMBER(attrGp),ISNUMBER(upExpected),ISNUMBER(downExpected),ISNUMBER(contMonth1),upWhen&lt;&gt;"",contFirstDays&lt;&gt;"",churn&lt;&gt;""),attrGp+IF(9&gt;=upWhen,upExpected+downExpected,0)+IF(9&gt;=contFirstDays+0,contMonth1*(1-churn)^0,0)+IF(9&gt;=contFirstDays+30,contMonth1*(1-churn)^1,0)+IF(9&gt;=contFirstDays+60,contMonth1*(1-churn)^2,0)+IF(9&gt;=contFirstDays+90,contMonth1*(1-churn)^3,0),0)</f>
        <v>650</v>
      </c>
      <c r="C165" s="77" t="n">
        <f aca="false">IF(ISNUMBER(cac),cac,0)</f>
        <v>150</v>
      </c>
      <c r="D165" s="34" t="n">
        <f aca="false">IF(AND(AND(ISNUMBER(attrGp),ISNUMBER(upExpected),ISNUMBER(downExpected),ISNUMBER(contMonth1),upWhen&lt;&gt;"",contFirstDays&lt;&gt;"",churn&lt;&gt;""),ISNUMBER(cac),B165&gt;=cac),A165,"")</f>
        <v>9</v>
      </c>
      <c r="E165" s="3"/>
      <c r="F165" s="3"/>
      <c r="G165" s="3"/>
    </row>
    <row r="166" customFormat="false" ht="15" hidden="false" customHeight="false" outlineLevel="0" collapsed="false">
      <c r="A166" s="34" t="n">
        <v>12</v>
      </c>
      <c r="B166" s="77" t="n">
        <f aca="false">IF(AND(ISNUMBER(attrGp),ISNUMBER(upExpected),ISNUMBER(downExpected),ISNUMBER(contMonth1),upWhen&lt;&gt;"",contFirstDays&lt;&gt;"",churn&lt;&gt;""),attrGp+IF(12&gt;=upWhen,upExpected+downExpected,0)+IF(12&gt;=contFirstDays+0,contMonth1*(1-churn)^0,0)+IF(12&gt;=contFirstDays+30,contMonth1*(1-churn)^1,0)+IF(12&gt;=contFirstDays+60,contMonth1*(1-churn)^2,0)+IF(12&gt;=contFirstDays+90,contMonth1*(1-churn)^3,0),0)</f>
        <v>650</v>
      </c>
      <c r="C166" s="77" t="n">
        <f aca="false">IF(ISNUMBER(cac),cac,0)</f>
        <v>150</v>
      </c>
      <c r="D166" s="34" t="n">
        <f aca="false">IF(AND(AND(ISNUMBER(attrGp),ISNUMBER(upExpected),ISNUMBER(downExpected),ISNUMBER(contMonth1),upWhen&lt;&gt;"",contFirstDays&lt;&gt;"",churn&lt;&gt;""),ISNUMBER(cac),B166&gt;=cac),A166,"")</f>
        <v>12</v>
      </c>
      <c r="E166" s="3"/>
      <c r="F166" s="3"/>
      <c r="G166" s="3"/>
    </row>
    <row r="167" customFormat="false" ht="15" hidden="false" customHeight="false" outlineLevel="0" collapsed="false">
      <c r="A167" s="34" t="n">
        <v>15</v>
      </c>
      <c r="B167" s="77" t="n">
        <f aca="false">IF(AND(ISNUMBER(attrGp),ISNUMBER(upExpected),ISNUMBER(downExpected),ISNUMBER(contMonth1),upWhen&lt;&gt;"",contFirstDays&lt;&gt;"",churn&lt;&gt;""),attrGp+IF(15&gt;=upWhen,upExpected+downExpected,0)+IF(15&gt;=contFirstDays+0,contMonth1*(1-churn)^0,0)+IF(15&gt;=contFirstDays+30,contMonth1*(1-churn)^1,0)+IF(15&gt;=contFirstDays+60,contMonth1*(1-churn)^2,0)+IF(15&gt;=contFirstDays+90,contMonth1*(1-churn)^3,0),0)</f>
        <v>650</v>
      </c>
      <c r="C167" s="77" t="n">
        <f aca="false">IF(ISNUMBER(cac),cac,0)</f>
        <v>150</v>
      </c>
      <c r="D167" s="34" t="n">
        <f aca="false">IF(AND(AND(ISNUMBER(attrGp),ISNUMBER(upExpected),ISNUMBER(downExpected),ISNUMBER(contMonth1),upWhen&lt;&gt;"",contFirstDays&lt;&gt;"",churn&lt;&gt;""),ISNUMBER(cac),B167&gt;=cac),A167,"")</f>
        <v>15</v>
      </c>
      <c r="E167" s="3"/>
      <c r="F167" s="3"/>
      <c r="G167" s="3"/>
    </row>
    <row r="168" customFormat="false" ht="15" hidden="false" customHeight="false" outlineLevel="0" collapsed="false">
      <c r="A168" s="34" t="n">
        <v>18</v>
      </c>
      <c r="B168" s="77" t="n">
        <f aca="false">IF(AND(ISNUMBER(attrGp),ISNUMBER(upExpected),ISNUMBER(downExpected),ISNUMBER(contMonth1),upWhen&lt;&gt;"",contFirstDays&lt;&gt;"",churn&lt;&gt;""),attrGp+IF(18&gt;=upWhen,upExpected+downExpected,0)+IF(18&gt;=contFirstDays+0,contMonth1*(1-churn)^0,0)+IF(18&gt;=contFirstDays+30,contMonth1*(1-churn)^1,0)+IF(18&gt;=contFirstDays+60,contMonth1*(1-churn)^2,0)+IF(18&gt;=contFirstDays+90,contMonth1*(1-churn)^3,0),0)</f>
        <v>650</v>
      </c>
      <c r="C168" s="77" t="n">
        <f aca="false">IF(ISNUMBER(cac),cac,0)</f>
        <v>150</v>
      </c>
      <c r="D168" s="34" t="n">
        <f aca="false">IF(AND(AND(ISNUMBER(attrGp),ISNUMBER(upExpected),ISNUMBER(downExpected),ISNUMBER(contMonth1),upWhen&lt;&gt;"",contFirstDays&lt;&gt;"",churn&lt;&gt;""),ISNUMBER(cac),B168&gt;=cac),A168,"")</f>
        <v>18</v>
      </c>
      <c r="E168" s="3"/>
      <c r="F168" s="3"/>
      <c r="G168" s="3"/>
    </row>
    <row r="169" customFormat="false" ht="15" hidden="false" customHeight="false" outlineLevel="0" collapsed="false">
      <c r="A169" s="34" t="n">
        <v>21</v>
      </c>
      <c r="B169" s="77" t="n">
        <f aca="false">IF(AND(ISNUMBER(attrGp),ISNUMBER(upExpected),ISNUMBER(downExpected),ISNUMBER(contMonth1),upWhen&lt;&gt;"",contFirstDays&lt;&gt;"",churn&lt;&gt;""),attrGp+IF(21&gt;=upWhen,upExpected+downExpected,0)+IF(21&gt;=contFirstDays+0,contMonth1*(1-churn)^0,0)+IF(21&gt;=contFirstDays+30,contMonth1*(1-churn)^1,0)+IF(21&gt;=contFirstDays+60,contMonth1*(1-churn)^2,0)+IF(21&gt;=contFirstDays+90,contMonth1*(1-churn)^3,0),0)</f>
        <v>650</v>
      </c>
      <c r="C169" s="77" t="n">
        <f aca="false">IF(ISNUMBER(cac),cac,0)</f>
        <v>150</v>
      </c>
      <c r="D169" s="34" t="n">
        <f aca="false">IF(AND(AND(ISNUMBER(attrGp),ISNUMBER(upExpected),ISNUMBER(downExpected),ISNUMBER(contMonth1),upWhen&lt;&gt;"",contFirstDays&lt;&gt;"",churn&lt;&gt;""),ISNUMBER(cac),B169&gt;=cac),A169,"")</f>
        <v>21</v>
      </c>
      <c r="E169" s="3"/>
      <c r="F169" s="3"/>
      <c r="G169" s="3"/>
    </row>
    <row r="170" customFormat="false" ht="15" hidden="false" customHeight="false" outlineLevel="0" collapsed="false">
      <c r="A170" s="34" t="n">
        <v>24</v>
      </c>
      <c r="B170" s="77" t="n">
        <f aca="false">IF(AND(ISNUMBER(attrGp),ISNUMBER(upExpected),ISNUMBER(downExpected),ISNUMBER(contMonth1),upWhen&lt;&gt;"",contFirstDays&lt;&gt;"",churn&lt;&gt;""),attrGp+IF(24&gt;=upWhen,upExpected+downExpected,0)+IF(24&gt;=contFirstDays+0,contMonth1*(1-churn)^0,0)+IF(24&gt;=contFirstDays+30,contMonth1*(1-churn)^1,0)+IF(24&gt;=contFirstDays+60,contMonth1*(1-churn)^2,0)+IF(24&gt;=contFirstDays+90,contMonth1*(1-churn)^3,0),0)</f>
        <v>650</v>
      </c>
      <c r="C170" s="77" t="n">
        <f aca="false">IF(ISNUMBER(cac),cac,0)</f>
        <v>150</v>
      </c>
      <c r="D170" s="34" t="n">
        <f aca="false">IF(AND(AND(ISNUMBER(attrGp),ISNUMBER(upExpected),ISNUMBER(downExpected),ISNUMBER(contMonth1),upWhen&lt;&gt;"",contFirstDays&lt;&gt;"",churn&lt;&gt;""),ISNUMBER(cac),B170&gt;=cac),A170,"")</f>
        <v>24</v>
      </c>
      <c r="E170" s="3"/>
      <c r="F170" s="3"/>
      <c r="G170" s="3"/>
    </row>
    <row r="171" customFormat="false" ht="15" hidden="false" customHeight="false" outlineLevel="0" collapsed="false">
      <c r="A171" s="34" t="n">
        <v>27</v>
      </c>
      <c r="B171" s="77" t="n">
        <f aca="false">IF(AND(ISNUMBER(attrGp),ISNUMBER(upExpected),ISNUMBER(downExpected),ISNUMBER(contMonth1),upWhen&lt;&gt;"",contFirstDays&lt;&gt;"",churn&lt;&gt;""),attrGp+IF(27&gt;=upWhen,upExpected+downExpected,0)+IF(27&gt;=contFirstDays+0,contMonth1*(1-churn)^0,0)+IF(27&gt;=contFirstDays+30,contMonth1*(1-churn)^1,0)+IF(27&gt;=contFirstDays+60,contMonth1*(1-churn)^2,0)+IF(27&gt;=contFirstDays+90,contMonth1*(1-churn)^3,0),0)</f>
        <v>650</v>
      </c>
      <c r="C171" s="77" t="n">
        <f aca="false">IF(ISNUMBER(cac),cac,0)</f>
        <v>150</v>
      </c>
      <c r="D171" s="34" t="n">
        <f aca="false">IF(AND(AND(ISNUMBER(attrGp),ISNUMBER(upExpected),ISNUMBER(downExpected),ISNUMBER(contMonth1),upWhen&lt;&gt;"",contFirstDays&lt;&gt;"",churn&lt;&gt;""),ISNUMBER(cac),B171&gt;=cac),A171,"")</f>
        <v>27</v>
      </c>
      <c r="E171" s="3"/>
      <c r="F171" s="3"/>
      <c r="G171" s="3"/>
    </row>
    <row r="172" customFormat="false" ht="15" hidden="false" customHeight="false" outlineLevel="0" collapsed="false">
      <c r="A172" s="34" t="n">
        <v>30</v>
      </c>
      <c r="B172" s="77" t="n">
        <f aca="false">IF(AND(ISNUMBER(attrGp),ISNUMBER(upExpected),ISNUMBER(downExpected),ISNUMBER(contMonth1),upWhen&lt;&gt;"",contFirstDays&lt;&gt;"",churn&lt;&gt;""),attrGp+IF(30&gt;=upWhen,upExpected+downExpected,0)+IF(30&gt;=contFirstDays+0,contMonth1*(1-churn)^0,0)+IF(30&gt;=contFirstDays+30,contMonth1*(1-churn)^1,0)+IF(30&gt;=contFirstDays+60,contMonth1*(1-churn)^2,0)+IF(30&gt;=contFirstDays+90,contMonth1*(1-churn)^3,0),0)</f>
        <v>650</v>
      </c>
      <c r="C172" s="77" t="n">
        <f aca="false">IF(ISNUMBER(cac),cac,0)</f>
        <v>150</v>
      </c>
      <c r="D172" s="34" t="n">
        <f aca="false">IF(AND(AND(ISNUMBER(attrGp),ISNUMBER(upExpected),ISNUMBER(downExpected),ISNUMBER(contMonth1),upWhen&lt;&gt;"",contFirstDays&lt;&gt;"",churn&lt;&gt;""),ISNUMBER(cac),B172&gt;=cac),A172,"")</f>
        <v>30</v>
      </c>
      <c r="E172" s="3"/>
      <c r="F172" s="3"/>
      <c r="G172" s="3"/>
    </row>
    <row r="173" customFormat="false" ht="15" hidden="false" customHeight="false" outlineLevel="0" collapsed="false">
      <c r="A173" s="34" t="n">
        <v>33</v>
      </c>
      <c r="B173" s="77" t="n">
        <f aca="false">IF(AND(ISNUMBER(attrGp),ISNUMBER(upExpected),ISNUMBER(downExpected),ISNUMBER(contMonth1),upWhen&lt;&gt;"",contFirstDays&lt;&gt;"",churn&lt;&gt;""),attrGp+IF(33&gt;=upWhen,upExpected+downExpected,0)+IF(33&gt;=contFirstDays+0,contMonth1*(1-churn)^0,0)+IF(33&gt;=contFirstDays+30,contMonth1*(1-churn)^1,0)+IF(33&gt;=contFirstDays+60,contMonth1*(1-churn)^2,0)+IF(33&gt;=contFirstDays+90,contMonth1*(1-churn)^3,0),0)</f>
        <v>650</v>
      </c>
      <c r="C173" s="77" t="n">
        <f aca="false">IF(ISNUMBER(cac),cac,0)</f>
        <v>150</v>
      </c>
      <c r="D173" s="34" t="n">
        <f aca="false">IF(AND(AND(ISNUMBER(attrGp),ISNUMBER(upExpected),ISNUMBER(downExpected),ISNUMBER(contMonth1),upWhen&lt;&gt;"",contFirstDays&lt;&gt;"",churn&lt;&gt;""),ISNUMBER(cac),B173&gt;=cac),A173,"")</f>
        <v>33</v>
      </c>
      <c r="E173" s="3"/>
      <c r="F173" s="3"/>
      <c r="G173" s="3"/>
    </row>
    <row r="174" customFormat="false" ht="15" hidden="false" customHeight="false" outlineLevel="0" collapsed="false">
      <c r="A174" s="34" t="n">
        <v>36</v>
      </c>
      <c r="B174" s="77" t="n">
        <f aca="false">IF(AND(ISNUMBER(attrGp),ISNUMBER(upExpected),ISNUMBER(downExpected),ISNUMBER(contMonth1),upWhen&lt;&gt;"",contFirstDays&lt;&gt;"",churn&lt;&gt;""),attrGp+IF(36&gt;=upWhen,upExpected+downExpected,0)+IF(36&gt;=contFirstDays+0,contMonth1*(1-churn)^0,0)+IF(36&gt;=contFirstDays+30,contMonth1*(1-churn)^1,0)+IF(36&gt;=contFirstDays+60,contMonth1*(1-churn)^2,0)+IF(36&gt;=contFirstDays+90,contMonth1*(1-churn)^3,0),0)</f>
        <v>650</v>
      </c>
      <c r="C174" s="77" t="n">
        <f aca="false">IF(ISNUMBER(cac),cac,0)</f>
        <v>150</v>
      </c>
      <c r="D174" s="34" t="n">
        <f aca="false">IF(AND(AND(ISNUMBER(attrGp),ISNUMBER(upExpected),ISNUMBER(downExpected),ISNUMBER(contMonth1),upWhen&lt;&gt;"",contFirstDays&lt;&gt;"",churn&lt;&gt;""),ISNUMBER(cac),B174&gt;=cac),A174,"")</f>
        <v>36</v>
      </c>
      <c r="E174" s="3"/>
      <c r="F174" s="3"/>
      <c r="G174" s="3"/>
    </row>
    <row r="175" customFormat="false" ht="15" hidden="false" customHeight="false" outlineLevel="0" collapsed="false">
      <c r="A175" s="34" t="n">
        <v>39</v>
      </c>
      <c r="B175" s="77" t="n">
        <f aca="false">IF(AND(ISNUMBER(attrGp),ISNUMBER(upExpected),ISNUMBER(downExpected),ISNUMBER(contMonth1),upWhen&lt;&gt;"",contFirstDays&lt;&gt;"",churn&lt;&gt;""),attrGp+IF(39&gt;=upWhen,upExpected+downExpected,0)+IF(39&gt;=contFirstDays+0,contMonth1*(1-churn)^0,0)+IF(39&gt;=contFirstDays+30,contMonth1*(1-churn)^1,0)+IF(39&gt;=contFirstDays+60,contMonth1*(1-churn)^2,0)+IF(39&gt;=contFirstDays+90,contMonth1*(1-churn)^3,0),0)</f>
        <v>650</v>
      </c>
      <c r="C175" s="77" t="n">
        <f aca="false">IF(ISNUMBER(cac),cac,0)</f>
        <v>150</v>
      </c>
      <c r="D175" s="34" t="n">
        <f aca="false">IF(AND(AND(ISNUMBER(attrGp),ISNUMBER(upExpected),ISNUMBER(downExpected),ISNUMBER(contMonth1),upWhen&lt;&gt;"",contFirstDays&lt;&gt;"",churn&lt;&gt;""),ISNUMBER(cac),B175&gt;=cac),A175,"")</f>
        <v>39</v>
      </c>
      <c r="E175" s="3"/>
      <c r="F175" s="3"/>
      <c r="G175" s="3"/>
    </row>
    <row r="176" customFormat="false" ht="15" hidden="false" customHeight="false" outlineLevel="0" collapsed="false">
      <c r="A176" s="34" t="n">
        <v>42</v>
      </c>
      <c r="B176" s="77" t="n">
        <f aca="false">IF(AND(ISNUMBER(attrGp),ISNUMBER(upExpected),ISNUMBER(downExpected),ISNUMBER(contMonth1),upWhen&lt;&gt;"",contFirstDays&lt;&gt;"",churn&lt;&gt;""),attrGp+IF(42&gt;=upWhen,upExpected+downExpected,0)+IF(42&gt;=contFirstDays+0,contMonth1*(1-churn)^0,0)+IF(42&gt;=contFirstDays+30,contMonth1*(1-churn)^1,0)+IF(42&gt;=contFirstDays+60,contMonth1*(1-churn)^2,0)+IF(42&gt;=contFirstDays+90,contMonth1*(1-churn)^3,0),0)</f>
        <v>715.4</v>
      </c>
      <c r="C176" s="77" t="n">
        <f aca="false">IF(ISNUMBER(cac),cac,0)</f>
        <v>150</v>
      </c>
      <c r="D176" s="34" t="n">
        <f aca="false">IF(AND(AND(ISNUMBER(attrGp),ISNUMBER(upExpected),ISNUMBER(downExpected),ISNUMBER(contMonth1),upWhen&lt;&gt;"",contFirstDays&lt;&gt;"",churn&lt;&gt;""),ISNUMBER(cac),B176&gt;=cac),A176,"")</f>
        <v>42</v>
      </c>
      <c r="E176" s="3"/>
      <c r="F176" s="3"/>
      <c r="G176" s="3"/>
    </row>
    <row r="177" customFormat="false" ht="15" hidden="false" customHeight="false" outlineLevel="0" collapsed="false">
      <c r="A177" s="34" t="n">
        <v>45</v>
      </c>
      <c r="B177" s="77" t="n">
        <f aca="false">IF(AND(ISNUMBER(attrGp),ISNUMBER(upExpected),ISNUMBER(downExpected),ISNUMBER(contMonth1),upWhen&lt;&gt;"",contFirstDays&lt;&gt;"",churn&lt;&gt;""),attrGp+IF(45&gt;=upWhen,upExpected+downExpected,0)+IF(45&gt;=contFirstDays+0,contMonth1*(1-churn)^0,0)+IF(45&gt;=contFirstDays+30,contMonth1*(1-churn)^1,0)+IF(45&gt;=contFirstDays+60,contMonth1*(1-churn)^2,0)+IF(45&gt;=contFirstDays+90,contMonth1*(1-churn)^3,0),0)</f>
        <v>715.4</v>
      </c>
      <c r="C177" s="77" t="n">
        <f aca="false">IF(ISNUMBER(cac),cac,0)</f>
        <v>150</v>
      </c>
      <c r="D177" s="34" t="n">
        <f aca="false">IF(AND(AND(ISNUMBER(attrGp),ISNUMBER(upExpected),ISNUMBER(downExpected),ISNUMBER(contMonth1),upWhen&lt;&gt;"",contFirstDays&lt;&gt;"",churn&lt;&gt;""),ISNUMBER(cac),B177&gt;=cac),A177,"")</f>
        <v>45</v>
      </c>
      <c r="E177" s="3"/>
      <c r="F177" s="3"/>
      <c r="G177" s="3"/>
    </row>
    <row r="178" customFormat="false" ht="15" hidden="false" customHeight="false" outlineLevel="0" collapsed="false">
      <c r="A178" s="34" t="n">
        <v>48</v>
      </c>
      <c r="B178" s="77" t="n">
        <f aca="false">IF(AND(ISNUMBER(attrGp),ISNUMBER(upExpected),ISNUMBER(downExpected),ISNUMBER(contMonth1),upWhen&lt;&gt;"",contFirstDays&lt;&gt;"",churn&lt;&gt;""),attrGp+IF(48&gt;=upWhen,upExpected+downExpected,0)+IF(48&gt;=contFirstDays+0,contMonth1*(1-churn)^0,0)+IF(48&gt;=contFirstDays+30,contMonth1*(1-churn)^1,0)+IF(48&gt;=contFirstDays+60,contMonth1*(1-churn)^2,0)+IF(48&gt;=contFirstDays+90,contMonth1*(1-churn)^3,0),0)</f>
        <v>715.4</v>
      </c>
      <c r="C178" s="77" t="n">
        <f aca="false">IF(ISNUMBER(cac),cac,0)</f>
        <v>150</v>
      </c>
      <c r="D178" s="34" t="n">
        <f aca="false">IF(AND(AND(ISNUMBER(attrGp),ISNUMBER(upExpected),ISNUMBER(downExpected),ISNUMBER(contMonth1),upWhen&lt;&gt;"",contFirstDays&lt;&gt;"",churn&lt;&gt;""),ISNUMBER(cac),B178&gt;=cac),A178,"")</f>
        <v>48</v>
      </c>
      <c r="E178" s="3"/>
      <c r="F178" s="3"/>
      <c r="G178" s="3"/>
    </row>
    <row r="179" customFormat="false" ht="15" hidden="false" customHeight="false" outlineLevel="0" collapsed="false">
      <c r="A179" s="34" t="n">
        <v>51</v>
      </c>
      <c r="B179" s="77" t="n">
        <f aca="false">IF(AND(ISNUMBER(attrGp),ISNUMBER(upExpected),ISNUMBER(downExpected),ISNUMBER(contMonth1),upWhen&lt;&gt;"",contFirstDays&lt;&gt;"",churn&lt;&gt;""),attrGp+IF(51&gt;=upWhen,upExpected+downExpected,0)+IF(51&gt;=contFirstDays+0,contMonth1*(1-churn)^0,0)+IF(51&gt;=contFirstDays+30,contMonth1*(1-churn)^1,0)+IF(51&gt;=contFirstDays+60,contMonth1*(1-churn)^2,0)+IF(51&gt;=contFirstDays+90,contMonth1*(1-churn)^3,0),0)</f>
        <v>715.4</v>
      </c>
      <c r="C179" s="77" t="n">
        <f aca="false">IF(ISNUMBER(cac),cac,0)</f>
        <v>150</v>
      </c>
      <c r="D179" s="34" t="n">
        <f aca="false">IF(AND(AND(ISNUMBER(attrGp),ISNUMBER(upExpected),ISNUMBER(downExpected),ISNUMBER(contMonth1),upWhen&lt;&gt;"",contFirstDays&lt;&gt;"",churn&lt;&gt;""),ISNUMBER(cac),B179&gt;=cac),A179,"")</f>
        <v>51</v>
      </c>
      <c r="E179" s="3"/>
      <c r="F179" s="3"/>
      <c r="G179" s="3"/>
    </row>
    <row r="180" customFormat="false" ht="15" hidden="false" customHeight="false" outlineLevel="0" collapsed="false">
      <c r="A180" s="34" t="n">
        <v>54</v>
      </c>
      <c r="B180" s="77" t="n">
        <f aca="false">IF(AND(ISNUMBER(attrGp),ISNUMBER(upExpected),ISNUMBER(downExpected),ISNUMBER(contMonth1),upWhen&lt;&gt;"",contFirstDays&lt;&gt;"",churn&lt;&gt;""),attrGp+IF(54&gt;=upWhen,upExpected+downExpected,0)+IF(54&gt;=contFirstDays+0,contMonth1*(1-churn)^0,0)+IF(54&gt;=contFirstDays+30,contMonth1*(1-churn)^1,0)+IF(54&gt;=contFirstDays+60,contMonth1*(1-churn)^2,0)+IF(54&gt;=contFirstDays+90,contMonth1*(1-churn)^3,0),0)</f>
        <v>715.4</v>
      </c>
      <c r="C180" s="77" t="n">
        <f aca="false">IF(ISNUMBER(cac),cac,0)</f>
        <v>150</v>
      </c>
      <c r="D180" s="34" t="n">
        <f aca="false">IF(AND(AND(ISNUMBER(attrGp),ISNUMBER(upExpected),ISNUMBER(downExpected),ISNUMBER(contMonth1),upWhen&lt;&gt;"",contFirstDays&lt;&gt;"",churn&lt;&gt;""),ISNUMBER(cac),B180&gt;=cac),A180,"")</f>
        <v>54</v>
      </c>
      <c r="E180" s="3"/>
      <c r="F180" s="3"/>
      <c r="G180" s="3"/>
    </row>
    <row r="181" customFormat="false" ht="15" hidden="false" customHeight="false" outlineLevel="0" collapsed="false">
      <c r="A181" s="34" t="n">
        <v>57</v>
      </c>
      <c r="B181" s="77" t="n">
        <f aca="false">IF(AND(ISNUMBER(attrGp),ISNUMBER(upExpected),ISNUMBER(downExpected),ISNUMBER(contMonth1),upWhen&lt;&gt;"",contFirstDays&lt;&gt;"",churn&lt;&gt;""),attrGp+IF(57&gt;=upWhen,upExpected+downExpected,0)+IF(57&gt;=contFirstDays+0,contMonth1*(1-churn)^0,0)+IF(57&gt;=contFirstDays+30,contMonth1*(1-churn)^1,0)+IF(57&gt;=contFirstDays+60,contMonth1*(1-churn)^2,0)+IF(57&gt;=contFirstDays+90,contMonth1*(1-churn)^3,0),0)</f>
        <v>715.4</v>
      </c>
      <c r="C181" s="77" t="n">
        <f aca="false">IF(ISNUMBER(cac),cac,0)</f>
        <v>150</v>
      </c>
      <c r="D181" s="34" t="n">
        <f aca="false">IF(AND(AND(ISNUMBER(attrGp),ISNUMBER(upExpected),ISNUMBER(downExpected),ISNUMBER(contMonth1),upWhen&lt;&gt;"",contFirstDays&lt;&gt;"",churn&lt;&gt;""),ISNUMBER(cac),B181&gt;=cac),A181,"")</f>
        <v>57</v>
      </c>
      <c r="E181" s="3"/>
      <c r="F181" s="3"/>
      <c r="G181" s="3"/>
    </row>
    <row r="182" customFormat="false" ht="15" hidden="false" customHeight="false" outlineLevel="0" collapsed="false">
      <c r="A182" s="34" t="n">
        <v>60</v>
      </c>
      <c r="B182" s="77" t="n">
        <f aca="false">IF(AND(ISNUMBER(attrGp),ISNUMBER(upExpected),ISNUMBER(downExpected),ISNUMBER(contMonth1),upWhen&lt;&gt;"",contFirstDays&lt;&gt;"",churn&lt;&gt;""),attrGp+IF(60&gt;=upWhen,upExpected+downExpected,0)+IF(60&gt;=contFirstDays+0,contMonth1*(1-churn)^0,0)+IF(60&gt;=contFirstDays+30,contMonth1*(1-churn)^1,0)+IF(60&gt;=contFirstDays+60,contMonth1*(1-churn)^2,0)+IF(60&gt;=contFirstDays+90,contMonth1*(1-churn)^3,0),0)</f>
        <v>715.4</v>
      </c>
      <c r="C182" s="77" t="n">
        <f aca="false">IF(ISNUMBER(cac),cac,0)</f>
        <v>150</v>
      </c>
      <c r="D182" s="34" t="n">
        <f aca="false">IF(AND(AND(ISNUMBER(attrGp),ISNUMBER(upExpected),ISNUMBER(downExpected),ISNUMBER(contMonth1),upWhen&lt;&gt;"",contFirstDays&lt;&gt;"",churn&lt;&gt;""),ISNUMBER(cac),B182&gt;=cac),A182,"")</f>
        <v>60</v>
      </c>
      <c r="E182" s="3"/>
      <c r="F182" s="3"/>
      <c r="G182" s="3"/>
    </row>
    <row r="183" customFormat="false" ht="15" hidden="false" customHeight="false" outlineLevel="0" collapsed="false">
      <c r="A183" s="34" t="n">
        <v>63</v>
      </c>
      <c r="B183" s="77" t="n">
        <f aca="false">IF(AND(ISNUMBER(attrGp),ISNUMBER(upExpected),ISNUMBER(downExpected),ISNUMBER(contMonth1),upWhen&lt;&gt;"",contFirstDays&lt;&gt;"",churn&lt;&gt;""),attrGp+IF(63&gt;=upWhen,upExpected+downExpected,0)+IF(63&gt;=contFirstDays+0,contMonth1*(1-churn)^0,0)+IF(63&gt;=contFirstDays+30,contMonth1*(1-churn)^1,0)+IF(63&gt;=contFirstDays+60,contMonth1*(1-churn)^2,0)+IF(63&gt;=contFirstDays+90,contMonth1*(1-churn)^3,0),0)</f>
        <v>715.4</v>
      </c>
      <c r="C183" s="77" t="n">
        <f aca="false">IF(ISNUMBER(cac),cac,0)</f>
        <v>150</v>
      </c>
      <c r="D183" s="34" t="n">
        <f aca="false">IF(AND(AND(ISNUMBER(attrGp),ISNUMBER(upExpected),ISNUMBER(downExpected),ISNUMBER(contMonth1),upWhen&lt;&gt;"",contFirstDays&lt;&gt;"",churn&lt;&gt;""),ISNUMBER(cac),B183&gt;=cac),A183,"")</f>
        <v>63</v>
      </c>
      <c r="E183" s="3"/>
      <c r="F183" s="3"/>
      <c r="G183" s="3"/>
    </row>
    <row r="184" customFormat="false" ht="15" hidden="false" customHeight="false" outlineLevel="0" collapsed="false">
      <c r="A184" s="34" t="n">
        <v>66</v>
      </c>
      <c r="B184" s="77" t="n">
        <f aca="false">IF(AND(ISNUMBER(attrGp),ISNUMBER(upExpected),ISNUMBER(downExpected),ISNUMBER(contMonth1),upWhen&lt;&gt;"",contFirstDays&lt;&gt;"",churn&lt;&gt;""),attrGp+IF(66&gt;=upWhen,upExpected+downExpected,0)+IF(66&gt;=contFirstDays+0,contMonth1*(1-churn)^0,0)+IF(66&gt;=contFirstDays+30,contMonth1*(1-churn)^1,0)+IF(66&gt;=contFirstDays+60,contMonth1*(1-churn)^2,0)+IF(66&gt;=contFirstDays+90,contMonth1*(1-churn)^3,0),0)</f>
        <v>715.4</v>
      </c>
      <c r="C184" s="77" t="n">
        <f aca="false">IF(ISNUMBER(cac),cac,0)</f>
        <v>150</v>
      </c>
      <c r="D184" s="34" t="n">
        <f aca="false">IF(AND(AND(ISNUMBER(attrGp),ISNUMBER(upExpected),ISNUMBER(downExpected),ISNUMBER(contMonth1),upWhen&lt;&gt;"",contFirstDays&lt;&gt;"",churn&lt;&gt;""),ISNUMBER(cac),B184&gt;=cac),A184,"")</f>
        <v>66</v>
      </c>
      <c r="E184" s="3"/>
      <c r="F184" s="3"/>
      <c r="G184" s="3"/>
    </row>
    <row r="185" customFormat="false" ht="15" hidden="false" customHeight="false" outlineLevel="0" collapsed="false">
      <c r="A185" s="34" t="n">
        <v>69</v>
      </c>
      <c r="B185" s="77" t="n">
        <f aca="false">IF(AND(ISNUMBER(attrGp),ISNUMBER(upExpected),ISNUMBER(downExpected),ISNUMBER(contMonth1),upWhen&lt;&gt;"",contFirstDays&lt;&gt;"",churn&lt;&gt;""),attrGp+IF(69&gt;=upWhen,upExpected+downExpected,0)+IF(69&gt;=contFirstDays+0,contMonth1*(1-churn)^0,0)+IF(69&gt;=contFirstDays+30,contMonth1*(1-churn)^1,0)+IF(69&gt;=contFirstDays+60,contMonth1*(1-churn)^2,0)+IF(69&gt;=contFirstDays+90,contMonth1*(1-churn)^3,0),0)</f>
        <v>715.4</v>
      </c>
      <c r="C185" s="77" t="n">
        <f aca="false">IF(ISNUMBER(cac),cac,0)</f>
        <v>150</v>
      </c>
      <c r="D185" s="34" t="n">
        <f aca="false">IF(AND(AND(ISNUMBER(attrGp),ISNUMBER(upExpected),ISNUMBER(downExpected),ISNUMBER(contMonth1),upWhen&lt;&gt;"",contFirstDays&lt;&gt;"",churn&lt;&gt;""),ISNUMBER(cac),B185&gt;=cac),A185,"")</f>
        <v>69</v>
      </c>
      <c r="E185" s="3"/>
      <c r="F185" s="3"/>
      <c r="G185" s="3"/>
    </row>
    <row r="186" customFormat="false" ht="15" hidden="false" customHeight="false" outlineLevel="0" collapsed="false">
      <c r="A186" s="34" t="n">
        <v>72</v>
      </c>
      <c r="B186" s="77" t="n">
        <f aca="false">IF(AND(ISNUMBER(attrGp),ISNUMBER(upExpected),ISNUMBER(downExpected),ISNUMBER(contMonth1),upWhen&lt;&gt;"",contFirstDays&lt;&gt;"",churn&lt;&gt;""),attrGp+IF(72&gt;=upWhen,upExpected+downExpected,0)+IF(72&gt;=contFirstDays+0,contMonth1*(1-churn)^0,0)+IF(72&gt;=contFirstDays+30,contMonth1*(1-churn)^1,0)+IF(72&gt;=contFirstDays+60,contMonth1*(1-churn)^2,0)+IF(72&gt;=contFirstDays+90,contMonth1*(1-churn)^3,0),0)</f>
        <v>775.568</v>
      </c>
      <c r="C186" s="77" t="n">
        <f aca="false">IF(ISNUMBER(cac),cac,0)</f>
        <v>150</v>
      </c>
      <c r="D186" s="34" t="n">
        <f aca="false">IF(AND(AND(ISNUMBER(attrGp),ISNUMBER(upExpected),ISNUMBER(downExpected),ISNUMBER(contMonth1),upWhen&lt;&gt;"",contFirstDays&lt;&gt;"",churn&lt;&gt;""),ISNUMBER(cac),B186&gt;=cac),A186,"")</f>
        <v>72</v>
      </c>
      <c r="E186" s="3"/>
      <c r="F186" s="3"/>
      <c r="G186" s="3"/>
    </row>
    <row r="187" customFormat="false" ht="15" hidden="false" customHeight="false" outlineLevel="0" collapsed="false">
      <c r="A187" s="34" t="n">
        <v>75</v>
      </c>
      <c r="B187" s="77" t="n">
        <f aca="false">IF(AND(ISNUMBER(attrGp),ISNUMBER(upExpected),ISNUMBER(downExpected),ISNUMBER(contMonth1),upWhen&lt;&gt;"",contFirstDays&lt;&gt;"",churn&lt;&gt;""),attrGp+IF(75&gt;=upWhen,upExpected+downExpected,0)+IF(75&gt;=contFirstDays+0,contMonth1*(1-churn)^0,0)+IF(75&gt;=contFirstDays+30,contMonth1*(1-churn)^1,0)+IF(75&gt;=contFirstDays+60,contMonth1*(1-churn)^2,0)+IF(75&gt;=contFirstDays+90,contMonth1*(1-churn)^3,0),0)</f>
        <v>775.568</v>
      </c>
      <c r="C187" s="77" t="n">
        <f aca="false">IF(ISNUMBER(cac),cac,0)</f>
        <v>150</v>
      </c>
      <c r="D187" s="34" t="n">
        <f aca="false">IF(AND(AND(ISNUMBER(attrGp),ISNUMBER(upExpected),ISNUMBER(downExpected),ISNUMBER(contMonth1),upWhen&lt;&gt;"",contFirstDays&lt;&gt;"",churn&lt;&gt;""),ISNUMBER(cac),B187&gt;=cac),A187,"")</f>
        <v>75</v>
      </c>
      <c r="E187" s="3"/>
      <c r="F187" s="3"/>
      <c r="G187" s="3"/>
    </row>
    <row r="188" customFormat="false" ht="15" hidden="false" customHeight="false" outlineLevel="0" collapsed="false">
      <c r="A188" s="34" t="n">
        <v>78</v>
      </c>
      <c r="B188" s="77" t="n">
        <f aca="false">IF(AND(ISNUMBER(attrGp),ISNUMBER(upExpected),ISNUMBER(downExpected),ISNUMBER(contMonth1),upWhen&lt;&gt;"",contFirstDays&lt;&gt;"",churn&lt;&gt;""),attrGp+IF(78&gt;=upWhen,upExpected+downExpected,0)+IF(78&gt;=contFirstDays+0,contMonth1*(1-churn)^0,0)+IF(78&gt;=contFirstDays+30,contMonth1*(1-churn)^1,0)+IF(78&gt;=contFirstDays+60,contMonth1*(1-churn)^2,0)+IF(78&gt;=contFirstDays+90,contMonth1*(1-churn)^3,0),0)</f>
        <v>775.568</v>
      </c>
      <c r="C188" s="77" t="n">
        <f aca="false">IF(ISNUMBER(cac),cac,0)</f>
        <v>150</v>
      </c>
      <c r="D188" s="34" t="n">
        <f aca="false">IF(AND(AND(ISNUMBER(attrGp),ISNUMBER(upExpected),ISNUMBER(downExpected),ISNUMBER(contMonth1),upWhen&lt;&gt;"",contFirstDays&lt;&gt;"",churn&lt;&gt;""),ISNUMBER(cac),B188&gt;=cac),A188,"")</f>
        <v>78</v>
      </c>
      <c r="E188" s="3"/>
      <c r="F188" s="3"/>
      <c r="G188" s="3"/>
    </row>
    <row r="189" customFormat="false" ht="15" hidden="false" customHeight="false" outlineLevel="0" collapsed="false">
      <c r="A189" s="34" t="n">
        <v>81</v>
      </c>
      <c r="B189" s="77" t="n">
        <f aca="false">IF(AND(ISNUMBER(attrGp),ISNUMBER(upExpected),ISNUMBER(downExpected),ISNUMBER(contMonth1),upWhen&lt;&gt;"",contFirstDays&lt;&gt;"",churn&lt;&gt;""),attrGp+IF(81&gt;=upWhen,upExpected+downExpected,0)+IF(81&gt;=contFirstDays+0,contMonth1*(1-churn)^0,0)+IF(81&gt;=contFirstDays+30,contMonth1*(1-churn)^1,0)+IF(81&gt;=contFirstDays+60,contMonth1*(1-churn)^2,0)+IF(81&gt;=contFirstDays+90,contMonth1*(1-churn)^3,0),0)</f>
        <v>775.568</v>
      </c>
      <c r="C189" s="77" t="n">
        <f aca="false">IF(ISNUMBER(cac),cac,0)</f>
        <v>150</v>
      </c>
      <c r="D189" s="34" t="n">
        <f aca="false">IF(AND(AND(ISNUMBER(attrGp),ISNUMBER(upExpected),ISNUMBER(downExpected),ISNUMBER(contMonth1),upWhen&lt;&gt;"",contFirstDays&lt;&gt;"",churn&lt;&gt;""),ISNUMBER(cac),B189&gt;=cac),A189,"")</f>
        <v>81</v>
      </c>
      <c r="E189" s="3"/>
      <c r="F189" s="3"/>
      <c r="G189" s="3"/>
    </row>
    <row r="190" customFormat="false" ht="15" hidden="false" customHeight="false" outlineLevel="0" collapsed="false">
      <c r="A190" s="34" t="n">
        <v>84</v>
      </c>
      <c r="B190" s="77" t="n">
        <f aca="false">IF(AND(ISNUMBER(attrGp),ISNUMBER(upExpected),ISNUMBER(downExpected),ISNUMBER(contMonth1),upWhen&lt;&gt;"",contFirstDays&lt;&gt;"",churn&lt;&gt;""),attrGp+IF(84&gt;=upWhen,upExpected+downExpected,0)+IF(84&gt;=contFirstDays+0,contMonth1*(1-churn)^0,0)+IF(84&gt;=contFirstDays+30,contMonth1*(1-churn)^1,0)+IF(84&gt;=contFirstDays+60,contMonth1*(1-churn)^2,0)+IF(84&gt;=contFirstDays+90,contMonth1*(1-churn)^3,0),0)</f>
        <v>775.568</v>
      </c>
      <c r="C190" s="77" t="n">
        <f aca="false">IF(ISNUMBER(cac),cac,0)</f>
        <v>150</v>
      </c>
      <c r="D190" s="34" t="n">
        <f aca="false">IF(AND(AND(ISNUMBER(attrGp),ISNUMBER(upExpected),ISNUMBER(downExpected),ISNUMBER(contMonth1),upWhen&lt;&gt;"",contFirstDays&lt;&gt;"",churn&lt;&gt;""),ISNUMBER(cac),B190&gt;=cac),A190,"")</f>
        <v>84</v>
      </c>
      <c r="E190" s="3"/>
      <c r="F190" s="3"/>
      <c r="G190" s="3"/>
    </row>
    <row r="191" customFormat="false" ht="15" hidden="false" customHeight="false" outlineLevel="0" collapsed="false">
      <c r="A191" s="34" t="n">
        <v>87</v>
      </c>
      <c r="B191" s="77" t="n">
        <f aca="false">IF(AND(ISNUMBER(attrGp),ISNUMBER(upExpected),ISNUMBER(downExpected),ISNUMBER(contMonth1),upWhen&lt;&gt;"",contFirstDays&lt;&gt;"",churn&lt;&gt;""),attrGp+IF(87&gt;=upWhen,upExpected+downExpected,0)+IF(87&gt;=contFirstDays+0,contMonth1*(1-churn)^0,0)+IF(87&gt;=contFirstDays+30,contMonth1*(1-churn)^1,0)+IF(87&gt;=contFirstDays+60,contMonth1*(1-churn)^2,0)+IF(87&gt;=contFirstDays+90,contMonth1*(1-churn)^3,0),0)</f>
        <v>775.568</v>
      </c>
      <c r="C191" s="77" t="n">
        <f aca="false">IF(ISNUMBER(cac),cac,0)</f>
        <v>150</v>
      </c>
      <c r="D191" s="34" t="n">
        <f aca="false">IF(AND(AND(ISNUMBER(attrGp),ISNUMBER(upExpected),ISNUMBER(downExpected),ISNUMBER(contMonth1),upWhen&lt;&gt;"",contFirstDays&lt;&gt;"",churn&lt;&gt;""),ISNUMBER(cac),B191&gt;=cac),A191,"")</f>
        <v>87</v>
      </c>
      <c r="E191" s="3"/>
      <c r="F191" s="3"/>
      <c r="G191" s="3"/>
    </row>
    <row r="192" customFormat="false" ht="15" hidden="false" customHeight="false" outlineLevel="0" collapsed="false">
      <c r="A192" s="34" t="n">
        <v>90</v>
      </c>
      <c r="B192" s="77" t="n">
        <f aca="false">IF(AND(ISNUMBER(attrGp),ISNUMBER(upExpected),ISNUMBER(downExpected),ISNUMBER(contMonth1),upWhen&lt;&gt;"",contFirstDays&lt;&gt;"",churn&lt;&gt;""),attrGp+IF(90&gt;=upWhen,upExpected+downExpected,0)+IF(90&gt;=contFirstDays+0,contMonth1*(1-churn)^0,0)+IF(90&gt;=contFirstDays+30,contMonth1*(1-churn)^1,0)+IF(90&gt;=contFirstDays+60,contMonth1*(1-churn)^2,0)+IF(90&gt;=contFirstDays+90,contMonth1*(1-churn)^3,0),0)</f>
        <v>775.568</v>
      </c>
      <c r="C192" s="77" t="n">
        <f aca="false">IF(ISNUMBER(cac),cac,0)</f>
        <v>150</v>
      </c>
      <c r="D192" s="34" t="n">
        <f aca="false">IF(AND(AND(ISNUMBER(attrGp),ISNUMBER(upExpected),ISNUMBER(downExpected),ISNUMBER(contMonth1),upWhen&lt;&gt;"",contFirstDays&lt;&gt;"",churn&lt;&gt;""),ISNUMBER(cac),B192&gt;=cac),A192,"")</f>
        <v>90</v>
      </c>
      <c r="E192" s="3"/>
      <c r="F192" s="3"/>
      <c r="G192" s="3"/>
    </row>
    <row r="193" customFormat="false" ht="15" hidden="false" customHeight="false" outlineLevel="0" collapsed="false">
      <c r="A193" s="3"/>
      <c r="B193" s="3"/>
      <c r="C193" s="3"/>
      <c r="D193" s="3"/>
      <c r="E193" s="3"/>
      <c r="F193" s="3"/>
      <c r="G193" s="3"/>
    </row>
    <row r="194" customFormat="false" ht="40.5" hidden="false" customHeight="true" outlineLevel="0" collapsed="false">
      <c r="A194" s="33" t="s">
        <v>709</v>
      </c>
      <c r="B194" s="73" t="n">
        <f aca="false">IF(AND(ISNUMBER(gp30),ISNUMBER(cac),upWhen&lt;&gt;"",contFirstDays&lt;&gt;"",churn&lt;&gt;""),IF(COUNT(D162:D192)=0,"not inside 90 days",MIN(D162:D192)),"not yet")</f>
        <v>0</v>
      </c>
      <c r="C194" s="34"/>
      <c r="D194" s="34"/>
      <c r="E194" s="34"/>
      <c r="F194" s="34"/>
      <c r="G194" s="35" t="s">
        <v>710</v>
      </c>
    </row>
    <row r="195" customFormat="false" ht="15" hidden="false" customHeight="false" outlineLevel="0" collapsed="false">
      <c r="A195" s="3"/>
      <c r="B195" s="3"/>
      <c r="C195" s="3"/>
      <c r="D195" s="3"/>
      <c r="E195" s="3"/>
      <c r="F195" s="3"/>
      <c r="G195" s="3"/>
    </row>
    <row r="196" customFormat="false" ht="15" hidden="false" customHeight="false" outlineLevel="0" collapsed="false">
      <c r="A196" s="69" t="s">
        <v>711</v>
      </c>
      <c r="B196" s="70"/>
      <c r="C196" s="70"/>
      <c r="D196" s="70"/>
      <c r="E196" s="70"/>
      <c r="F196" s="70"/>
      <c r="G196" s="70"/>
    </row>
    <row r="197" customFormat="false" ht="15" hidden="false" customHeight="false" outlineLevel="0" collapsed="false">
      <c r="A197" s="76" t="s">
        <v>712</v>
      </c>
      <c r="B197" s="76" t="s">
        <v>713</v>
      </c>
      <c r="C197" s="76" t="s">
        <v>714</v>
      </c>
      <c r="D197" s="76" t="s">
        <v>715</v>
      </c>
      <c r="E197" s="3"/>
      <c r="F197" s="3"/>
      <c r="G197" s="3"/>
    </row>
    <row r="198" customFormat="false" ht="15" hidden="false" customHeight="false" outlineLevel="0" collapsed="false">
      <c r="A198" s="34" t="s">
        <v>716</v>
      </c>
      <c r="B198" s="80" t="n">
        <f aca="false">IF(ISNUMBER(grossMargin),grossMargin,IF(grossMargin="","not yet",grossMargin))</f>
        <v>0.698492462311558</v>
      </c>
      <c r="C198" s="80" t="n">
        <v>0.5</v>
      </c>
      <c r="D198" s="80" t="n">
        <f aca="false">IF(ISNUMBER(B198),MIN(1,MAX(0,B198/C198)),0)</f>
        <v>1</v>
      </c>
      <c r="E198" s="3"/>
      <c r="F198" s="3"/>
      <c r="G198" s="3"/>
    </row>
    <row r="199" customFormat="false" ht="15" hidden="false" customHeight="false" outlineLevel="0" collapsed="false">
      <c r="A199" s="34" t="s">
        <v>717</v>
      </c>
      <c r="B199" s="81" t="n">
        <f aca="false">IF(ISNUMBER(ratio30),ratio30,IF(ratio30="","not yet",ratio30))</f>
        <v>4.76933333333333</v>
      </c>
      <c r="C199" s="81" t="n">
        <v>2</v>
      </c>
      <c r="D199" s="80" t="n">
        <f aca="false">IF(ISNUMBER(B199),MIN(1,MAX(0,B199/C199)),0)</f>
        <v>1</v>
      </c>
      <c r="E199" s="3"/>
      <c r="F199" s="3"/>
      <c r="G199" s="3"/>
    </row>
    <row r="200" customFormat="false" ht="15" hidden="false" customHeight="false" outlineLevel="0" collapsed="false">
      <c r="A200" s="34" t="s">
        <v>36</v>
      </c>
      <c r="B200" s="81" t="n">
        <f aca="false">IF(ISNUMBER(ltgpCac),ltgpCac,IF(ltgpCac="","not yet",ltgpCac))</f>
        <v>9.78333333333333</v>
      </c>
      <c r="C200" s="81" t="n">
        <v>3</v>
      </c>
      <c r="D200" s="80" t="n">
        <f aca="false">IF(ISNUMBER(B200),MIN(1,MAX(0,B200/C200)),0)</f>
        <v>1</v>
      </c>
      <c r="E200" s="3"/>
      <c r="F200" s="3"/>
      <c r="G200" s="3"/>
    </row>
    <row r="201" customFormat="false" ht="15" hidden="false" customHeight="false" outlineLevel="0" collapsed="false">
      <c r="A201" s="34" t="s">
        <v>718</v>
      </c>
      <c r="B201" s="80" t="n">
        <f aca="false">IF(upTake="","not yet",upTake)</f>
        <v>0.25</v>
      </c>
      <c r="C201" s="80" t="n">
        <v>0.3</v>
      </c>
      <c r="D201" s="80" t="n">
        <f aca="false">IF(ISNUMBER(B201),MIN(1,MAX(0,B201/C201)),0)</f>
        <v>0.833333333333333</v>
      </c>
      <c r="E201" s="3"/>
      <c r="F201" s="3"/>
      <c r="G201" s="3"/>
    </row>
    <row r="202" customFormat="false" ht="15" hidden="false" customHeight="false" outlineLevel="0" collapsed="false">
      <c r="A202" s="34" t="s">
        <v>719</v>
      </c>
      <c r="B202" s="80" t="n">
        <f aca="false">IF(churn="","not yet",1-churn)</f>
        <v>0.92</v>
      </c>
      <c r="C202" s="80" t="n">
        <v>0.95</v>
      </c>
      <c r="D202" s="80" t="n">
        <f aca="false">IF(ISNUMBER(B202),MIN(1,MAX(0,B202/C202)),0)</f>
        <v>0.968421052631579</v>
      </c>
      <c r="E202" s="3"/>
      <c r="F202" s="3"/>
      <c r="G202" s="3"/>
    </row>
    <row r="203" customFormat="false" ht="15" hidden="false" customHeight="false" outlineLevel="0" collapsed="false">
      <c r="A203" s="34" t="s">
        <v>720</v>
      </c>
      <c r="B203" s="80" t="n">
        <f aca="false">IF(attrConversion="","not yet",attrConversion)</f>
        <v>0.1</v>
      </c>
      <c r="C203" s="80" t="n">
        <v>0.2</v>
      </c>
      <c r="D203" s="80" t="n">
        <f aca="false">IF(ISNUMBER(B203),MIN(1,MAX(0,B203/C203)),0)</f>
        <v>0.5</v>
      </c>
      <c r="E203" s="3"/>
      <c r="F203" s="3"/>
      <c r="G203" s="3"/>
    </row>
  </sheetData>
  <mergeCells count="2">
    <mergeCell ref="A1:G1"/>
    <mergeCell ref="A2:G2"/>
  </mergeCells>
  <conditionalFormatting sqref="C5:C216">
    <cfRule type="expression" priority="2" aboveAverage="0" equalAverage="0" bottom="0" percent="0" rank="0" text="" dxfId="3">
      <formula>OR(LEFT(C5,4)="SELF",LEFT(C5,4)="good",LEFT(C5,4)="self",LEFT(C5,4)="pays")</formula>
    </cfRule>
    <cfRule type="expression" priority="3" aboveAverage="0" equalAverage="0" bottom="0" percent="0" rank="0" text="" dxfId="4">
      <formula>OR(LEFT(C5,5)="break",LEFT(C5,4)="thin",LEFT(C5,5)="watch")</formula>
    </cfRule>
    <cfRule type="expression" priority="4" aboveAverage="0" equalAverage="0" bottom="0" percent="0" rank="0" text="" dxfId="5">
      <formula>OR(LEFT(C5,3)="not",LEFT(C5,3)="low",LEFT(C5,6)="losing")</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60"/>
    <col collapsed="false" customWidth="true" hidden="false" outlineLevel="0" max="3" min="3" style="0" width="18"/>
    <col collapsed="false" customWidth="true" hidden="false" outlineLevel="0" max="4" min="4" style="0" width="30"/>
  </cols>
  <sheetData>
    <row r="1" customFormat="false" ht="19.7" hidden="false" customHeight="false" outlineLevel="0" collapsed="false">
      <c r="A1" s="21" t="s">
        <v>721</v>
      </c>
      <c r="B1" s="21"/>
      <c r="C1" s="21"/>
      <c r="D1" s="21"/>
    </row>
    <row r="2" customFormat="false" ht="15" hidden="false" customHeight="false" outlineLevel="0" collapsed="false">
      <c r="A2" s="2" t="s">
        <v>722</v>
      </c>
      <c r="B2" s="2"/>
      <c r="C2" s="2"/>
      <c r="D2" s="2"/>
    </row>
    <row r="3" customFormat="false" ht="15" hidden="false" customHeight="false" outlineLevel="0" collapsed="false">
      <c r="A3" s="3"/>
      <c r="B3" s="3"/>
      <c r="C3" s="3"/>
      <c r="D3" s="3"/>
    </row>
    <row r="4" customFormat="false" ht="15" hidden="false" customHeight="false" outlineLevel="0" collapsed="false">
      <c r="A4" s="76" t="s">
        <v>676</v>
      </c>
      <c r="B4" s="76" t="s">
        <v>723</v>
      </c>
      <c r="C4" s="76" t="s">
        <v>724</v>
      </c>
      <c r="D4" s="76" t="s">
        <v>725</v>
      </c>
    </row>
    <row r="5" customFormat="false" ht="42" hidden="false" customHeight="true" outlineLevel="0" collapsed="false">
      <c r="A5" s="15" t="s">
        <v>726</v>
      </c>
      <c r="B5" s="82" t="str">
        <f aca="false">IF(attrOffer="","not written yet",attrOffer)</f>
        <v>Lose ten pounds in six weeks for $500, and win it all back if you finish every session.</v>
      </c>
      <c r="C5" s="83" t="n">
        <f aca="false">IF(attrPrice="","not yet",attrPrice)</f>
        <v>500</v>
      </c>
      <c r="D5" s="84" t="str">
        <f aca="false">IF(attrConversion="","not yet",TEXT(attrConversion,"0%")&amp;" of leads")</f>
        <v>10% of leads</v>
      </c>
    </row>
    <row r="6" customFormat="false" ht="42" hidden="false" customHeight="true" outlineLevel="0" collapsed="false">
      <c r="A6" s="85" t="s">
        <v>727</v>
      </c>
      <c r="B6" s="82" t="str">
        <f aca="false">IF(attrString="","not written yet",attrString)</f>
        <v>The week-two results check-in with a coach</v>
      </c>
      <c r="C6" s="34"/>
      <c r="D6" s="34"/>
    </row>
    <row r="7" customFormat="false" ht="42" hidden="false" customHeight="true" outlineLevel="0" collapsed="false">
      <c r="A7" s="15" t="s">
        <v>728</v>
      </c>
      <c r="B7" s="82" t="str">
        <f aca="false">IF(upScript="","not written yet",upScript)</f>
        <v>Since you want the ten pounds gone for good, the people who keep it off go straight onto the year programme, and the $500 you paid comes off it. Want me to set that up?</v>
      </c>
      <c r="C7" s="83" t="n">
        <f aca="false">IF(upPrice="","not yet",upPrice)</f>
        <v>1200</v>
      </c>
      <c r="D7" s="84" t="str">
        <f aca="false">IF(upTake="","not yet",TEXT(upTake,"0%")&amp;" of customers")</f>
        <v>25% of customers</v>
      </c>
    </row>
    <row r="8" customFormat="false" ht="42" hidden="false" customHeight="true" outlineLevel="0" collapsed="false">
      <c r="A8" s="85" t="s">
        <v>729</v>
      </c>
      <c r="B8" s="82" t="str">
        <f aca="false">IF(upNoReply="","not written yet",upNoReply)</f>
        <v>Totally fair. Would three payments make it work?</v>
      </c>
      <c r="C8" s="34"/>
      <c r="D8" s="34"/>
    </row>
    <row r="9" customFormat="false" ht="42" hidden="false" customHeight="true" outlineLevel="0" collapsed="false">
      <c r="A9" s="15" t="s">
        <v>730</v>
      </c>
      <c r="B9" s="82" t="str">
        <f aca="false">IF(downScript="","not written yet",downScript)</f>
        <v>No problem. We can do the same programme as three payments of $150; you still get the full year.</v>
      </c>
      <c r="C9" s="83" t="n">
        <f aca="false">IF(downPrice="","not yet",downPrice)</f>
        <v>450</v>
      </c>
      <c r="D9" s="84" t="str">
        <f aca="false">IF(downTake="","not yet",TEXT(downTake,"0%")&amp;" of the nos")</f>
        <v>40% of the nos</v>
      </c>
    </row>
    <row r="10" customFormat="false" ht="42" hidden="false" customHeight="true" outlineLevel="0" collapsed="false">
      <c r="A10" s="85" t="s">
        <v>731</v>
      </c>
      <c r="B10" s="82" t="str">
        <f aca="false">IF(downCut="","not written yet",downCut)</f>
        <v>Nothing is cut; the terms are longer</v>
      </c>
      <c r="C10" s="34"/>
      <c r="D10" s="34"/>
    </row>
    <row r="11" customFormat="false" ht="42" hidden="false" customHeight="true" outlineLevel="0" collapsed="false">
      <c r="A11" s="15" t="s">
        <v>732</v>
      </c>
      <c r="B11" s="82" t="str">
        <f aca="false">IF(contScript="","not written yet",contScript)</f>
        <v>To keep the weight off, most people stay on as members: $149 a month, and if you start today the first month's meal plans are included.</v>
      </c>
      <c r="C11" s="83" t="n">
        <f aca="false">IF(contPrice="","not yet",contPrice)</f>
        <v>149</v>
      </c>
      <c r="D11" s="84" t="str">
        <f aca="false">IF(contJoin="","not yet",TEXT(contJoin,"0%")&amp;" join"&amp;IF(churn="","",", "&amp;TEXT(churn,"0%")&amp;" leave each month"))</f>
        <v>60% join, 8% leave each month</v>
      </c>
    </row>
    <row r="12" customFormat="false" ht="42" hidden="false" customHeight="true" outlineLevel="0" collapsed="false">
      <c r="A12" s="85" t="s">
        <v>733</v>
      </c>
      <c r="B12" s="82" t="str">
        <f aca="false">IF(contHook="","not written yet",contHook)</f>
        <v>A new eight-week block every two months, and a tracked weigh-in chart</v>
      </c>
      <c r="C12" s="34"/>
      <c r="D12" s="34"/>
    </row>
    <row r="13" customFormat="false" ht="15" hidden="false" customHeight="false" outlineLevel="0" collapsed="false">
      <c r="A13" s="3"/>
      <c r="B13" s="3"/>
      <c r="C13" s="3"/>
      <c r="D13" s="3"/>
    </row>
    <row r="14" customFormat="false" ht="15" hidden="false" customHeight="false" outlineLevel="0" collapsed="false">
      <c r="A14" s="4" t="s">
        <v>734</v>
      </c>
      <c r="B14" s="3"/>
      <c r="C14" s="3"/>
      <c r="D14" s="3"/>
    </row>
    <row r="15" customFormat="false" ht="15" hidden="false" customHeight="false" outlineLevel="0" collapsed="false">
      <c r="A15" s="34" t="s">
        <v>717</v>
      </c>
      <c r="B15" s="86" t="n">
        <f aca="false">IF(ISNUMBER(ratio30),ratio30,ratio30)</f>
        <v>4.76933333333333</v>
      </c>
      <c r="C15" s="3"/>
      <c r="D15" s="3"/>
    </row>
    <row r="16" customFormat="false" ht="15" hidden="false" customHeight="false" outlineLevel="0" collapsed="false">
      <c r="A16" s="34" t="s">
        <v>735</v>
      </c>
      <c r="B16" s="87" t="n">
        <f aca="false">IF(ISNUMBER(paybackDays),paybackDays,paybackDays)</f>
        <v>0</v>
      </c>
      <c r="C16" s="3"/>
      <c r="D16" s="3"/>
    </row>
    <row r="17" customFormat="false" ht="15" hidden="false" customHeight="false" outlineLevel="0" collapsed="false">
      <c r="A17" s="34" t="s">
        <v>36</v>
      </c>
      <c r="B17" s="86" t="n">
        <f aca="false">IF(ISNUMBER(ltgpCac),ltgpCac,ltgpCac)</f>
        <v>9.78333333333333</v>
      </c>
      <c r="C17" s="3"/>
      <c r="D17" s="3"/>
    </row>
    <row r="18" customFormat="false" ht="15" hidden="false" customHeight="false" outlineLevel="0" collapsed="false">
      <c r="A18" s="34" t="s">
        <v>736</v>
      </c>
      <c r="B18" s="88" t="n">
        <f aca="false">IF(ISNUMBER(maxCac),maxCac,maxCac)</f>
        <v>357.7</v>
      </c>
      <c r="C18" s="3"/>
      <c r="D18" s="3"/>
    </row>
    <row r="19" customFormat="false" ht="15" hidden="false" customHeight="false" outlineLevel="0" collapsed="false">
      <c r="A19" s="34" t="s">
        <v>737</v>
      </c>
      <c r="B19" s="89" t="str">
        <f aca="false">IF(OR(customer="",promise=""),"not yet","For "&amp;customer&amp;": "&amp;promise)</f>
        <v>For Busy parents who stopped exercising: Lose the first ten pounds in six weeks</v>
      </c>
      <c r="C19" s="3"/>
      <c r="D19" s="3"/>
    </row>
    <row r="20" customFormat="false" ht="15" hidden="false" customHeight="false" outlineLevel="0" collapsed="false">
      <c r="A20" s="34" t="s">
        <v>738</v>
      </c>
      <c r="B20" s="89" t="str">
        <f aca="false">IF(constraint="","not yet",constraint)</f>
        <v>Each customer does not pay enough</v>
      </c>
      <c r="C20" s="3"/>
      <c r="D20" s="3"/>
    </row>
    <row r="21" customFormat="false" ht="15" hidden="false" customHeight="false" outlineLevel="0" collapsed="false">
      <c r="A21" s="34" t="s">
        <v>739</v>
      </c>
      <c r="B21" s="89" t="str">
        <f aca="false">IF(firstPlanet="","not yet",firstPlanet)</f>
        <v>Upsell: earn more from each one</v>
      </c>
      <c r="C21" s="3"/>
      <c r="D21" s="3"/>
    </row>
  </sheetData>
  <mergeCells count="2">
    <mergeCell ref="A1:D1"/>
    <mergeCell ref="A2:D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60"/>
    <col collapsed="false" customWidth="true" hidden="false" outlineLevel="0" max="4" min="4" style="0" width="18"/>
    <col collapsed="false" customWidth="true" hidden="false" outlineLevel="0" max="5" min="5" style="0" width="44"/>
  </cols>
  <sheetData>
    <row r="1" customFormat="false" ht="19.7" hidden="false" customHeight="false" outlineLevel="0" collapsed="false">
      <c r="A1" s="21" t="s">
        <v>740</v>
      </c>
      <c r="B1" s="21"/>
      <c r="C1" s="21"/>
      <c r="D1" s="21"/>
      <c r="E1" s="21"/>
    </row>
    <row r="2" customFormat="false" ht="15" hidden="false" customHeight="false" outlineLevel="0" collapsed="false">
      <c r="A2" s="2" t="s">
        <v>741</v>
      </c>
      <c r="B2" s="2"/>
      <c r="C2" s="2"/>
      <c r="D2" s="2"/>
      <c r="E2" s="2"/>
    </row>
    <row r="3" customFormat="false" ht="15" hidden="false" customHeight="false" outlineLevel="0" collapsed="false">
      <c r="A3" s="3"/>
      <c r="B3" s="3"/>
      <c r="C3" s="3"/>
      <c r="D3" s="3"/>
      <c r="E3" s="3"/>
    </row>
    <row r="4" customFormat="false" ht="15" hidden="false" customHeight="false" outlineLevel="0" collapsed="false">
      <c r="A4" s="76" t="s">
        <v>21</v>
      </c>
      <c r="B4" s="76" t="s">
        <v>742</v>
      </c>
      <c r="C4" s="76" t="s">
        <v>743</v>
      </c>
      <c r="D4" s="76" t="s">
        <v>744</v>
      </c>
      <c r="E4" s="76" t="s">
        <v>745</v>
      </c>
    </row>
    <row r="5" customFormat="false" ht="43.5" hidden="false" customHeight="true" outlineLevel="0" collapsed="false">
      <c r="A5" s="90" t="s">
        <v>30</v>
      </c>
      <c r="B5" s="49" t="s">
        <v>190</v>
      </c>
      <c r="C5" s="91" t="s">
        <v>746</v>
      </c>
      <c r="D5" s="47" t="str">
        <f aca="false">IF(AND(AND(ISNUMBER(grossMargin),grossMargin&gt;=0.5),promise&lt;&gt;""),"Open","Waiting")</f>
        <v>Open</v>
      </c>
      <c r="E5" s="92" t="s">
        <v>747</v>
      </c>
    </row>
    <row r="6" customFormat="false" ht="15" hidden="false" customHeight="false" outlineLevel="0" collapsed="false">
      <c r="A6" s="3"/>
      <c r="B6" s="3"/>
      <c r="C6" s="33" t="s">
        <v>748</v>
      </c>
      <c r="D6" s="58"/>
      <c r="E6" s="60" t="s">
        <v>749</v>
      </c>
    </row>
    <row r="7" customFormat="false" ht="15" hidden="false" customHeight="false" outlineLevel="0" collapsed="false">
      <c r="A7" s="3"/>
      <c r="B7" s="3"/>
      <c r="C7" s="33" t="s">
        <v>750</v>
      </c>
      <c r="D7" s="58"/>
      <c r="E7" s="60" t="s">
        <v>749</v>
      </c>
    </row>
    <row r="8" customFormat="false" ht="15" hidden="false" customHeight="false" outlineLevel="0" collapsed="false">
      <c r="A8" s="3"/>
      <c r="B8" s="3"/>
      <c r="C8" s="33" t="s">
        <v>751</v>
      </c>
      <c r="D8" s="58"/>
      <c r="E8" s="60" t="s">
        <v>749</v>
      </c>
    </row>
    <row r="9" customFormat="false" ht="15" hidden="false" customHeight="false" outlineLevel="0" collapsed="false">
      <c r="A9" s="3"/>
      <c r="B9" s="3"/>
      <c r="C9" s="33" t="s">
        <v>752</v>
      </c>
      <c r="D9" s="58"/>
      <c r="E9" s="60" t="s">
        <v>749</v>
      </c>
    </row>
    <row r="10" customFormat="false" ht="15" hidden="false" customHeight="false" outlineLevel="0" collapsed="false">
      <c r="A10" s="3"/>
      <c r="B10" s="3"/>
      <c r="C10" s="33" t="s">
        <v>753</v>
      </c>
      <c r="D10" s="58"/>
      <c r="E10" s="60" t="s">
        <v>749</v>
      </c>
    </row>
    <row r="11" customFormat="false" ht="15" hidden="false" customHeight="false" outlineLevel="0" collapsed="false">
      <c r="A11" s="3"/>
      <c r="B11" s="3"/>
      <c r="C11" s="3"/>
      <c r="D11" s="3"/>
      <c r="E11" s="3"/>
    </row>
    <row r="12" customFormat="false" ht="30" hidden="false" customHeight="true" outlineLevel="0" collapsed="false">
      <c r="A12" s="90" t="s">
        <v>30</v>
      </c>
      <c r="B12" s="49" t="s">
        <v>232</v>
      </c>
      <c r="C12" s="91" t="s">
        <v>754</v>
      </c>
      <c r="D12" s="47" t="str">
        <f aca="false">IF(AND(ISNUMBER(cpl),cpl&gt;=20),"Open","Waiting")</f>
        <v>Waiting</v>
      </c>
      <c r="E12" s="92" t="s">
        <v>755</v>
      </c>
    </row>
    <row r="13" customFormat="false" ht="15" hidden="false" customHeight="false" outlineLevel="0" collapsed="false">
      <c r="A13" s="3"/>
      <c r="B13" s="3"/>
      <c r="C13" s="33" t="s">
        <v>756</v>
      </c>
      <c r="D13" s="58"/>
      <c r="E13" s="60" t="s">
        <v>749</v>
      </c>
    </row>
    <row r="14" customFormat="false" ht="15" hidden="false" customHeight="false" outlineLevel="0" collapsed="false">
      <c r="A14" s="3"/>
      <c r="B14" s="3"/>
      <c r="C14" s="33" t="s">
        <v>757</v>
      </c>
      <c r="D14" s="58"/>
      <c r="E14" s="60" t="s">
        <v>749</v>
      </c>
    </row>
    <row r="15" customFormat="false" ht="15" hidden="false" customHeight="false" outlineLevel="0" collapsed="false">
      <c r="A15" s="3"/>
      <c r="B15" s="3"/>
      <c r="C15" s="33" t="s">
        <v>758</v>
      </c>
      <c r="D15" s="58"/>
      <c r="E15" s="60" t="s">
        <v>749</v>
      </c>
    </row>
    <row r="16" customFormat="false" ht="15" hidden="false" customHeight="false" outlineLevel="0" collapsed="false">
      <c r="A16" s="3"/>
      <c r="B16" s="3"/>
      <c r="C16" s="33" t="s">
        <v>759</v>
      </c>
      <c r="D16" s="58"/>
      <c r="E16" s="60" t="s">
        <v>749</v>
      </c>
    </row>
    <row r="17" customFormat="false" ht="15" hidden="false" customHeight="false" outlineLevel="0" collapsed="false">
      <c r="A17" s="3"/>
      <c r="B17" s="3"/>
      <c r="C17" s="33" t="s">
        <v>760</v>
      </c>
      <c r="D17" s="58"/>
      <c r="E17" s="60" t="s">
        <v>749</v>
      </c>
    </row>
    <row r="18" customFormat="false" ht="15" hidden="false" customHeight="false" outlineLevel="0" collapsed="false">
      <c r="A18" s="3"/>
      <c r="B18" s="3"/>
      <c r="C18" s="3"/>
      <c r="D18" s="3"/>
      <c r="E18" s="3"/>
    </row>
    <row r="19" customFormat="false" ht="43.5" hidden="false" customHeight="true" outlineLevel="0" collapsed="false">
      <c r="A19" s="90" t="s">
        <v>30</v>
      </c>
      <c r="B19" s="49" t="s">
        <v>761</v>
      </c>
      <c r="C19" s="91" t="s">
        <v>762</v>
      </c>
      <c r="D19" s="47" t="str">
        <f aca="false">IF(AND(ISNUMBER(attrPrice),attrPrice&gt;0),"Open","Waiting")</f>
        <v>Open</v>
      </c>
      <c r="E19" s="92" t="s">
        <v>763</v>
      </c>
    </row>
    <row r="20" customFormat="false" ht="15" hidden="false" customHeight="false" outlineLevel="0" collapsed="false">
      <c r="A20" s="3"/>
      <c r="B20" s="3"/>
      <c r="C20" s="33" t="s">
        <v>764</v>
      </c>
      <c r="D20" s="58"/>
      <c r="E20" s="60" t="s">
        <v>749</v>
      </c>
    </row>
    <row r="21" customFormat="false" ht="15" hidden="false" customHeight="false" outlineLevel="0" collapsed="false">
      <c r="A21" s="3"/>
      <c r="B21" s="3"/>
      <c r="C21" s="33" t="s">
        <v>765</v>
      </c>
      <c r="D21" s="58"/>
      <c r="E21" s="60" t="s">
        <v>749</v>
      </c>
    </row>
    <row r="22" customFormat="false" ht="15" hidden="false" customHeight="false" outlineLevel="0" collapsed="false">
      <c r="A22" s="3"/>
      <c r="B22" s="3"/>
      <c r="C22" s="33" t="s">
        <v>766</v>
      </c>
      <c r="D22" s="58"/>
      <c r="E22" s="60" t="s">
        <v>749</v>
      </c>
    </row>
    <row r="23" customFormat="false" ht="15" hidden="false" customHeight="false" outlineLevel="0" collapsed="false">
      <c r="A23" s="3"/>
      <c r="B23" s="3"/>
      <c r="C23" s="33" t="s">
        <v>767</v>
      </c>
      <c r="D23" s="58"/>
      <c r="E23" s="60" t="s">
        <v>749</v>
      </c>
    </row>
    <row r="24" customFormat="false" ht="15" hidden="false" customHeight="false" outlineLevel="0" collapsed="false">
      <c r="A24" s="3"/>
      <c r="B24" s="3"/>
      <c r="C24" s="33" t="s">
        <v>768</v>
      </c>
      <c r="D24" s="58"/>
      <c r="E24" s="60" t="s">
        <v>749</v>
      </c>
    </row>
    <row r="25" customFormat="false" ht="15" hidden="false" customHeight="false" outlineLevel="0" collapsed="false">
      <c r="A25" s="3"/>
      <c r="B25" s="3"/>
      <c r="C25" s="3"/>
      <c r="D25" s="3"/>
      <c r="E25" s="3"/>
    </row>
    <row r="26" customFormat="false" ht="30" hidden="false" customHeight="true" outlineLevel="0" collapsed="false">
      <c r="A26" s="90" t="s">
        <v>30</v>
      </c>
      <c r="B26" s="49" t="s">
        <v>769</v>
      </c>
      <c r="C26" s="91" t="s">
        <v>770</v>
      </c>
      <c r="D26" s="47" t="str">
        <f aca="false">IF(AND(ISNUMBER(grossMargin),grossMargin&gt;=0.6),"Open","Waiting")</f>
        <v>Open</v>
      </c>
      <c r="E26" s="92" t="s">
        <v>771</v>
      </c>
    </row>
    <row r="27" customFormat="false" ht="15" hidden="false" customHeight="false" outlineLevel="0" collapsed="false">
      <c r="A27" s="3"/>
      <c r="B27" s="3"/>
      <c r="C27" s="33" t="s">
        <v>772</v>
      </c>
      <c r="D27" s="58"/>
      <c r="E27" s="60" t="s">
        <v>749</v>
      </c>
    </row>
    <row r="28" customFormat="false" ht="15" hidden="false" customHeight="false" outlineLevel="0" collapsed="false">
      <c r="A28" s="3"/>
      <c r="B28" s="3"/>
      <c r="C28" s="33" t="s">
        <v>773</v>
      </c>
      <c r="D28" s="58"/>
      <c r="E28" s="60" t="s">
        <v>749</v>
      </c>
    </row>
    <row r="29" customFormat="false" ht="15" hidden="false" customHeight="false" outlineLevel="0" collapsed="false">
      <c r="A29" s="3"/>
      <c r="B29" s="3"/>
      <c r="C29" s="33" t="s">
        <v>774</v>
      </c>
      <c r="D29" s="58"/>
      <c r="E29" s="60" t="s">
        <v>749</v>
      </c>
    </row>
    <row r="30" customFormat="false" ht="15" hidden="false" customHeight="false" outlineLevel="0" collapsed="false">
      <c r="A30" s="3"/>
      <c r="B30" s="3"/>
      <c r="C30" s="33" t="s">
        <v>775</v>
      </c>
      <c r="D30" s="58"/>
      <c r="E30" s="60" t="s">
        <v>749</v>
      </c>
    </row>
    <row r="31" customFormat="false" ht="15" hidden="false" customHeight="false" outlineLevel="0" collapsed="false">
      <c r="A31" s="3"/>
      <c r="B31" s="3"/>
      <c r="C31" s="33" t="s">
        <v>776</v>
      </c>
      <c r="D31" s="58"/>
      <c r="E31" s="60" t="s">
        <v>749</v>
      </c>
    </row>
    <row r="32" customFormat="false" ht="15" hidden="false" customHeight="false" outlineLevel="0" collapsed="false">
      <c r="A32" s="3"/>
      <c r="B32" s="3"/>
      <c r="C32" s="3"/>
      <c r="D32" s="3"/>
      <c r="E32" s="3"/>
    </row>
    <row r="33" customFormat="false" ht="43.5" hidden="false" customHeight="true" outlineLevel="0" collapsed="false">
      <c r="A33" s="90" t="s">
        <v>30</v>
      </c>
      <c r="B33" s="49" t="s">
        <v>777</v>
      </c>
      <c r="C33" s="91" t="s">
        <v>778</v>
      </c>
      <c r="D33" s="47" t="str">
        <f aca="false">IF(AND(ISNUMBER(price),price&gt;=500),"Open","Waiting")</f>
        <v>Waiting</v>
      </c>
      <c r="E33" s="92" t="s">
        <v>779</v>
      </c>
    </row>
    <row r="34" customFormat="false" ht="15" hidden="false" customHeight="false" outlineLevel="0" collapsed="false">
      <c r="A34" s="3"/>
      <c r="B34" s="3"/>
      <c r="C34" s="33" t="s">
        <v>780</v>
      </c>
      <c r="D34" s="58"/>
      <c r="E34" s="60" t="s">
        <v>749</v>
      </c>
    </row>
    <row r="35" customFormat="false" ht="15" hidden="false" customHeight="false" outlineLevel="0" collapsed="false">
      <c r="A35" s="3"/>
      <c r="B35" s="3"/>
      <c r="C35" s="33" t="s">
        <v>781</v>
      </c>
      <c r="D35" s="58"/>
      <c r="E35" s="60" t="s">
        <v>749</v>
      </c>
    </row>
    <row r="36" customFormat="false" ht="15" hidden="false" customHeight="false" outlineLevel="0" collapsed="false">
      <c r="A36" s="3"/>
      <c r="B36" s="3"/>
      <c r="C36" s="33" t="s">
        <v>782</v>
      </c>
      <c r="D36" s="58"/>
      <c r="E36" s="60" t="s">
        <v>749</v>
      </c>
    </row>
    <row r="37" customFormat="false" ht="15" hidden="false" customHeight="false" outlineLevel="0" collapsed="false">
      <c r="A37" s="3"/>
      <c r="B37" s="3"/>
      <c r="C37" s="33" t="s">
        <v>783</v>
      </c>
      <c r="D37" s="58"/>
      <c r="E37" s="60" t="s">
        <v>749</v>
      </c>
    </row>
    <row r="38" customFormat="false" ht="15" hidden="false" customHeight="false" outlineLevel="0" collapsed="false">
      <c r="A38" s="3"/>
      <c r="B38" s="3"/>
      <c r="C38" s="33" t="s">
        <v>784</v>
      </c>
      <c r="D38" s="58"/>
      <c r="E38" s="60" t="s">
        <v>749</v>
      </c>
    </row>
    <row r="39" customFormat="false" ht="15" hidden="false" customHeight="false" outlineLevel="0" collapsed="false">
      <c r="A39" s="3"/>
      <c r="B39" s="3"/>
      <c r="C39" s="3"/>
      <c r="D39" s="3"/>
      <c r="E39" s="3"/>
    </row>
    <row r="40" customFormat="false" ht="30" hidden="false" customHeight="true" outlineLevel="0" collapsed="false">
      <c r="A40" s="90" t="s">
        <v>30</v>
      </c>
      <c r="B40" s="49" t="s">
        <v>785</v>
      </c>
      <c r="C40" s="91" t="s">
        <v>786</v>
      </c>
      <c r="D40" s="47" t="str">
        <f aca="false">IF(AND(AND(ISNUMBER(upExpected),upExpected&gt;=0),ISNUMBER(cac)),"Open","Waiting")</f>
        <v>Open</v>
      </c>
      <c r="E40" s="92" t="s">
        <v>787</v>
      </c>
    </row>
    <row r="41" customFormat="false" ht="15" hidden="false" customHeight="false" outlineLevel="0" collapsed="false">
      <c r="A41" s="3"/>
      <c r="B41" s="3"/>
      <c r="C41" s="33" t="s">
        <v>788</v>
      </c>
      <c r="D41" s="58"/>
      <c r="E41" s="60" t="s">
        <v>749</v>
      </c>
    </row>
    <row r="42" customFormat="false" ht="15" hidden="false" customHeight="false" outlineLevel="0" collapsed="false">
      <c r="A42" s="3"/>
      <c r="B42" s="3"/>
      <c r="C42" s="33" t="s">
        <v>789</v>
      </c>
      <c r="D42" s="58"/>
      <c r="E42" s="60" t="s">
        <v>749</v>
      </c>
    </row>
    <row r="43" customFormat="false" ht="15" hidden="false" customHeight="false" outlineLevel="0" collapsed="false">
      <c r="A43" s="3"/>
      <c r="B43" s="3"/>
      <c r="C43" s="33" t="s">
        <v>790</v>
      </c>
      <c r="D43" s="58"/>
      <c r="E43" s="60" t="s">
        <v>749</v>
      </c>
    </row>
    <row r="44" customFormat="false" ht="15" hidden="false" customHeight="false" outlineLevel="0" collapsed="false">
      <c r="A44" s="3"/>
      <c r="B44" s="3"/>
      <c r="C44" s="33" t="s">
        <v>791</v>
      </c>
      <c r="D44" s="58"/>
      <c r="E44" s="60" t="s">
        <v>749</v>
      </c>
    </row>
    <row r="45" customFormat="false" ht="15" hidden="false" customHeight="false" outlineLevel="0" collapsed="false">
      <c r="A45" s="3"/>
      <c r="B45" s="3"/>
      <c r="C45" s="33" t="s">
        <v>792</v>
      </c>
      <c r="D45" s="58"/>
      <c r="E45" s="60" t="s">
        <v>749</v>
      </c>
    </row>
    <row r="46" customFormat="false" ht="15" hidden="false" customHeight="false" outlineLevel="0" collapsed="false">
      <c r="A46" s="3"/>
      <c r="B46" s="3"/>
      <c r="C46" s="3"/>
      <c r="D46" s="3"/>
      <c r="E46" s="3"/>
    </row>
    <row r="47" customFormat="false" ht="30" hidden="false" customHeight="true" outlineLevel="0" collapsed="false">
      <c r="A47" s="90" t="s">
        <v>31</v>
      </c>
      <c r="B47" s="49" t="s">
        <v>793</v>
      </c>
      <c r="C47" s="91" t="s">
        <v>794</v>
      </c>
      <c r="D47" s="47" t="str">
        <f aca="false">IF(ISNUMBER(attrGp),"Open","Waiting")</f>
        <v>Open</v>
      </c>
      <c r="E47" s="92" t="s">
        <v>795</v>
      </c>
    </row>
    <row r="48" customFormat="false" ht="15" hidden="false" customHeight="false" outlineLevel="0" collapsed="false">
      <c r="A48" s="3"/>
      <c r="B48" s="3"/>
      <c r="C48" s="33" t="s">
        <v>796</v>
      </c>
      <c r="D48" s="58"/>
      <c r="E48" s="60" t="s">
        <v>749</v>
      </c>
    </row>
    <row r="49" customFormat="false" ht="15" hidden="false" customHeight="false" outlineLevel="0" collapsed="false">
      <c r="A49" s="3"/>
      <c r="B49" s="3"/>
      <c r="C49" s="33" t="s">
        <v>797</v>
      </c>
      <c r="D49" s="58"/>
      <c r="E49" s="60" t="s">
        <v>749</v>
      </c>
    </row>
    <row r="50" customFormat="false" ht="15" hidden="false" customHeight="false" outlineLevel="0" collapsed="false">
      <c r="A50" s="3"/>
      <c r="B50" s="3"/>
      <c r="C50" s="33" t="s">
        <v>798</v>
      </c>
      <c r="D50" s="58"/>
      <c r="E50" s="60" t="s">
        <v>749</v>
      </c>
    </row>
    <row r="51" customFormat="false" ht="15" hidden="false" customHeight="false" outlineLevel="0" collapsed="false">
      <c r="A51" s="3"/>
      <c r="B51" s="3"/>
      <c r="C51" s="33" t="s">
        <v>799</v>
      </c>
      <c r="D51" s="58"/>
      <c r="E51" s="60" t="s">
        <v>749</v>
      </c>
    </row>
    <row r="52" customFormat="false" ht="15" hidden="false" customHeight="false" outlineLevel="0" collapsed="false">
      <c r="A52" s="3"/>
      <c r="B52" s="3"/>
      <c r="C52" s="33" t="s">
        <v>800</v>
      </c>
      <c r="D52" s="58"/>
      <c r="E52" s="60" t="s">
        <v>749</v>
      </c>
    </row>
    <row r="53" customFormat="false" ht="15" hidden="false" customHeight="false" outlineLevel="0" collapsed="false">
      <c r="A53" s="3"/>
      <c r="B53" s="3"/>
      <c r="C53" s="3"/>
      <c r="D53" s="3"/>
      <c r="E53" s="3"/>
    </row>
    <row r="54" customFormat="false" ht="30" hidden="false" customHeight="true" outlineLevel="0" collapsed="false">
      <c r="A54" s="90" t="s">
        <v>31</v>
      </c>
      <c r="B54" s="49" t="s">
        <v>801</v>
      </c>
      <c r="C54" s="91" t="s">
        <v>802</v>
      </c>
      <c r="D54" s="47" t="str">
        <f aca="false">IF(AND(ISNUMBER(upTake),upTake&lt;0.3),"Open","Waiting")</f>
        <v>Open</v>
      </c>
      <c r="E54" s="92" t="s">
        <v>803</v>
      </c>
    </row>
    <row r="55" customFormat="false" ht="15" hidden="false" customHeight="false" outlineLevel="0" collapsed="false">
      <c r="A55" s="3"/>
      <c r="B55" s="3"/>
      <c r="C55" s="33" t="s">
        <v>804</v>
      </c>
      <c r="D55" s="58"/>
      <c r="E55" s="60" t="s">
        <v>749</v>
      </c>
    </row>
    <row r="56" customFormat="false" ht="15" hidden="false" customHeight="false" outlineLevel="0" collapsed="false">
      <c r="A56" s="3"/>
      <c r="B56" s="3"/>
      <c r="C56" s="33" t="s">
        <v>805</v>
      </c>
      <c r="D56" s="58"/>
      <c r="E56" s="60" t="s">
        <v>749</v>
      </c>
    </row>
    <row r="57" customFormat="false" ht="15" hidden="false" customHeight="false" outlineLevel="0" collapsed="false">
      <c r="A57" s="3"/>
      <c r="B57" s="3"/>
      <c r="C57" s="33" t="s">
        <v>806</v>
      </c>
      <c r="D57" s="58"/>
      <c r="E57" s="60" t="s">
        <v>749</v>
      </c>
    </row>
    <row r="58" customFormat="false" ht="15" hidden="false" customHeight="false" outlineLevel="0" collapsed="false">
      <c r="A58" s="3"/>
      <c r="B58" s="3"/>
      <c r="C58" s="33" t="s">
        <v>807</v>
      </c>
      <c r="D58" s="58"/>
      <c r="E58" s="60" t="s">
        <v>749</v>
      </c>
    </row>
    <row r="59" customFormat="false" ht="15" hidden="false" customHeight="false" outlineLevel="0" collapsed="false">
      <c r="A59" s="3"/>
      <c r="B59" s="3"/>
      <c r="C59" s="33" t="s">
        <v>808</v>
      </c>
      <c r="D59" s="58"/>
      <c r="E59" s="60" t="s">
        <v>749</v>
      </c>
    </row>
    <row r="60" customFormat="false" ht="15" hidden="false" customHeight="false" outlineLevel="0" collapsed="false">
      <c r="A60" s="3"/>
      <c r="B60" s="3"/>
      <c r="C60" s="3"/>
      <c r="D60" s="3"/>
      <c r="E60" s="3"/>
    </row>
    <row r="61" customFormat="false" ht="30" hidden="false" customHeight="true" outlineLevel="0" collapsed="false">
      <c r="A61" s="90" t="s">
        <v>31</v>
      </c>
      <c r="B61" s="49" t="s">
        <v>809</v>
      </c>
      <c r="C61" s="91" t="s">
        <v>810</v>
      </c>
      <c r="D61" s="47" t="str">
        <f aca="false">IF(AND(ISNUMBER(upPrice),upPrice&gt;=1000),"Open","Waiting")</f>
        <v>Open</v>
      </c>
      <c r="E61" s="92" t="s">
        <v>811</v>
      </c>
    </row>
    <row r="62" customFormat="false" ht="15" hidden="false" customHeight="false" outlineLevel="0" collapsed="false">
      <c r="A62" s="3"/>
      <c r="B62" s="3"/>
      <c r="C62" s="33" t="s">
        <v>812</v>
      </c>
      <c r="D62" s="58"/>
      <c r="E62" s="60" t="s">
        <v>749</v>
      </c>
    </row>
    <row r="63" customFormat="false" ht="15" hidden="false" customHeight="false" outlineLevel="0" collapsed="false">
      <c r="A63" s="3"/>
      <c r="B63" s="3"/>
      <c r="C63" s="33" t="s">
        <v>813</v>
      </c>
      <c r="D63" s="58"/>
      <c r="E63" s="60" t="s">
        <v>749</v>
      </c>
    </row>
    <row r="64" customFormat="false" ht="15" hidden="false" customHeight="false" outlineLevel="0" collapsed="false">
      <c r="A64" s="3"/>
      <c r="B64" s="3"/>
      <c r="C64" s="33" t="s">
        <v>814</v>
      </c>
      <c r="D64" s="58"/>
      <c r="E64" s="60" t="s">
        <v>749</v>
      </c>
    </row>
    <row r="65" customFormat="false" ht="15" hidden="false" customHeight="false" outlineLevel="0" collapsed="false">
      <c r="A65" s="3"/>
      <c r="B65" s="3"/>
      <c r="C65" s="33" t="s">
        <v>815</v>
      </c>
      <c r="D65" s="58"/>
      <c r="E65" s="60" t="s">
        <v>749</v>
      </c>
    </row>
    <row r="66" customFormat="false" ht="15" hidden="false" customHeight="false" outlineLevel="0" collapsed="false">
      <c r="A66" s="3"/>
      <c r="B66" s="3"/>
      <c r="C66" s="33" t="s">
        <v>816</v>
      </c>
      <c r="D66" s="58"/>
      <c r="E66" s="60" t="s">
        <v>749</v>
      </c>
    </row>
    <row r="67" customFormat="false" ht="15" hidden="false" customHeight="false" outlineLevel="0" collapsed="false">
      <c r="A67" s="3"/>
      <c r="B67" s="3"/>
      <c r="C67" s="3"/>
      <c r="D67" s="3"/>
      <c r="E67" s="3"/>
    </row>
    <row r="68" customFormat="false" ht="30" hidden="false" customHeight="true" outlineLevel="0" collapsed="false">
      <c r="A68" s="90" t="s">
        <v>31</v>
      </c>
      <c r="B68" s="49" t="s">
        <v>817</v>
      </c>
      <c r="C68" s="91" t="s">
        <v>818</v>
      </c>
      <c r="D68" s="47" t="str">
        <f aca="false">IF(AND(AND(ISNUMBER(attrPrice),attrPrice&gt;0),upPrice&lt;&gt;""),"Open","Waiting")</f>
        <v>Open</v>
      </c>
      <c r="E68" s="92" t="s">
        <v>819</v>
      </c>
    </row>
    <row r="69" customFormat="false" ht="15" hidden="false" customHeight="false" outlineLevel="0" collapsed="false">
      <c r="A69" s="3"/>
      <c r="B69" s="3"/>
      <c r="C69" s="33" t="s">
        <v>820</v>
      </c>
      <c r="D69" s="58"/>
      <c r="E69" s="60" t="s">
        <v>749</v>
      </c>
    </row>
    <row r="70" customFormat="false" ht="15" hidden="false" customHeight="false" outlineLevel="0" collapsed="false">
      <c r="A70" s="3"/>
      <c r="B70" s="3"/>
      <c r="C70" s="33" t="s">
        <v>821</v>
      </c>
      <c r="D70" s="58"/>
      <c r="E70" s="60" t="s">
        <v>749</v>
      </c>
    </row>
    <row r="71" customFormat="false" ht="15" hidden="false" customHeight="false" outlineLevel="0" collapsed="false">
      <c r="A71" s="3"/>
      <c r="B71" s="3"/>
      <c r="C71" s="33" t="s">
        <v>822</v>
      </c>
      <c r="D71" s="58"/>
      <c r="E71" s="60" t="s">
        <v>749</v>
      </c>
    </row>
    <row r="72" customFormat="false" ht="15" hidden="false" customHeight="false" outlineLevel="0" collapsed="false">
      <c r="A72" s="3"/>
      <c r="B72" s="3"/>
      <c r="C72" s="33" t="s">
        <v>823</v>
      </c>
      <c r="D72" s="58"/>
      <c r="E72" s="60" t="s">
        <v>749</v>
      </c>
    </row>
    <row r="73" customFormat="false" ht="15" hidden="false" customHeight="false" outlineLevel="0" collapsed="false">
      <c r="A73" s="3"/>
      <c r="B73" s="3"/>
      <c r="C73" s="33" t="s">
        <v>824</v>
      </c>
      <c r="D73" s="58"/>
      <c r="E73" s="60" t="s">
        <v>749</v>
      </c>
    </row>
    <row r="74" customFormat="false" ht="15" hidden="false" customHeight="false" outlineLevel="0" collapsed="false">
      <c r="A74" s="3"/>
      <c r="B74" s="3"/>
      <c r="C74" s="3"/>
      <c r="D74" s="3"/>
      <c r="E74" s="3"/>
    </row>
    <row r="75" customFormat="false" ht="30" hidden="false" customHeight="true" outlineLevel="0" collapsed="false">
      <c r="A75" s="90" t="s">
        <v>32</v>
      </c>
      <c r="B75" s="49" t="s">
        <v>361</v>
      </c>
      <c r="C75" s="91" t="s">
        <v>825</v>
      </c>
      <c r="D75" s="47" t="str">
        <f aca="false">IF(AND(ISNUMBER(upPrice),upPrice&gt;=300),"Open","Waiting")</f>
        <v>Open</v>
      </c>
      <c r="E75" s="92" t="s">
        <v>826</v>
      </c>
    </row>
    <row r="76" customFormat="false" ht="15" hidden="false" customHeight="false" outlineLevel="0" collapsed="false">
      <c r="A76" s="3"/>
      <c r="B76" s="3"/>
      <c r="C76" s="33" t="s">
        <v>827</v>
      </c>
      <c r="D76" s="58"/>
      <c r="E76" s="60" t="s">
        <v>749</v>
      </c>
    </row>
    <row r="77" customFormat="false" ht="15" hidden="false" customHeight="false" outlineLevel="0" collapsed="false">
      <c r="A77" s="3"/>
      <c r="B77" s="3"/>
      <c r="C77" s="33" t="s">
        <v>828</v>
      </c>
      <c r="D77" s="58"/>
      <c r="E77" s="60" t="s">
        <v>749</v>
      </c>
    </row>
    <row r="78" customFormat="false" ht="15" hidden="false" customHeight="false" outlineLevel="0" collapsed="false">
      <c r="A78" s="3"/>
      <c r="B78" s="3"/>
      <c r="C78" s="33" t="s">
        <v>829</v>
      </c>
      <c r="D78" s="58"/>
      <c r="E78" s="60" t="s">
        <v>749</v>
      </c>
    </row>
    <row r="79" customFormat="false" ht="15" hidden="false" customHeight="false" outlineLevel="0" collapsed="false">
      <c r="A79" s="3"/>
      <c r="B79" s="3"/>
      <c r="C79" s="33" t="s">
        <v>830</v>
      </c>
      <c r="D79" s="58"/>
      <c r="E79" s="60" t="s">
        <v>749</v>
      </c>
    </row>
    <row r="80" customFormat="false" ht="15" hidden="false" customHeight="false" outlineLevel="0" collapsed="false">
      <c r="A80" s="3"/>
      <c r="B80" s="3"/>
      <c r="C80" s="33" t="s">
        <v>831</v>
      </c>
      <c r="D80" s="58"/>
      <c r="E80" s="60" t="s">
        <v>749</v>
      </c>
    </row>
    <row r="81" customFormat="false" ht="15" hidden="false" customHeight="false" outlineLevel="0" collapsed="false">
      <c r="A81" s="3"/>
      <c r="B81" s="3"/>
      <c r="C81" s="3"/>
      <c r="D81" s="3"/>
      <c r="E81" s="3"/>
    </row>
    <row r="82" customFormat="false" ht="30" hidden="false" customHeight="true" outlineLevel="0" collapsed="false">
      <c r="A82" s="90" t="s">
        <v>32</v>
      </c>
      <c r="B82" s="49" t="s">
        <v>832</v>
      </c>
      <c r="C82" s="91" t="s">
        <v>833</v>
      </c>
      <c r="D82" s="47" t="str">
        <f aca="false">IF(contPrice&lt;&gt;"","Open","Waiting")</f>
        <v>Open</v>
      </c>
      <c r="E82" s="92" t="s">
        <v>834</v>
      </c>
    </row>
    <row r="83" customFormat="false" ht="15" hidden="false" customHeight="false" outlineLevel="0" collapsed="false">
      <c r="A83" s="3"/>
      <c r="B83" s="3"/>
      <c r="C83" s="33" t="s">
        <v>835</v>
      </c>
      <c r="D83" s="58"/>
      <c r="E83" s="60" t="s">
        <v>749</v>
      </c>
    </row>
    <row r="84" customFormat="false" ht="15" hidden="false" customHeight="false" outlineLevel="0" collapsed="false">
      <c r="A84" s="3"/>
      <c r="B84" s="3"/>
      <c r="C84" s="33" t="s">
        <v>836</v>
      </c>
      <c r="D84" s="58"/>
      <c r="E84" s="60" t="s">
        <v>749</v>
      </c>
    </row>
    <row r="85" customFormat="false" ht="15" hidden="false" customHeight="false" outlineLevel="0" collapsed="false">
      <c r="A85" s="3"/>
      <c r="B85" s="3"/>
      <c r="C85" s="33" t="s">
        <v>837</v>
      </c>
      <c r="D85" s="58"/>
      <c r="E85" s="60" t="s">
        <v>749</v>
      </c>
    </row>
    <row r="86" customFormat="false" ht="15" hidden="false" customHeight="false" outlineLevel="0" collapsed="false">
      <c r="A86" s="3"/>
      <c r="B86" s="3"/>
      <c r="C86" s="33" t="s">
        <v>838</v>
      </c>
      <c r="D86" s="58"/>
      <c r="E86" s="60" t="s">
        <v>749</v>
      </c>
    </row>
    <row r="87" customFormat="false" ht="15" hidden="false" customHeight="false" outlineLevel="0" collapsed="false">
      <c r="A87" s="3"/>
      <c r="B87" s="3"/>
      <c r="C87" s="33" t="s">
        <v>839</v>
      </c>
      <c r="D87" s="58"/>
      <c r="E87" s="60" t="s">
        <v>749</v>
      </c>
    </row>
    <row r="88" customFormat="false" ht="15" hidden="false" customHeight="false" outlineLevel="0" collapsed="false">
      <c r="A88" s="3"/>
      <c r="B88" s="3"/>
      <c r="C88" s="3"/>
      <c r="D88" s="3"/>
      <c r="E88" s="3"/>
    </row>
    <row r="89" customFormat="false" ht="30" hidden="false" customHeight="true" outlineLevel="0" collapsed="false">
      <c r="A89" s="90" t="s">
        <v>32</v>
      </c>
      <c r="B89" s="49" t="s">
        <v>840</v>
      </c>
      <c r="C89" s="91" t="s">
        <v>841</v>
      </c>
      <c r="D89" s="47" t="str">
        <f aca="false">IF(AND(ISNUMBER(upCost),upCost&gt;0),"Open","Waiting")</f>
        <v>Open</v>
      </c>
      <c r="E89" s="92" t="s">
        <v>842</v>
      </c>
    </row>
    <row r="90" customFormat="false" ht="15" hidden="false" customHeight="false" outlineLevel="0" collapsed="false">
      <c r="A90" s="3"/>
      <c r="B90" s="3"/>
      <c r="C90" s="33" t="s">
        <v>843</v>
      </c>
      <c r="D90" s="58"/>
      <c r="E90" s="60" t="s">
        <v>749</v>
      </c>
    </row>
    <row r="91" customFormat="false" ht="15" hidden="false" customHeight="false" outlineLevel="0" collapsed="false">
      <c r="A91" s="3"/>
      <c r="B91" s="3"/>
      <c r="C91" s="33" t="s">
        <v>844</v>
      </c>
      <c r="D91" s="58"/>
      <c r="E91" s="60" t="s">
        <v>749</v>
      </c>
    </row>
    <row r="92" customFormat="false" ht="15" hidden="false" customHeight="false" outlineLevel="0" collapsed="false">
      <c r="A92" s="3"/>
      <c r="B92" s="3"/>
      <c r="C92" s="33" t="s">
        <v>845</v>
      </c>
      <c r="D92" s="58"/>
      <c r="E92" s="60" t="s">
        <v>749</v>
      </c>
    </row>
    <row r="93" customFormat="false" ht="15" hidden="false" customHeight="false" outlineLevel="0" collapsed="false">
      <c r="A93" s="3"/>
      <c r="B93" s="3"/>
      <c r="C93" s="33" t="s">
        <v>846</v>
      </c>
      <c r="D93" s="58"/>
      <c r="E93" s="60" t="s">
        <v>749</v>
      </c>
    </row>
    <row r="94" customFormat="false" ht="15" hidden="false" customHeight="false" outlineLevel="0" collapsed="false">
      <c r="A94" s="3"/>
      <c r="B94" s="3"/>
      <c r="C94" s="33" t="s">
        <v>847</v>
      </c>
      <c r="D94" s="58"/>
      <c r="E94" s="60" t="s">
        <v>749</v>
      </c>
    </row>
    <row r="95" customFormat="false" ht="15" hidden="false" customHeight="false" outlineLevel="0" collapsed="false">
      <c r="A95" s="3"/>
      <c r="B95" s="3"/>
      <c r="C95" s="3"/>
      <c r="D95" s="3"/>
      <c r="E95" s="3"/>
    </row>
    <row r="96" customFormat="false" ht="30" hidden="false" customHeight="true" outlineLevel="0" collapsed="false">
      <c r="A96" s="90" t="s">
        <v>32</v>
      </c>
      <c r="B96" s="49" t="s">
        <v>848</v>
      </c>
      <c r="C96" s="91" t="s">
        <v>849</v>
      </c>
      <c r="D96" s="47" t="str">
        <f aca="false">IF(attrCap&lt;&gt;"","Open","Waiting")</f>
        <v>Open</v>
      </c>
      <c r="E96" s="92" t="s">
        <v>850</v>
      </c>
    </row>
    <row r="97" customFormat="false" ht="15" hidden="false" customHeight="false" outlineLevel="0" collapsed="false">
      <c r="A97" s="3"/>
      <c r="B97" s="3"/>
      <c r="C97" s="33" t="s">
        <v>851</v>
      </c>
      <c r="D97" s="58"/>
      <c r="E97" s="60" t="s">
        <v>749</v>
      </c>
    </row>
    <row r="98" customFormat="false" ht="15" hidden="false" customHeight="false" outlineLevel="0" collapsed="false">
      <c r="A98" s="3"/>
      <c r="B98" s="3"/>
      <c r="C98" s="33" t="s">
        <v>852</v>
      </c>
      <c r="D98" s="58"/>
      <c r="E98" s="60" t="s">
        <v>749</v>
      </c>
    </row>
    <row r="99" customFormat="false" ht="15" hidden="false" customHeight="false" outlineLevel="0" collapsed="false">
      <c r="A99" s="3"/>
      <c r="B99" s="3"/>
      <c r="C99" s="33" t="s">
        <v>853</v>
      </c>
      <c r="D99" s="58"/>
      <c r="E99" s="60" t="s">
        <v>749</v>
      </c>
    </row>
    <row r="100" customFormat="false" ht="15" hidden="false" customHeight="false" outlineLevel="0" collapsed="false">
      <c r="A100" s="3"/>
      <c r="B100" s="3"/>
      <c r="C100" s="33" t="s">
        <v>854</v>
      </c>
      <c r="D100" s="58"/>
      <c r="E100" s="60" t="s">
        <v>749</v>
      </c>
    </row>
    <row r="101" customFormat="false" ht="15" hidden="false" customHeight="false" outlineLevel="0" collapsed="false">
      <c r="A101" s="3"/>
      <c r="B101" s="3"/>
      <c r="C101" s="33" t="s">
        <v>855</v>
      </c>
      <c r="D101" s="58"/>
      <c r="E101" s="60" t="s">
        <v>749</v>
      </c>
    </row>
    <row r="102" customFormat="false" ht="15" hidden="false" customHeight="false" outlineLevel="0" collapsed="false">
      <c r="A102" s="3"/>
      <c r="B102" s="3"/>
      <c r="C102" s="3"/>
      <c r="D102" s="3"/>
      <c r="E102" s="3"/>
    </row>
    <row r="103" customFormat="false" ht="30" hidden="false" customHeight="true" outlineLevel="0" collapsed="false">
      <c r="A103" s="90" t="s">
        <v>33</v>
      </c>
      <c r="B103" s="49" t="s">
        <v>856</v>
      </c>
      <c r="C103" s="91" t="s">
        <v>857</v>
      </c>
      <c r="D103" s="47" t="str">
        <f aca="false">IF(AND(ISNUMBER(contJoin),contJoin&lt;0.7),"Open","Waiting")</f>
        <v>Open</v>
      </c>
      <c r="E103" s="92" t="s">
        <v>858</v>
      </c>
    </row>
    <row r="104" customFormat="false" ht="15" hidden="false" customHeight="false" outlineLevel="0" collapsed="false">
      <c r="A104" s="3"/>
      <c r="B104" s="3"/>
      <c r="C104" s="33" t="s">
        <v>859</v>
      </c>
      <c r="D104" s="58"/>
      <c r="E104" s="60" t="s">
        <v>749</v>
      </c>
    </row>
    <row r="105" customFormat="false" ht="15" hidden="false" customHeight="false" outlineLevel="0" collapsed="false">
      <c r="A105" s="3"/>
      <c r="B105" s="3"/>
      <c r="C105" s="33" t="s">
        <v>860</v>
      </c>
      <c r="D105" s="58"/>
      <c r="E105" s="60" t="s">
        <v>749</v>
      </c>
    </row>
    <row r="106" customFormat="false" ht="15" hidden="false" customHeight="false" outlineLevel="0" collapsed="false">
      <c r="A106" s="3"/>
      <c r="B106" s="3"/>
      <c r="C106" s="33" t="s">
        <v>861</v>
      </c>
      <c r="D106" s="58"/>
      <c r="E106" s="60" t="s">
        <v>749</v>
      </c>
    </row>
    <row r="107" customFormat="false" ht="15" hidden="false" customHeight="false" outlineLevel="0" collapsed="false">
      <c r="A107" s="3"/>
      <c r="B107" s="3"/>
      <c r="C107" s="33" t="s">
        <v>862</v>
      </c>
      <c r="D107" s="58"/>
      <c r="E107" s="60" t="s">
        <v>749</v>
      </c>
    </row>
    <row r="108" customFormat="false" ht="15" hidden="false" customHeight="false" outlineLevel="0" collapsed="false">
      <c r="A108" s="3"/>
      <c r="B108" s="3"/>
      <c r="C108" s="33" t="s">
        <v>863</v>
      </c>
      <c r="D108" s="58"/>
      <c r="E108" s="60" t="s">
        <v>749</v>
      </c>
    </row>
    <row r="109" customFormat="false" ht="15" hidden="false" customHeight="false" outlineLevel="0" collapsed="false">
      <c r="A109" s="3"/>
      <c r="B109" s="3"/>
      <c r="C109" s="3"/>
      <c r="D109" s="3"/>
      <c r="E109" s="3"/>
    </row>
    <row r="110" customFormat="false" ht="30" hidden="false" customHeight="true" outlineLevel="0" collapsed="false">
      <c r="A110" s="90" t="s">
        <v>33</v>
      </c>
      <c r="B110" s="49" t="s">
        <v>864</v>
      </c>
      <c r="C110" s="91" t="s">
        <v>865</v>
      </c>
      <c r="D110" s="47" t="str">
        <f aca="false">IF(AND(ISNUMBER(expectedMonths),expectedMonths&gt;=6),"Open","Waiting")</f>
        <v>Open</v>
      </c>
      <c r="E110" s="92" t="s">
        <v>866</v>
      </c>
    </row>
    <row r="111" customFormat="false" ht="15" hidden="false" customHeight="false" outlineLevel="0" collapsed="false">
      <c r="A111" s="3"/>
      <c r="B111" s="3"/>
      <c r="C111" s="33" t="s">
        <v>867</v>
      </c>
      <c r="D111" s="58"/>
      <c r="E111" s="60" t="s">
        <v>749</v>
      </c>
    </row>
    <row r="112" customFormat="false" ht="15" hidden="false" customHeight="false" outlineLevel="0" collapsed="false">
      <c r="A112" s="3"/>
      <c r="B112" s="3"/>
      <c r="C112" s="33" t="s">
        <v>868</v>
      </c>
      <c r="D112" s="58"/>
      <c r="E112" s="60" t="s">
        <v>749</v>
      </c>
    </row>
    <row r="113" customFormat="false" ht="15" hidden="false" customHeight="false" outlineLevel="0" collapsed="false">
      <c r="A113" s="3"/>
      <c r="B113" s="3"/>
      <c r="C113" s="33" t="s">
        <v>869</v>
      </c>
      <c r="D113" s="58"/>
      <c r="E113" s="60" t="s">
        <v>749</v>
      </c>
    </row>
    <row r="114" customFormat="false" ht="15" hidden="false" customHeight="false" outlineLevel="0" collapsed="false">
      <c r="A114" s="3"/>
      <c r="B114" s="3"/>
      <c r="C114" s="33" t="s">
        <v>870</v>
      </c>
      <c r="D114" s="58"/>
      <c r="E114" s="60" t="s">
        <v>749</v>
      </c>
    </row>
    <row r="115" customFormat="false" ht="15" hidden="false" customHeight="false" outlineLevel="0" collapsed="false">
      <c r="A115" s="3"/>
      <c r="B115" s="3"/>
      <c r="C115" s="33" t="s">
        <v>871</v>
      </c>
      <c r="D115" s="58"/>
      <c r="E115" s="60" t="s">
        <v>749</v>
      </c>
    </row>
    <row r="116" customFormat="false" ht="15" hidden="false" customHeight="false" outlineLevel="0" collapsed="false">
      <c r="A116" s="3"/>
      <c r="B116" s="3"/>
      <c r="C116" s="3"/>
      <c r="D116" s="3"/>
      <c r="E116" s="3"/>
    </row>
    <row r="117" customFormat="false" ht="30" hidden="false" customHeight="true" outlineLevel="0" collapsed="false">
      <c r="A117" s="90" t="s">
        <v>33</v>
      </c>
      <c r="B117" s="49" t="s">
        <v>872</v>
      </c>
      <c r="C117" s="91" t="s">
        <v>873</v>
      </c>
      <c r="D117" s="47" t="str">
        <f aca="false">IF(AND(ISNUMBER(contGp),contGp&gt;0),"Open","Waiting")</f>
        <v>Open</v>
      </c>
      <c r="E117" s="92" t="s">
        <v>874</v>
      </c>
    </row>
    <row r="118" customFormat="false" ht="15" hidden="false" customHeight="false" outlineLevel="0" collapsed="false">
      <c r="A118" s="3"/>
      <c r="B118" s="3"/>
      <c r="C118" s="33" t="s">
        <v>875</v>
      </c>
      <c r="D118" s="58"/>
      <c r="E118" s="60" t="s">
        <v>749</v>
      </c>
    </row>
    <row r="119" customFormat="false" ht="15" hidden="false" customHeight="false" outlineLevel="0" collapsed="false">
      <c r="A119" s="3"/>
      <c r="B119" s="3"/>
      <c r="C119" s="33" t="s">
        <v>876</v>
      </c>
      <c r="D119" s="58"/>
      <c r="E119" s="60" t="s">
        <v>749</v>
      </c>
    </row>
    <row r="120" customFormat="false" ht="15" hidden="false" customHeight="false" outlineLevel="0" collapsed="false">
      <c r="A120" s="3"/>
      <c r="B120" s="3"/>
      <c r="C120" s="33" t="s">
        <v>877</v>
      </c>
      <c r="D120" s="58"/>
      <c r="E120" s="60" t="s">
        <v>749</v>
      </c>
    </row>
    <row r="121" customFormat="false" ht="15" hidden="false" customHeight="false" outlineLevel="0" collapsed="false">
      <c r="A121" s="3"/>
      <c r="B121" s="3"/>
      <c r="C121" s="33" t="s">
        <v>878</v>
      </c>
      <c r="D121" s="58"/>
      <c r="E121" s="60" t="s">
        <v>749</v>
      </c>
    </row>
    <row r="122" customFormat="false" ht="15" hidden="false" customHeight="false" outlineLevel="0" collapsed="false">
      <c r="A122" s="3"/>
      <c r="B122" s="3"/>
      <c r="C122" s="33" t="s">
        <v>879</v>
      </c>
      <c r="D122" s="58"/>
      <c r="E122" s="60" t="s">
        <v>749</v>
      </c>
    </row>
    <row r="123" customFormat="false" ht="15" hidden="false" customHeight="false" outlineLevel="0" collapsed="false">
      <c r="A123" s="3"/>
      <c r="B123" s="3"/>
      <c r="C123" s="3"/>
      <c r="D123" s="3"/>
      <c r="E123" s="3"/>
    </row>
    <row r="124" customFormat="false" ht="30" hidden="false" customHeight="true" outlineLevel="0" collapsed="false">
      <c r="A124" s="90" t="s">
        <v>33</v>
      </c>
      <c r="B124" s="49" t="s">
        <v>880</v>
      </c>
      <c r="C124" s="91" t="s">
        <v>881</v>
      </c>
      <c r="D124" s="47" t="str">
        <f aca="false">IF(AND(ISNUMBER(churn),churn&gt;=0.05),"Open","Waiting")</f>
        <v>Open</v>
      </c>
      <c r="E124" s="92" t="s">
        <v>882</v>
      </c>
    </row>
    <row r="125" customFormat="false" ht="15" hidden="false" customHeight="false" outlineLevel="0" collapsed="false">
      <c r="A125" s="3"/>
      <c r="B125" s="3"/>
      <c r="C125" s="33" t="s">
        <v>883</v>
      </c>
      <c r="D125" s="58"/>
      <c r="E125" s="60" t="s">
        <v>749</v>
      </c>
    </row>
    <row r="126" customFormat="false" ht="15" hidden="false" customHeight="false" outlineLevel="0" collapsed="false">
      <c r="A126" s="3"/>
      <c r="B126" s="3"/>
      <c r="C126" s="33" t="s">
        <v>884</v>
      </c>
      <c r="D126" s="58"/>
      <c r="E126" s="60" t="s">
        <v>749</v>
      </c>
    </row>
    <row r="127" customFormat="false" ht="15" hidden="false" customHeight="false" outlineLevel="0" collapsed="false">
      <c r="A127" s="3"/>
      <c r="B127" s="3"/>
      <c r="C127" s="33" t="s">
        <v>885</v>
      </c>
      <c r="D127" s="58"/>
      <c r="E127" s="60" t="s">
        <v>749</v>
      </c>
    </row>
    <row r="128" customFormat="false" ht="15" hidden="false" customHeight="false" outlineLevel="0" collapsed="false">
      <c r="A128" s="3"/>
      <c r="B128" s="3"/>
      <c r="C128" s="33" t="s">
        <v>886</v>
      </c>
      <c r="D128" s="58"/>
      <c r="E128" s="60" t="s">
        <v>749</v>
      </c>
    </row>
    <row r="129" customFormat="false" ht="15" hidden="false" customHeight="false" outlineLevel="0" collapsed="false">
      <c r="A129" s="3"/>
      <c r="B129" s="3"/>
      <c r="C129" s="33" t="s">
        <v>887</v>
      </c>
      <c r="D129" s="58"/>
      <c r="E129" s="60" t="s">
        <v>749</v>
      </c>
    </row>
    <row r="130" customFormat="false" ht="15" hidden="false" customHeight="false" outlineLevel="0" collapsed="false">
      <c r="A130" s="3"/>
      <c r="B130" s="3"/>
      <c r="C130" s="3"/>
      <c r="D130" s="3"/>
      <c r="E130" s="3"/>
    </row>
    <row r="131" customFormat="false" ht="30" hidden="false" customHeight="true" outlineLevel="0" collapsed="false">
      <c r="A131" s="90" t="s">
        <v>33</v>
      </c>
      <c r="B131" s="49" t="s">
        <v>447</v>
      </c>
      <c r="C131" s="91" t="s">
        <v>888</v>
      </c>
      <c r="D131" s="47" t="str">
        <f aca="false">IF(contPrice&lt;&gt;"","Open","Waiting")</f>
        <v>Open</v>
      </c>
      <c r="E131" s="92" t="s">
        <v>889</v>
      </c>
    </row>
    <row r="132" customFormat="false" ht="15" hidden="false" customHeight="false" outlineLevel="0" collapsed="false">
      <c r="A132" s="3"/>
      <c r="B132" s="3"/>
      <c r="C132" s="33" t="s">
        <v>890</v>
      </c>
      <c r="D132" s="58"/>
      <c r="E132" s="60" t="s">
        <v>749</v>
      </c>
    </row>
    <row r="133" customFormat="false" ht="15" hidden="false" customHeight="false" outlineLevel="0" collapsed="false">
      <c r="A133" s="3"/>
      <c r="B133" s="3"/>
      <c r="C133" s="33" t="s">
        <v>891</v>
      </c>
      <c r="D133" s="58"/>
      <c r="E133" s="60" t="s">
        <v>749</v>
      </c>
    </row>
    <row r="134" customFormat="false" ht="15" hidden="false" customHeight="false" outlineLevel="0" collapsed="false">
      <c r="A134" s="3"/>
      <c r="B134" s="3"/>
      <c r="C134" s="33" t="s">
        <v>892</v>
      </c>
      <c r="D134" s="58"/>
      <c r="E134" s="60" t="s">
        <v>749</v>
      </c>
    </row>
    <row r="135" customFormat="false" ht="15" hidden="false" customHeight="false" outlineLevel="0" collapsed="false">
      <c r="A135" s="3"/>
      <c r="B135" s="3"/>
      <c r="C135" s="33" t="s">
        <v>893</v>
      </c>
      <c r="D135" s="58"/>
      <c r="E135" s="60" t="s">
        <v>749</v>
      </c>
    </row>
    <row r="136" customFormat="false" ht="15" hidden="false" customHeight="false" outlineLevel="0" collapsed="false">
      <c r="A136" s="3"/>
      <c r="B136" s="3"/>
      <c r="C136" s="33" t="s">
        <v>894</v>
      </c>
      <c r="D136" s="58"/>
      <c r="E136" s="60" t="s">
        <v>749</v>
      </c>
    </row>
  </sheetData>
  <mergeCells count="2">
    <mergeCell ref="A1:E1"/>
    <mergeCell ref="A2:E2"/>
  </mergeCells>
  <conditionalFormatting sqref="D5:D138">
    <cfRule type="cellIs" priority="2" operator="equal" aboveAverage="0" equalAverage="0" bottom="0" percent="0" rank="0" text="" dxfId="0">
      <formula>"Open"</formula>
    </cfRule>
    <cfRule type="cellIs" priority="3" operator="equal" aboveAverage="0" equalAverage="0" bottom="0" percent="0" rank="0" text="" dxfId="1">
      <formula>"Waiting"</formula>
    </cfRule>
  </conditionalFormatting>
  <dataValidations count="1">
    <dataValidation allowBlank="true" errorStyle="stop" operator="between" showDropDown="false" showErrorMessage="false" showInputMessage="false" sqref="D6:D10 D13:D17 D20:D24 D27:D31 D34:D38 D41:D45 D48:D52 D55:D59 D62:D66 D69:D73 D76:D80 D83:D87 D90:D94 D97:D101 D104:D108 D111:D115 D118:D122 D125:D129 D132:D136" type="list">
      <formula1>"Yes,No"</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2026-09-26T18:10:51Z</dcterms:created>
  <dc:creator>openpyxl</dc:creator>
  <dc:description/>
  <dc:language>en-US</dc:language>
  <cp:lastModifiedBy/>
  <dcterms:modified xsi:type="dcterms:W3CDTF">2026-09-26T18:10:53Z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