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chedule" sheetId="2" state="visible" r:id="rId4"/>
    <sheet name="Charts" sheetId="3" state="visible" r:id="rId5"/>
    <sheet name="Expense Breakdown" sheetId="4" state="visible" r:id="rId6"/>
    <sheet name="FIRE Calculator" sheetId="5" state="visible" r:id="rId7"/>
    <sheet name="Amortiz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<sst xmlns="http://schemas.openxmlformats.org/spreadsheetml/2006/main" count="172" uniqueCount="150">
  <si>
    <t xml:space="preserve">🏠  BUY vs. RENT  +  FIRE CALCULATOR</t>
  </si>
  <si>
    <t xml:space="preserve">  🟡 Yellow cells = YOUR INPUTS  │  Gray cells = auto-calculated (do not edit)  │  All formulas locked &amp; protected</t>
  </si>
  <si>
    <t xml:space="preserve">🏡  BUYING</t>
  </si>
  <si>
    <t xml:space="preserve">🏢  RENTING</t>
  </si>
  <si>
    <t xml:space="preserve">📊  RESULTS</t>
  </si>
  <si>
    <t xml:space="preserve">🔥  FIRE</t>
  </si>
  <si>
    <t xml:space="preserve">  PROPERTY</t>
  </si>
  <si>
    <t xml:space="preserve">  RENT COSTS</t>
  </si>
  <si>
    <t xml:space="preserve">  SELECT VIEW YEAR</t>
  </si>
  <si>
    <t xml:space="preserve">  YOUR FINANCES</t>
  </si>
  <si>
    <t xml:space="preserve">Home Price</t>
  </si>
  <si>
    <t xml:space="preserve">Monthly Rent</t>
  </si>
  <si>
    <t xml:space="preserve">View at Year →</t>
  </si>
  <si>
    <t xml:space="preserve">Annual Gross Income</t>
  </si>
  <si>
    <t xml:space="preserve">Down Payment %</t>
  </si>
  <si>
    <t xml:space="preserve">Annual Rent Increase</t>
  </si>
  <si>
    <t xml:space="preserve">Annual Expenses</t>
  </si>
  <si>
    <t xml:space="preserve">Down Payment $</t>
  </si>
  <si>
    <t xml:space="preserve">Renters Insurance ($/mo)</t>
  </si>
  <si>
    <t xml:space="preserve">BUYER NET WORTH</t>
  </si>
  <si>
    <t xml:space="preserve">Savings Rate</t>
  </si>
  <si>
    <t xml:space="preserve">  MORTGAGE</t>
  </si>
  <si>
    <t xml:space="preserve">Security Deposit (mo.)</t>
  </si>
  <si>
    <t xml:space="preserve">Current Savings/Invest.</t>
  </si>
  <si>
    <t xml:space="preserve">Interest Rate (annual)</t>
  </si>
  <si>
    <t xml:space="preserve">  INVESTMENT ASSUMPTIONS</t>
  </si>
  <si>
    <t xml:space="preserve">  FIRE SETTINGS</t>
  </si>
  <si>
    <t xml:space="preserve">Loan Term (years)</t>
  </si>
  <si>
    <t xml:space="preserve">Stock Return (annual)</t>
  </si>
  <si>
    <t xml:space="preserve">RENTER NET WORTH</t>
  </si>
  <si>
    <t xml:space="preserve">Withdrawal Rate (4% rule)</t>
  </si>
  <si>
    <t xml:space="preserve">  ONGOING COSTS</t>
  </si>
  <si>
    <t xml:space="preserve">Capital Gains Tax Rate</t>
  </si>
  <si>
    <t xml:space="preserve">Investment Return</t>
  </si>
  <si>
    <t xml:space="preserve">Property Tax (% of value/yr)</t>
  </si>
  <si>
    <t xml:space="preserve">Extra Monthly Invest ($)</t>
  </si>
  <si>
    <t xml:space="preserve">Inflation Rate</t>
  </si>
  <si>
    <t xml:space="preserve">Home Insurance ($/mo)</t>
  </si>
  <si>
    <t xml:space="preserve">  ANALYSIS PERIOD</t>
  </si>
  <si>
    <t xml:space="preserve">  FIRE — BUY vs RENT</t>
  </si>
  <si>
    <t xml:space="preserve">HOA Fees ($/mo)</t>
  </si>
  <si>
    <t xml:space="preserve">Years to Analyze (1–100)</t>
  </si>
  <si>
    <t xml:space="preserve">Monthly Savings if Renting</t>
  </si>
  <si>
    <t xml:space="preserve">Maintenance (% value/yr)</t>
  </si>
  <si>
    <t xml:space="preserve">Monthly Cost</t>
  </si>
  <si>
    <t xml:space="preserve">Monthly Savings if Buying</t>
  </si>
  <si>
    <t xml:space="preserve">PMI Rate (if &lt;20% down)</t>
  </si>
  <si>
    <t xml:space="preserve">Cum. Cash Spent</t>
  </si>
  <si>
    <t xml:space="preserve">Your FIRE Number (25x expenses)</t>
  </si>
  <si>
    <t xml:space="preserve">  TRANSACTION &amp; GROWTH</t>
  </si>
  <si>
    <t xml:space="preserve">Asset Value</t>
  </si>
  <si>
    <t xml:space="preserve">Yrs to FIRE — If Renting</t>
  </si>
  <si>
    <t xml:space="preserve">Buying Closing Costs %</t>
  </si>
  <si>
    <t xml:space="preserve">Cum. Interest Paid</t>
  </si>
  <si>
    <t xml:space="preserve">Yrs to FIRE — If Buying</t>
  </si>
  <si>
    <t xml:space="preserve">Selling Costs %</t>
  </si>
  <si>
    <t xml:space="preserve">Home Appreciation (yr %)</t>
  </si>
  <si>
    <t xml:space="preserve">Marginal Tax Rate</t>
  </si>
  <si>
    <t xml:space="preserve">  MONTHLY PAYMENT BREAKDOWN</t>
  </si>
  <si>
    <t xml:space="preserve">  RENTER MATH</t>
  </si>
  <si>
    <t xml:space="preserve">Monthly Mortgage (P&amp;I)</t>
  </si>
  <si>
    <t xml:space="preserve">Renter Invests Upfront</t>
  </si>
  <si>
    <t xml:space="preserve">Monthly Property Tax</t>
  </si>
  <si>
    <t xml:space="preserve">Renter Security Deposit</t>
  </si>
  <si>
    <t xml:space="preserve">Monthly PMI</t>
  </si>
  <si>
    <t xml:space="preserve">Monthly Diff Invested by Renter</t>
  </si>
  <si>
    <t xml:space="preserve">TOTAL Monthly (Buyer)</t>
  </si>
  <si>
    <t xml:space="preserve">TOTAL Monthly (Renter)</t>
  </si>
  <si>
    <t xml:space="preserve">Yr</t>
  </si>
  <si>
    <t xml:space="preserve">Home Value</t>
  </si>
  <si>
    <t xml:space="preserve">Loan Balance</t>
  </si>
  <si>
    <t xml:space="preserve">Annual Buyer Cost</t>
  </si>
  <si>
    <t xml:space="preserve">Cum. Interest</t>
  </si>
  <si>
    <t xml:space="preserve">Cum. Principal</t>
  </si>
  <si>
    <t xml:space="preserve">Buyer Cash Spent</t>
  </si>
  <si>
    <t xml:space="preserve">Buyer Net Worth ★</t>
  </si>
  <si>
    <t xml:space="preserve">Ann. Mortgage</t>
  </si>
  <si>
    <t xml:space="preserve">Ann. Prop Tax</t>
  </si>
  <si>
    <t xml:space="preserve">Ann. Insurance</t>
  </si>
  <si>
    <t xml:space="preserve">Ann. Mainten.</t>
  </si>
  <si>
    <t xml:space="preserve">Ann. PMI</t>
  </si>
  <si>
    <t xml:space="preserve">Cum. Rent</t>
  </si>
  <si>
    <t xml:space="preserve">Annual Rent Cost</t>
  </si>
  <si>
    <t xml:space="preserve">Portfolio Value</t>
  </si>
  <si>
    <t xml:space="preserve">Renter Cash Spent</t>
  </si>
  <si>
    <t xml:space="preserve">Renter Net Worth ★</t>
  </si>
  <si>
    <t xml:space="preserve">Annual Rent</t>
  </si>
  <si>
    <t xml:space="preserve">Ann. RentIns</t>
  </si>
  <si>
    <t xml:space="preserve">★ Buyer Net Worth = home sale proceeds − loan balance  ★ Renter Net Worth = portfolio after cap gains tax  Year 0 = row 3, Year 100 = row 103  |  Yellow cells = inputs on Dashboard</t>
  </si>
  <si>
    <t xml:space="preserve">📈  INTERACTIVE CHARTS  —  Net Worth Timeline &amp; Expense Breakdown</t>
  </si>
  <si>
    <t xml:space="preserve">  CHART CUSTOMIZATION — Change these to update charts</t>
  </si>
  <si>
    <t xml:space="preserve">Chart Start Year</t>
  </si>
  <si>
    <t xml:space="preserve">Chart End Year</t>
  </si>
  <si>
    <t xml:space="preserve">  CHART DATA (auto-calculated from Schedule &amp; Dashboard)</t>
  </si>
  <si>
    <t xml:space="preserve">Year</t>
  </si>
  <si>
    <t xml:space="preserve">Buyer Net Worth</t>
  </si>
  <si>
    <t xml:space="preserve">Renter Net Worth</t>
  </si>
  <si>
    <t xml:space="preserve">Ann. Buyer Cost</t>
  </si>
  <si>
    <t xml:space="preserve">Ann. Rent Cost</t>
  </si>
  <si>
    <t xml:space="preserve">📊  ANNUAL EXPENSE BREAKDOWN  —  Buyer vs. Renter at Selected Year</t>
  </si>
  <si>
    <t xml:space="preserve">Year (linked from Dashboard):</t>
  </si>
  <si>
    <t xml:space="preserve">Change 'View at Year' on Dashboard to update all results &amp; charts</t>
  </si>
  <si>
    <t xml:space="preserve">  BUYER — Annual Expenses at Selected Year</t>
  </si>
  <si>
    <t xml:space="preserve">  RENTER — Annual Expenses at Selected Year</t>
  </si>
  <si>
    <t xml:space="preserve">Category</t>
  </si>
  <si>
    <t xml:space="preserve">Buyer ($)</t>
  </si>
  <si>
    <t xml:space="preserve">Renter ($)</t>
  </si>
  <si>
    <t xml:space="preserve">Mortgage Payment (P&amp;I)</t>
  </si>
  <si>
    <t xml:space="preserve">Rent Payments</t>
  </si>
  <si>
    <t xml:space="preserve">Mortgage / Rent</t>
  </si>
  <si>
    <t xml:space="preserve">Property Tax</t>
  </si>
  <si>
    <t xml:space="preserve">Renters Insurance</t>
  </si>
  <si>
    <t xml:space="preserve">Homeowner Insurance</t>
  </si>
  <si>
    <t xml:space="preserve">Opp. Cost Invested (notional)</t>
  </si>
  <si>
    <t xml:space="preserve">Insurance</t>
  </si>
  <si>
    <t xml:space="preserve">Maintenance &amp; Repairs</t>
  </si>
  <si>
    <t xml:space="preserve">—</t>
  </si>
  <si>
    <t xml:space="preserve">Maintenance</t>
  </si>
  <si>
    <t xml:space="preserve">PMI</t>
  </si>
  <si>
    <t xml:space="preserve">PMI / HOA</t>
  </si>
  <si>
    <t xml:space="preserve">HOA Fees</t>
  </si>
  <si>
    <t xml:space="preserve">TOTAL ANNUAL BUYER COST</t>
  </si>
  <si>
    <t xml:space="preserve">TOTAL ANNUAL RENTER COST</t>
  </si>
  <si>
    <t xml:space="preserve">🔥  FIRE CALCULATOR  —  Financial Independence, Retire Early</t>
  </si>
  <si>
    <t xml:space="preserve">🟡 Yellow = your inputs | How many years until you can retire early?</t>
  </si>
  <si>
    <t xml:space="preserve">  YOUR FINANCIAL SITUATION</t>
  </si>
  <si>
    <t xml:space="preserve">Current Savings/Investments</t>
  </si>
  <si>
    <t xml:space="preserve">Current Age</t>
  </si>
  <si>
    <t xml:space="preserve">Expected Annual Return</t>
  </si>
  <si>
    <t xml:space="preserve">Safe Withdrawal Rate</t>
  </si>
  <si>
    <t xml:space="preserve">Expected Social Security/mo</t>
  </si>
  <si>
    <t xml:space="preserve">  HOUSING SCENARIO</t>
  </si>
  <si>
    <t xml:space="preserve">Monthly Cost if Buying</t>
  </si>
  <si>
    <t xml:space="preserve">Monthly Cost if Renting</t>
  </si>
  <si>
    <t xml:space="preserve">  FIRE RESULTS</t>
  </si>
  <si>
    <t xml:space="preserve">Your FIRE Number</t>
  </si>
  <si>
    <t xml:space="preserve">Annual Savings</t>
  </si>
  <si>
    <t xml:space="preserve">Monthly Savings</t>
  </si>
  <si>
    <t xml:space="preserve">Years to FIRE (base case)</t>
  </si>
  <si>
    <t xml:space="preserve">Retirement Age (base case)</t>
  </si>
  <si>
    <t xml:space="preserve">FIRE Year if Buying (housing cost adj.)</t>
  </si>
  <si>
    <t xml:space="preserve">FIRE Year if Renting (housing cost adj.)</t>
  </si>
  <si>
    <t xml:space="preserve">  FIRE SCHEDULE (Year-by-Year Portfolio Growth)</t>
  </si>
  <si>
    <t xml:space="preserve">FIRE Number</t>
  </si>
  <si>
    <t xml:space="preserve">Mo.</t>
  </si>
  <si>
    <t xml:space="preserve">Payment</t>
  </si>
  <si>
    <t xml:space="preserve">Principal</t>
  </si>
  <si>
    <t xml:space="preserve">Interest</t>
  </si>
  <si>
    <t xml:space="preserve">Balance</t>
  </si>
  <si>
    <t xml:space="preserve">Monthly amortization (360 months). All formulas locked. Inputs pull from Dashboard.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</si>
</sst>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0"/>
    <numFmt numFmtId="167" formatCode="0.0%"/>
    <numFmt numFmtId="168" formatCode="0.00%"/>
    <numFmt numFmtId="169" formatCode="0%"/>
    <numFmt numFmtId="170" formatCode="0&quot; mo&quot;"/>
    <numFmt numFmtId="171" formatCode="0.000%"/>
    <numFmt numFmtId="172" formatCode="0&quot; yrs&quot;"/>
    <numFmt numFmtId="173" formatCode="\@"/>
    <numFmt numFmtId="174" formatCode="0.0&quot; yrs&quot;"/>
    <numFmt numFmtId="175" formatCode="0.0&quot; years&quot;"/>
    <numFmt numFmtId="176" formatCode="\$#,##0.0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9"/>
      <color rgb="FFAAAAA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343A40"/>
      <name val="Calibri"/>
      <family val="0"/>
      <charset val="1"/>
    </font>
    <font>
      <b val="true"/>
      <sz val="10"/>
      <color rgb="FF0D1B2A"/>
      <name val="Calibri"/>
      <family val="0"/>
      <charset val="1"/>
    </font>
    <font>
      <b val="true"/>
      <sz val="10"/>
      <color rgb="FF343A40"/>
      <name val="Calibri"/>
      <family val="0"/>
      <charset val="1"/>
    </font>
    <font>
      <b val="true"/>
      <sz val="14"/>
      <color rgb="FF0D1B2A"/>
      <name val="Calibri"/>
      <family val="0"/>
      <charset val="1"/>
    </font>
    <font>
      <sz val="10"/>
      <color rgb="FF6C757D"/>
      <name val="Calibri"/>
      <family val="0"/>
      <charset val="1"/>
    </font>
    <font>
      <sz val="10"/>
      <color rgb="FF495057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20"/>
      <color rgb="FF0A3622"/>
      <name val="Calibri"/>
      <family val="0"/>
      <charset val="1"/>
    </font>
    <font>
      <b val="true"/>
      <sz val="20"/>
      <color rgb="FF0D1B2A"/>
      <name val="Calibri"/>
      <family val="0"/>
      <charset val="1"/>
    </font>
    <font>
      <b val="true"/>
      <sz val="11"/>
      <color rgb="FF343A40"/>
      <name val="Calibri"/>
      <family val="0"/>
      <charset val="1"/>
    </font>
    <font>
      <sz val="9"/>
      <color rgb="FF6C757D"/>
      <name val="Calibri"/>
      <family val="0"/>
      <charset val="1"/>
    </font>
    <font>
      <b val="true"/>
      <sz val="10"/>
      <color rgb="FF0A3622"/>
      <name val="Calibri"/>
      <family val="0"/>
      <charset val="1"/>
    </font>
    <font>
      <sz val="10"/>
      <color rgb="FF0D1B2A"/>
      <name val="Calibri"/>
      <family val="0"/>
      <charset val="1"/>
    </font>
    <font>
      <sz val="10"/>
      <color rgb="FF0A3622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8"/>
      <color rgb="FF495057"/>
      <name val="Calibri"/>
      <family val="0"/>
      <charset val="1"/>
    </font>
    <font>
      <b val="true"/>
      <sz val="8"/>
      <color rgb="FF0A3622"/>
      <name val="Calibri"/>
      <family val="0"/>
      <charset val="1"/>
    </font>
    <font>
      <b val="true"/>
      <sz val="8"/>
      <color rgb="FF0D1B2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D1B2A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A3622"/>
      <name val="Calibri"/>
      <family val="0"/>
      <charset val="1"/>
    </font>
    <font>
      <sz val="9"/>
      <color rgb="FF0D1B2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6F1E1E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6C757D"/>
      <name val="Calibri"/>
      <family val="0"/>
      <charset val="1"/>
    </font>
    <font>
      <sz val="8"/>
      <color rgb="FF343A40"/>
      <name val="Calibri"/>
      <family val="0"/>
      <charset val="1"/>
    </font>
    <font>
      <sz val="8"/>
      <color rgb="FF198754"/>
      <name val="Calibri"/>
      <family val="0"/>
      <charset val="1"/>
    </font>
    <font>
      <sz val="8"/>
      <color rgb="FFDC3545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A3622"/>
        <bgColor rgb="FF1C3557"/>
      </patternFill>
    </fill>
    <fill>
      <patternFill patternType="solid">
        <fgColor rgb="FF343A40"/>
        <bgColor rgb="FF1C3557"/>
      </patternFill>
    </fill>
    <fill>
      <patternFill patternType="solid">
        <fgColor rgb="FF0D1B2A"/>
        <bgColor rgb="FF0A3622"/>
      </patternFill>
    </fill>
    <fill>
      <patternFill patternType="solid">
        <fgColor rgb="FF6F1E1E"/>
        <bgColor rgb="FF800000"/>
      </patternFill>
    </fill>
    <fill>
      <patternFill patternType="solid">
        <fgColor rgb="FF198754"/>
        <bgColor rgb="FF008080"/>
      </patternFill>
    </fill>
    <fill>
      <patternFill patternType="solid">
        <fgColor rgb="FF1C3557"/>
        <bgColor rgb="FF343A40"/>
      </patternFill>
    </fill>
    <fill>
      <patternFill patternType="solid">
        <fgColor rgb="FFFFFFFF"/>
        <bgColor rgb="FFF8F9FA"/>
      </patternFill>
    </fill>
    <fill>
      <patternFill patternType="solid">
        <fgColor rgb="FFFFFDE7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F8F9FA"/>
        <bgColor rgb="FFF8F8F8"/>
      </patternFill>
    </fill>
    <fill>
      <patternFill patternType="solid">
        <fgColor rgb="FFD1E7DD"/>
        <bgColor rgb="FFDEE2E6"/>
      </patternFill>
    </fill>
    <fill>
      <patternFill patternType="solid">
        <fgColor rgb="FFD0E4F7"/>
        <bgColor rgb="FFD1E7DD"/>
      </patternFill>
    </fill>
    <fill>
      <patternFill patternType="solid">
        <fgColor rgb="FFF2F4F6"/>
        <bgColor rgb="FFF8F8F8"/>
      </patternFill>
    </fill>
    <fill>
      <patternFill patternType="solid">
        <fgColor rgb="FFDEE2E6"/>
        <bgColor rgb="FFD9D9D9"/>
      </patternFill>
    </fill>
    <fill>
      <patternFill patternType="solid">
        <fgColor rgb="FFEEEEEE"/>
        <bgColor rgb="FFF2F4F6"/>
      </patternFill>
    </fill>
    <fill>
      <patternFill patternType="solid">
        <fgColor rgb="FFF8F8F8"/>
        <bgColor rgb="FFF8F9FA"/>
      </patternFill>
    </fill>
    <fill>
      <patternFill patternType="solid">
        <fgColor rgb="FFF8D7DA"/>
        <bgColor rgb="FFDEE2E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198754"/>
      </left>
      <right/>
      <top style="thin">
        <color rgb="FF198754"/>
      </top>
      <bottom style="thin">
        <color rgb="FF198754"/>
      </bottom>
      <diagonal/>
    </border>
    <border diagonalUp="false" diagonalDown="false">
      <left style="thin">
        <color rgb="FF1C3557"/>
      </left>
      <right/>
      <top style="thin">
        <color rgb="FF1C3557"/>
      </top>
      <bottom style="thin">
        <color rgb="FF1C3557"/>
      </bottom>
      <diagonal/>
    </border>
    <border diagonalUp="false" diagonalDown="false">
      <left style="thin">
        <color rgb="FF343A40"/>
      </left>
      <right/>
      <top style="thin">
        <color rgb="FF343A40"/>
      </top>
      <bottom style="thin">
        <color rgb="FF343A40"/>
      </bottom>
      <diagonal/>
    </border>
    <border diagonalUp="false" diagonalDown="false">
      <left style="thin">
        <color rgb="FF6F1E1E"/>
      </left>
      <right/>
      <top style="thin">
        <color rgb="FF6F1E1E"/>
      </top>
      <bottom style="thin">
        <color rgb="FF6F1E1E"/>
      </bottom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  <diagonal/>
    </border>
    <border diagonalUp="false" diagonalDown="false">
      <left style="medium">
        <color rgb="FFFFC107"/>
      </left>
      <right style="medium">
        <color rgb="FFFFC107"/>
      </right>
      <top style="medium">
        <color rgb="FFFFC107"/>
      </top>
      <bottom style="medium">
        <color rgb="FFFFC107"/>
      </bottom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medium">
        <color rgb="FFFFC107"/>
      </left>
      <right/>
      <top style="medium">
        <color rgb="FFFFC107"/>
      </top>
      <bottom style="medium">
        <color rgb="FFFFC107"/>
      </bottom>
      <diagonal/>
    </border>
    <border diagonalUp="false" diagonalDown="false">
      <left style="thin">
        <color rgb="FF25C374"/>
      </left>
      <right style="thin">
        <color rgb="FF25C374"/>
      </right>
      <top style="thin">
        <color rgb="FF25C374"/>
      </top>
      <bottom style="thin">
        <color rgb="FF25C374"/>
      </bottom>
      <diagonal/>
    </border>
    <border diagonalUp="false" diagonalDown="false">
      <left style="thin">
        <color rgb="FF4895EF"/>
      </left>
      <right style="thin">
        <color rgb="FF4895EF"/>
      </right>
      <top style="thin">
        <color rgb="FF4895EF"/>
      </top>
      <bottom style="thin">
        <color rgb="FF4895E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0A3622"/>
      </left>
      <right style="thin">
        <color rgb="FF0A3622"/>
      </right>
      <top style="thin">
        <color rgb="FF0A3622"/>
      </top>
      <bottom style="thin">
        <color rgb="FF0A3622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 diagonalUp="false" diagonalDown="false"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0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2" fillId="8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15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8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9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0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1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4" fillId="15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4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4" fillId="1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1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4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7" fillId="6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7" fillId="7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8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9" fillId="1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9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12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1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2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3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4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1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2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3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4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1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6F1E1E"/>
      <rgbColor rgb="FF008000"/>
      <rgbColor rgb="FF000080"/>
      <rgbColor rgb="FF808000"/>
      <rgbColor rgb="FF800080"/>
      <rgbColor rgb="FF198754"/>
      <rgbColor rgb="FFB3B3B3"/>
      <rgbColor rgb="FF878787"/>
      <rgbColor rgb="FFAAAAAA"/>
      <rgbColor rgb="FFDC3545"/>
      <rgbColor rgb="FFFFF8E1"/>
      <rgbColor rgb="FFD0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D1E7DD"/>
      <rgbColor rgb="FFFFFDE7"/>
      <rgbColor rgb="FFDEE2E6"/>
      <rgbColor rgb="FFEEEEEE"/>
      <rgbColor rgb="FFF8F8F8"/>
      <rgbColor rgb="FFF8D7DA"/>
      <rgbColor rgb="FF4895EF"/>
      <rgbColor rgb="FF25C374"/>
      <rgbColor rgb="FF99CC00"/>
      <rgbColor rgb="FFFFC107"/>
      <rgbColor rgb="FFFF9900"/>
      <rgbColor rgb="FFFF6600"/>
      <rgbColor rgb="FF6C757D"/>
      <rgbColor rgb="FF888888"/>
      <rgbColor rgb="FF1C3557"/>
      <rgbColor rgb="FF52B788"/>
      <rgbColor rgb="FF0A3622"/>
      <rgbColor rgb="FF0D1B2A"/>
      <rgbColor rgb="FF993300"/>
      <rgbColor rgb="FF993366"/>
      <rgbColor rgb="FF495057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Over Time — Buyer vs. Renter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Charts!B6</c:f>
              <c:strCache>
                <c:ptCount val="1"/>
                <c:pt idx="0">
                  <c:v>Buyer Net Worth</c:v>
                </c:pt>
              </c:strCache>
            </c:strRef>
          </c:tx>
          <c:spPr>
            <a:solidFill>
              <a:srgbClr val="25c374"/>
            </a:solidFill>
            <a:ln w="24840">
              <a:solidFill>
                <a:srgbClr val="25c37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Charts!$A$7:$A$107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Charts!$B$7:$B$107</c:f>
              <c:numCache>
                <c:formatCode>\$#,##0</c:formatCode>
                <c:ptCount val="101"/>
                <c:pt idx="0">
                  <c:v>70000</c:v>
                </c:pt>
                <c:pt idx="1">
                  <c:v>57533.9676575056</c:v>
                </c:pt>
                <c:pt idx="2">
                  <c:v>43553.3429989307</c:v>
                </c:pt>
                <c:pt idx="3">
                  <c:v>27927.1662592287</c:v>
                </c:pt>
                <c:pt idx="4">
                  <c:v>10514.2591396068</c:v>
                </c:pt>
                <c:pt idx="5">
                  <c:v>-8837.54019156506</c:v>
                </c:pt>
                <c:pt idx="6">
                  <c:v>-30292.1983202092</c:v>
                </c:pt>
                <c:pt idx="7">
                  <c:v>-54026.3681268928</c:v>
                </c:pt>
                <c:pt idx="8">
                  <c:v>-80230.3350398854</c:v>
                </c:pt>
                <c:pt idx="9">
                  <c:v>-109109.032713518</c:v>
                </c:pt>
                <c:pt idx="10">
                  <c:v>-140883.133186326</c:v>
                </c:pt>
                <c:pt idx="11">
                  <c:v>-175790.216940102</c:v>
                </c:pt>
                <c:pt idx="12">
                  <c:v>-214086.028674149</c:v>
                </c:pt>
                <c:pt idx="13">
                  <c:v>-256045.825030725</c:v>
                </c:pt>
                <c:pt idx="14">
                  <c:v>-301965.820959803</c:v>
                </c:pt>
                <c:pt idx="15">
                  <c:v>-352164.741896227</c:v>
                </c:pt>
                <c:pt idx="16">
                  <c:v>-406985.489442361</c:v>
                </c:pt>
                <c:pt idx="17">
                  <c:v>-466796.928806995</c:v>
                </c:pt>
                <c:pt idx="18">
                  <c:v>-531995.806849319</c:v>
                </c:pt>
                <c:pt idx="19">
                  <c:v>-603008.810218099</c:v>
                </c:pt>
                <c:pt idx="20">
                  <c:v>-680294.773763929</c:v>
                </c:pt>
                <c:pt idx="21">
                  <c:v>-764347.050139973</c:v>
                </c:pt>
                <c:pt idx="22">
                  <c:v>-855696.052297503</c:v>
                </c:pt>
                <c:pt idx="23">
                  <c:v>-954911.981430661</c:v>
                </c:pt>
                <c:pt idx="24">
                  <c:v>-1062607.75383443</c:v>
                </c:pt>
                <c:pt idx="25">
                  <c:v>-1179442.14111508</c:v>
                </c:pt>
                <c:pt idx="26">
                  <c:v>-1306123.13923836</c:v>
                </c:pt>
                <c:pt idx="27">
                  <c:v>-1443411.5830221</c:v>
                </c:pt>
                <c:pt idx="28">
                  <c:v>-1592125.023883</c:v>
                </c:pt>
                <c:pt idx="29">
                  <c:v>-1753141.88993668</c:v>
                </c:pt>
                <c:pt idx="30">
                  <c:v>-1927405.94893364</c:v>
                </c:pt>
                <c:pt idx="31">
                  <c:v>-2115931.09599655</c:v>
                </c:pt>
                <c:pt idx="32">
                  <c:v>-2319806.48971509</c:v>
                </c:pt>
                <c:pt idx="33">
                  <c:v>-2540202.06185973</c:v>
                </c:pt>
                <c:pt idx="34">
                  <c:v>-2778374.4278052</c:v>
                </c:pt>
                <c:pt idx="35">
                  <c:v>-3035673.22671517</c:v>
                </c:pt>
                <c:pt idx="36">
                  <c:v>-3313547.92264319</c:v>
                </c:pt>
                <c:pt idx="37">
                  <c:v>-3613555.09995979</c:v>
                </c:pt>
                <c:pt idx="38">
                  <c:v>-3937366.28893442</c:v>
                </c:pt>
                <c:pt idx="39">
                  <c:v>-4286776.35989389</c:v>
                </c:pt>
                <c:pt idx="40">
                  <c:v>-4663712.52716002</c:v>
                </c:pt>
                <c:pt idx="41">
                  <c:v>-5070244.00695134</c:v>
                </c:pt>
                <c:pt idx="42">
                  <c:v>-5508592.37663133</c:v>
                </c:pt>
                <c:pt idx="43">
                  <c:v>-5981142.68611466</c:v>
                </c:pt>
                <c:pt idx="44">
                  <c:v>-6490455.37592022</c:v>
                </c:pt>
                <c:pt idx="45">
                  <c:v>-7039279.06030241</c:v>
                </c:pt>
                <c:pt idx="46">
                  <c:v>-7630564.23812062</c:v>
                </c:pt>
                <c:pt idx="47">
                  <c:v>-8267477.99864068</c:v>
                </c:pt>
                <c:pt idx="48">
                  <c:v>-8953419.79432404</c:v>
                </c:pt>
                <c:pt idx="49">
                  <c:v>-9692038.35787399</c:v>
                </c:pt>
                <c:pt idx="50">
                  <c:v>-10487249.8463986</c:v>
                </c:pt>
                <c:pt idx="51">
                  <c:v>-11343257.3015455</c:v>
                </c:pt>
                <c:pt idx="52">
                  <c:v>-12264571.5208913</c:v>
                </c:pt>
                <c:pt idx="53">
                  <c:v>-13256033.442762</c:v>
                </c:pt>
                <c:pt idx="54">
                  <c:v>-14322838.1540542</c:v>
                </c:pt>
                <c:pt idx="55">
                  <c:v>-15470560.6385494</c:v>
                </c:pt>
                <c:pt idx="56">
                  <c:v>-16705183.391718</c:v>
                </c:pt>
                <c:pt idx="57">
                  <c:v>-18033126.0371202</c:v>
                </c:pt>
                <c:pt idx="58">
                  <c:v>-19461277.0892863</c:v>
                </c:pt>
                <c:pt idx="59">
                  <c:v>-20997028.0184382</c:v>
                </c:pt>
                <c:pt idx="60">
                  <c:v>-22648309.7836516</c:v>
                </c:pt>
                <c:pt idx="61">
                  <c:v>-24423632.0131094</c:v>
                </c:pt>
                <c:pt idx="62">
                  <c:v>-26332125.0230185</c:v>
                </c:pt>
                <c:pt idx="63">
                  <c:v>-28383584.8806183</c:v>
                </c:pt>
                <c:pt idx="64">
                  <c:v>-30588521.7315672</c:v>
                </c:pt>
                <c:pt idx="65">
                  <c:v>-32958211.6279269</c:v>
                </c:pt>
                <c:pt idx="66">
                  <c:v>-35504752.1100477</c:v>
                </c:pt>
                <c:pt idx="67">
                  <c:v>-38241121.8139777</c:v>
                </c:pt>
                <c:pt idx="68">
                  <c:v>-41181244.3956664</c:v>
                </c:pt>
                <c:pt idx="69">
                  <c:v>-44340057.0842929</c:v>
                </c:pt>
                <c:pt idx="70">
                  <c:v>-47733584.1996426</c:v>
                </c:pt>
                <c:pt idx="71">
                  <c:v>-51379015.9926731</c:v>
                </c:pt>
                <c:pt idx="72">
                  <c:v>-55294793.1943866</c:v>
                </c:pt>
                <c:pt idx="73">
                  <c:v>-59500697.685972</c:v>
                </c:pt>
                <c:pt idx="74">
                  <c:v>-64017949.73305</c:v>
                </c:pt>
                <c:pt idx="75">
                  <c:v>-68869312.2588717</c:v>
                </c:pt>
                <c:pt idx="76">
                  <c:v>-74079202.6656659</c:v>
                </c:pt>
                <c:pt idx="77">
                  <c:v>-79673812.7501475</c:v>
                </c:pt>
                <c:pt idx="78">
                  <c:v>-85681237.2986858</c:v>
                </c:pt>
                <c:pt idx="79">
                  <c:v>-92131611.9899704</c:v>
                </c:pt>
                <c:pt idx="80">
                  <c:v>-99057261.2784095</c:v>
                </c:pt>
                <c:pt idx="81">
                  <c:v>-106492856.980181</c:v>
                </c:pt>
                <c:pt idx="82">
                  <c:v>-114475588.336058</c:v>
                </c:pt>
                <c:pt idx="83">
                  <c:v>-123045344.3811</c:v>
                </c:pt>
                <c:pt idx="84">
                  <c:v>-132244909.511343</c:v>
                </c:pt>
                <c:pt idx="85">
                  <c:v>-142120173.201951</c:v>
                </c:pt>
                <c:pt idx="86">
                  <c:v>-152720354.900352</c:v>
                </c:pt>
                <c:pt idx="87">
                  <c:v>-164098245.191843</c:v>
                </c:pt>
                <c:pt idx="88">
                  <c:v>-176310464.414536</c:v>
                </c:pt>
                <c:pt idx="89">
                  <c:v>-189417739.985601</c:v>
                </c:pt>
                <c:pt idx="90">
                  <c:v>-203485203.792</c:v>
                </c:pt>
                <c:pt idx="91">
                  <c:v>-218582711.096758</c:v>
                </c:pt>
                <c:pt idx="92">
                  <c:v>-234785182.51674</c:v>
                </c:pt>
                <c:pt idx="93">
                  <c:v>-252172970.74038</c:v>
                </c:pt>
                <c:pt idx="94">
                  <c:v>-270832253.774466</c:v>
                </c:pt>
                <c:pt idx="95">
                  <c:v>-290855456.638437</c:v>
                </c:pt>
                <c:pt idx="96">
                  <c:v>-312341703.563351</c:v>
                </c:pt>
                <c:pt idx="97">
                  <c:v>-335397302.901411</c:v>
                </c:pt>
                <c:pt idx="98">
                  <c:v>-360136267.111452</c:v>
                </c:pt>
                <c:pt idx="99">
                  <c:v>-386680870.356788</c:v>
                </c:pt>
                <c:pt idx="100">
                  <c:v>-415162246.435207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Charts!C6</c:f>
              <c:strCache>
                <c:ptCount val="1"/>
                <c:pt idx="0">
                  <c:v>Renter Net Worth</c:v>
                </c:pt>
              </c:strCache>
            </c:strRef>
          </c:tx>
          <c:spPr>
            <a:solidFill>
              <a:srgbClr val="4895ef"/>
            </a:solidFill>
            <a:ln w="24840">
              <a:solidFill>
                <a:srgbClr val="4895e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Charts!$A$7:$A$107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Charts!$C$7:$C$107</c:f>
              <c:numCache>
                <c:formatCode>\$#,##0</c:formatCode>
                <c:ptCount val="101"/>
                <c:pt idx="0">
                  <c:v>120000</c:v>
                </c:pt>
                <c:pt idx="1">
                  <c:v>128160</c:v>
                </c:pt>
                <c:pt idx="2">
                  <c:v>136972.8</c:v>
                </c:pt>
                <c:pt idx="3">
                  <c:v>146490.624</c:v>
                </c:pt>
                <c:pt idx="4">
                  <c:v>156769.87392</c:v>
                </c:pt>
                <c:pt idx="5">
                  <c:v>167871.4638336</c:v>
                </c:pt>
                <c:pt idx="6">
                  <c:v>179861.180940288</c:v>
                </c:pt>
                <c:pt idx="7">
                  <c:v>192810.075415511</c:v>
                </c:pt>
                <c:pt idx="8">
                  <c:v>206794.881448752</c:v>
                </c:pt>
                <c:pt idx="9">
                  <c:v>221898.471964652</c:v>
                </c:pt>
                <c:pt idx="10">
                  <c:v>238210.349721824</c:v>
                </c:pt>
                <c:pt idx="11">
                  <c:v>255827.17769957</c:v>
                </c:pt>
                <c:pt idx="12">
                  <c:v>274853.351915536</c:v>
                </c:pt>
                <c:pt idx="13">
                  <c:v>295401.620068779</c:v>
                </c:pt>
                <c:pt idx="14">
                  <c:v>317593.749674281</c:v>
                </c:pt>
                <c:pt idx="15">
                  <c:v>341561.249648224</c:v>
                </c:pt>
                <c:pt idx="16">
                  <c:v>367446.149620082</c:v>
                </c:pt>
                <c:pt idx="17">
                  <c:v>395401.841589688</c:v>
                </c:pt>
                <c:pt idx="18">
                  <c:v>425593.988916863</c:v>
                </c:pt>
                <c:pt idx="19">
                  <c:v>458201.508030213</c:v>
                </c:pt>
                <c:pt idx="20">
                  <c:v>493417.62867263</c:v>
                </c:pt>
                <c:pt idx="21">
                  <c:v>531451.03896644</c:v>
                </c:pt>
                <c:pt idx="22">
                  <c:v>572527.122083755</c:v>
                </c:pt>
                <c:pt idx="23">
                  <c:v>616889.291850456</c:v>
                </c:pt>
                <c:pt idx="24">
                  <c:v>664800.435198492</c:v>
                </c:pt>
                <c:pt idx="25">
                  <c:v>716544.470014372</c:v>
                </c:pt>
                <c:pt idx="26">
                  <c:v>772428.027615521</c:v>
                </c:pt>
                <c:pt idx="27">
                  <c:v>832782.269824763</c:v>
                </c:pt>
                <c:pt idx="28">
                  <c:v>897964.851410744</c:v>
                </c:pt>
                <c:pt idx="29">
                  <c:v>968362.039523604</c:v>
                </c:pt>
                <c:pt idx="30">
                  <c:v>1044391.00268549</c:v>
                </c:pt>
                <c:pt idx="31">
                  <c:v>1126502.28290033</c:v>
                </c:pt>
                <c:pt idx="32">
                  <c:v>1215182.46553236</c:v>
                </c:pt>
                <c:pt idx="33">
                  <c:v>1310957.06277495</c:v>
                </c:pt>
                <c:pt idx="34">
                  <c:v>1414393.62779694</c:v>
                </c:pt>
                <c:pt idx="35">
                  <c:v>1526105.1180207</c:v>
                </c:pt>
                <c:pt idx="36">
                  <c:v>1646753.52746235</c:v>
                </c:pt>
                <c:pt idx="37">
                  <c:v>1777053.80965934</c:v>
                </c:pt>
                <c:pt idx="38">
                  <c:v>1917778.11443209</c:v>
                </c:pt>
                <c:pt idx="39">
                  <c:v>2069760.36358666</c:v>
                </c:pt>
                <c:pt idx="40">
                  <c:v>2233901.19267359</c:v>
                </c:pt>
                <c:pt idx="41">
                  <c:v>2411173.28808748</c:v>
                </c:pt>
                <c:pt idx="42">
                  <c:v>2602627.15113448</c:v>
                </c:pt>
                <c:pt idx="43">
                  <c:v>2809397.32322523</c:v>
                </c:pt>
                <c:pt idx="44">
                  <c:v>3032709.10908325</c:v>
                </c:pt>
                <c:pt idx="45">
                  <c:v>3273885.83780991</c:v>
                </c:pt>
                <c:pt idx="46">
                  <c:v>3534356.70483471</c:v>
                </c:pt>
                <c:pt idx="47">
                  <c:v>3815665.24122148</c:v>
                </c:pt>
                <c:pt idx="48">
                  <c:v>4119478.4605192</c:v>
                </c:pt>
                <c:pt idx="49">
                  <c:v>4447596.73736074</c:v>
                </c:pt>
                <c:pt idx="50">
                  <c:v>4801964.4763496</c:v>
                </c:pt>
                <c:pt idx="51">
                  <c:v>5184681.63445757</c:v>
                </c:pt>
                <c:pt idx="52">
                  <c:v>5598016.16521417</c:v>
                </c:pt>
                <c:pt idx="53">
                  <c:v>6044417.45843131</c:v>
                </c:pt>
                <c:pt idx="54">
                  <c:v>6526530.85510581</c:v>
                </c:pt>
                <c:pt idx="55">
                  <c:v>7047213.32351428</c:v>
                </c:pt>
                <c:pt idx="56">
                  <c:v>7609550.38939542</c:v>
                </c:pt>
                <c:pt idx="57">
                  <c:v>8216874.42054705</c:v>
                </c:pt>
                <c:pt idx="58">
                  <c:v>8872784.37419082</c:v>
                </c:pt>
                <c:pt idx="59">
                  <c:v>9581167.12412608</c:v>
                </c:pt>
                <c:pt idx="60">
                  <c:v>10346220.4940562</c:v>
                </c:pt>
                <c:pt idx="61">
                  <c:v>11172478.1335807</c:v>
                </c:pt>
                <c:pt idx="62">
                  <c:v>12064836.3842671</c:v>
                </c:pt>
                <c:pt idx="63">
                  <c:v>13028583.2950085</c:v>
                </c:pt>
                <c:pt idx="64">
                  <c:v>14069429.9586092</c:v>
                </c:pt>
                <c:pt idx="65">
                  <c:v>15193544.3552979</c:v>
                </c:pt>
                <c:pt idx="66">
                  <c:v>16407587.9037217</c:v>
                </c:pt>
                <c:pt idx="67">
                  <c:v>17718754.9360195</c:v>
                </c:pt>
                <c:pt idx="68">
                  <c:v>19134815.330901</c:v>
                </c:pt>
                <c:pt idx="69">
                  <c:v>20664160.5573731</c:v>
                </c:pt>
                <c:pt idx="70">
                  <c:v>22315853.401963</c:v>
                </c:pt>
                <c:pt idx="71">
                  <c:v>24099681.67412</c:v>
                </c:pt>
                <c:pt idx="72">
                  <c:v>26026216.2080496</c:v>
                </c:pt>
                <c:pt idx="73">
                  <c:v>28106873.5046936</c:v>
                </c:pt>
                <c:pt idx="74">
                  <c:v>30353983.3850691</c:v>
                </c:pt>
                <c:pt idx="75">
                  <c:v>32780862.0558746</c:v>
                </c:pt>
                <c:pt idx="76">
                  <c:v>35401891.0203446</c:v>
                </c:pt>
                <c:pt idx="77">
                  <c:v>38232602.3019721</c:v>
                </c:pt>
                <c:pt idx="78">
                  <c:v>41289770.4861299</c:v>
                </c:pt>
                <c:pt idx="79">
                  <c:v>44591512.1250203</c:v>
                </c:pt>
                <c:pt idx="80">
                  <c:v>48157393.0950219</c:v>
                </c:pt>
                <c:pt idx="81">
                  <c:v>52008544.5426237</c:v>
                </c:pt>
                <c:pt idx="82">
                  <c:v>56167788.1060336</c:v>
                </c:pt>
                <c:pt idx="83">
                  <c:v>60659771.1545163</c:v>
                </c:pt>
                <c:pt idx="84">
                  <c:v>65511112.8468776</c:v>
                </c:pt>
                <c:pt idx="85">
                  <c:v>70750561.8746278</c:v>
                </c:pt>
                <c:pt idx="86">
                  <c:v>76409166.824598</c:v>
                </c:pt>
                <c:pt idx="87">
                  <c:v>82520460.1705659</c:v>
                </c:pt>
                <c:pt idx="88">
                  <c:v>89120656.9842112</c:v>
                </c:pt>
                <c:pt idx="89">
                  <c:v>96248869.5429481</c:v>
                </c:pt>
                <c:pt idx="90">
                  <c:v>103947339.106384</c:v>
                </c:pt>
                <c:pt idx="91">
                  <c:v>112261686.234895</c:v>
                </c:pt>
                <c:pt idx="92">
                  <c:v>121241181.133686</c:v>
                </c:pt>
                <c:pt idx="93">
                  <c:v>130939035.624381</c:v>
                </c:pt>
                <c:pt idx="94">
                  <c:v>141412718.474332</c:v>
                </c:pt>
                <c:pt idx="95">
                  <c:v>152724295.952278</c:v>
                </c:pt>
                <c:pt idx="96">
                  <c:v>164940799.62846</c:v>
                </c:pt>
                <c:pt idx="97">
                  <c:v>178134623.598737</c:v>
                </c:pt>
                <c:pt idx="98">
                  <c:v>192383953.486636</c:v>
                </c:pt>
                <c:pt idx="99">
                  <c:v>207773229.765567</c:v>
                </c:pt>
                <c:pt idx="100">
                  <c:v>224393648.146813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50042"/>
        <c:axId val="48063838"/>
      </c:lineChart>
      <c:catAx>
        <c:axId val="189500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63838"/>
        <c:crosses val="autoZero"/>
        <c:auto val="1"/>
        <c:lblAlgn val="ctr"/>
        <c:lblOffset val="100"/>
        <c:noMultiLvlLbl val="0"/>
      </c:catAx>
      <c:valAx>
        <c:axId val="48063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Worth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500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Spent — Buyer vs. Renter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Charts!D6</c:f>
              <c:strCache>
                <c:ptCount val="1"/>
                <c:pt idx="0">
                  <c:v>Buyer Cash Spent</c:v>
                </c:pt>
              </c:strCache>
            </c:strRef>
          </c:tx>
          <c:spPr>
            <a:solidFill>
              <a:srgbClr val="52b788"/>
            </a:solidFill>
            <a:ln w="0">
              <a:solidFill>
                <a:srgbClr val="198754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Charts!$A$7:$A$107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Charts!$D$7:$D$107</c:f>
              <c:numCache>
                <c:formatCode>\$#,##0</c:formatCode>
                <c:ptCount val="101"/>
                <c:pt idx="0">
                  <c:v>115000</c:v>
                </c:pt>
                <c:pt idx="1">
                  <c:v>128185</c:v>
                </c:pt>
                <c:pt idx="2">
                  <c:v>141768.475</c:v>
                </c:pt>
                <c:pt idx="3">
                  <c:v>155764.371625</c:v>
                </c:pt>
                <c:pt idx="4">
                  <c:v>170187.124631875</c:v>
                </c:pt>
                <c:pt idx="5">
                  <c:v>185051.673993991</c:v>
                </c:pt>
                <c:pt idx="6">
                  <c:v>200373.48258378</c:v>
                </c:pt>
                <c:pt idx="7">
                  <c:v>216168.554474213</c:v>
                </c:pt>
                <c:pt idx="8">
                  <c:v>232453.45388081</c:v>
                </c:pt>
                <c:pt idx="9">
                  <c:v>249245.324766638</c:v>
                </c:pt>
                <c:pt idx="10">
                  <c:v>266561.911133471</c:v>
                </c:pt>
                <c:pt idx="11">
                  <c:v>284421.578023142</c:v>
                </c:pt>
                <c:pt idx="12">
                  <c:v>302843.333253952</c:v>
                </c:pt>
                <c:pt idx="13">
                  <c:v>321846.84991784</c:v>
                </c:pt>
                <c:pt idx="14">
                  <c:v>341452.489664965</c:v>
                </c:pt>
                <c:pt idx="15">
                  <c:v>361681.326803239</c:v>
                </c:pt>
                <c:pt idx="16">
                  <c:v>382555.173241352</c:v>
                </c:pt>
                <c:pt idx="17">
                  <c:v>404096.604304799</c:v>
                </c:pt>
                <c:pt idx="18">
                  <c:v>426328.985455467</c:v>
                </c:pt>
                <c:pt idx="19">
                  <c:v>449276.499946408</c:v>
                </c:pt>
                <c:pt idx="20">
                  <c:v>472964.177444533</c:v>
                </c:pt>
                <c:pt idx="21">
                  <c:v>497417.923655091</c:v>
                </c:pt>
                <c:pt idx="22">
                  <c:v>522664.550983019</c:v>
                </c:pt>
                <c:pt idx="23">
                  <c:v>548731.810267425</c:v>
                </c:pt>
                <c:pt idx="24">
                  <c:v>575648.423626785</c:v>
                </c:pt>
                <c:pt idx="25">
                  <c:v>603444.118453722</c:v>
                </c:pt>
                <c:pt idx="26">
                  <c:v>632149.662599603</c:v>
                </c:pt>
                <c:pt idx="27">
                  <c:v>661796.900790589</c:v>
                </c:pt>
                <c:pt idx="28">
                  <c:v>692418.792318259</c:v>
                </c:pt>
                <c:pt idx="29">
                  <c:v>724049.450049398</c:v>
                </c:pt>
                <c:pt idx="30">
                  <c:v>756724.180801127</c:v>
                </c:pt>
                <c:pt idx="31">
                  <c:v>790479.527129166</c:v>
                </c:pt>
                <c:pt idx="32">
                  <c:v>825353.310578687</c:v>
                </c:pt>
                <c:pt idx="33">
                  <c:v>861384.676448941</c:v>
                </c:pt>
                <c:pt idx="34">
                  <c:v>898614.140124654</c:v>
                </c:pt>
                <c:pt idx="35">
                  <c:v>937083.635029017</c:v>
                </c:pt>
                <c:pt idx="36">
                  <c:v>976836.562255033</c:v>
                </c:pt>
                <c:pt idx="37">
                  <c:v>1017917.84193396</c:v>
                </c:pt>
                <c:pt idx="38">
                  <c:v>1060373.96640165</c:v>
                </c:pt>
                <c:pt idx="39">
                  <c:v>1104253.0552257</c:v>
                </c:pt>
                <c:pt idx="40">
                  <c:v>1149604.9121586</c:v>
                </c:pt>
                <c:pt idx="41">
                  <c:v>1196481.08408416</c:v>
                </c:pt>
                <c:pt idx="42">
                  <c:v>1244934.9220271</c:v>
                </c:pt>
                <c:pt idx="43">
                  <c:v>1295021.64429805</c:v>
                </c:pt>
                <c:pt idx="44">
                  <c:v>1346798.40184848</c:v>
                </c:pt>
                <c:pt idx="45">
                  <c:v>1400324.34591318</c:v>
                </c:pt>
                <c:pt idx="46">
                  <c:v>1455660.69802014</c:v>
                </c:pt>
                <c:pt idx="47">
                  <c:v>1512870.82245084</c:v>
                </c:pt>
                <c:pt idx="48">
                  <c:v>1572020.30123662</c:v>
                </c:pt>
                <c:pt idx="49">
                  <c:v>1633177.0117799</c:v>
                </c:pt>
                <c:pt idx="50">
                  <c:v>1696411.2071922</c:v>
                </c:pt>
                <c:pt idx="51">
                  <c:v>1761795.59944393</c:v>
                </c:pt>
                <c:pt idx="52">
                  <c:v>1829405.44542447</c:v>
                </c:pt>
                <c:pt idx="53">
                  <c:v>1899318.63601432</c:v>
                </c:pt>
                <c:pt idx="54">
                  <c:v>1971615.78827482</c:v>
                </c:pt>
                <c:pt idx="55">
                  <c:v>2046380.34086444</c:v>
                </c:pt>
                <c:pt idx="56">
                  <c:v>2123698.6527947</c:v>
                </c:pt>
                <c:pt idx="57">
                  <c:v>2203660.10564251</c:v>
                </c:pt>
                <c:pt idx="58">
                  <c:v>2286357.20934</c:v>
                </c:pt>
                <c:pt idx="59">
                  <c:v>2371885.7116669</c:v>
                </c:pt>
                <c:pt idx="60">
                  <c:v>2460344.71157524</c:v>
                </c:pt>
                <c:pt idx="61">
                  <c:v>2551836.77648037</c:v>
                </c:pt>
                <c:pt idx="62">
                  <c:v>2646468.06365719</c:v>
                </c:pt>
                <c:pt idx="63">
                  <c:v>2744348.44588519</c:v>
                </c:pt>
                <c:pt idx="64">
                  <c:v>2845591.64149117</c:v>
                </c:pt>
                <c:pt idx="65">
                  <c:v>2950315.34894336</c:v>
                </c:pt>
                <c:pt idx="66">
                  <c:v>3058641.38615638</c:v>
                </c:pt>
                <c:pt idx="67">
                  <c:v>3170695.83467185</c:v>
                </c:pt>
                <c:pt idx="68">
                  <c:v>3286609.18888536</c:v>
                </c:pt>
                <c:pt idx="69">
                  <c:v>3406516.51049635</c:v>
                </c:pt>
                <c:pt idx="70">
                  <c:v>3530557.58836372</c:v>
                </c:pt>
                <c:pt idx="71">
                  <c:v>3658877.10395645</c:v>
                </c:pt>
                <c:pt idx="72">
                  <c:v>3791624.80259493</c:v>
                </c:pt>
                <c:pt idx="73">
                  <c:v>3928955.67068575</c:v>
                </c:pt>
                <c:pt idx="74">
                  <c:v>4071030.11915975</c:v>
                </c:pt>
                <c:pt idx="75">
                  <c:v>4218014.17333034</c:v>
                </c:pt>
                <c:pt idx="76">
                  <c:v>4370079.66939691</c:v>
                </c:pt>
                <c:pt idx="77">
                  <c:v>4527404.4578258</c:v>
                </c:pt>
                <c:pt idx="78">
                  <c:v>4690172.6138497</c:v>
                </c:pt>
                <c:pt idx="79">
                  <c:v>4858574.65533444</c:v>
                </c:pt>
                <c:pt idx="80">
                  <c:v>5032807.76827114</c:v>
                </c:pt>
                <c:pt idx="81">
                  <c:v>5213076.04016063</c:v>
                </c:pt>
                <c:pt idx="82">
                  <c:v>5399590.70156626</c:v>
                </c:pt>
                <c:pt idx="83">
                  <c:v>5592570.37612107</c:v>
                </c:pt>
                <c:pt idx="84">
                  <c:v>5792241.33928531</c:v>
                </c:pt>
                <c:pt idx="85">
                  <c:v>5998837.7861603</c:v>
                </c:pt>
                <c:pt idx="86">
                  <c:v>6212602.10867591</c:v>
                </c:pt>
                <c:pt idx="87">
                  <c:v>6433785.18247956</c:v>
                </c:pt>
                <c:pt idx="88">
                  <c:v>6662646.66386635</c:v>
                </c:pt>
                <c:pt idx="89">
                  <c:v>6899455.29710167</c:v>
                </c:pt>
                <c:pt idx="90">
                  <c:v>7144489.23250023</c:v>
                </c:pt>
                <c:pt idx="91">
                  <c:v>7398036.35563773</c:v>
                </c:pt>
                <c:pt idx="92">
                  <c:v>7660394.62808505</c:v>
                </c:pt>
                <c:pt idx="93">
                  <c:v>7931872.44006803</c:v>
                </c:pt>
                <c:pt idx="94">
                  <c:v>8212788.97547041</c:v>
                </c:pt>
                <c:pt idx="95">
                  <c:v>8503474.58961188</c:v>
                </c:pt>
                <c:pt idx="96">
                  <c:v>8804271.20024829</c:v>
                </c:pt>
                <c:pt idx="97">
                  <c:v>9115532.69225698</c:v>
                </c:pt>
                <c:pt idx="98">
                  <c:v>9437625.33648597</c:v>
                </c:pt>
                <c:pt idx="99">
                  <c:v>9770928.22326298</c:v>
                </c:pt>
                <c:pt idx="100">
                  <c:v>10115833.7110772</c:v>
                </c:pt>
              </c:numCache>
            </c:numRef>
          </c:val>
        </c:ser>
        <c:ser>
          <c:idx val="1"/>
          <c:order val="1"/>
          <c:tx>
            <c:strRef>
              <c:f>Charts!E6</c:f>
              <c:strCache>
                <c:ptCount val="1"/>
                <c:pt idx="0">
                  <c:v>Renter Cash Spent</c:v>
                </c:pt>
              </c:strCache>
            </c:strRef>
          </c:tx>
          <c:spPr>
            <a:solidFill>
              <a:srgbClr val="4895ef"/>
            </a:solidFill>
            <a:ln w="0">
              <a:solidFill>
                <a:srgbClr val="1c3557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Charts!$A$7:$A$107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Charts!$E$7:$E$107</c:f>
              <c:numCache>
                <c:formatCode>\$#,##0</c:formatCode>
                <c:ptCount val="101"/>
                <c:pt idx="0">
                  <c:v>5000</c:v>
                </c:pt>
                <c:pt idx="1">
                  <c:v>35240</c:v>
                </c:pt>
                <c:pt idx="2">
                  <c:v>66380</c:v>
                </c:pt>
                <c:pt idx="3">
                  <c:v>98447</c:v>
                </c:pt>
                <c:pt idx="4">
                  <c:v>131468.81</c:v>
                </c:pt>
                <c:pt idx="5">
                  <c:v>165474.0743</c:v>
                </c:pt>
                <c:pt idx="6">
                  <c:v>200492.296529</c:v>
                </c:pt>
                <c:pt idx="7">
                  <c:v>236553.86542487</c:v>
                </c:pt>
                <c:pt idx="8">
                  <c:v>273690.081387616</c:v>
                </c:pt>
                <c:pt idx="9">
                  <c:v>311933.183829245</c:v>
                </c:pt>
                <c:pt idx="10">
                  <c:v>351316.379344122</c:v>
                </c:pt>
                <c:pt idx="11">
                  <c:v>391873.870724446</c:v>
                </c:pt>
                <c:pt idx="12">
                  <c:v>433640.886846179</c:v>
                </c:pt>
                <c:pt idx="13">
                  <c:v>476653.713451564</c:v>
                </c:pt>
                <c:pt idx="14">
                  <c:v>520949.724855111</c:v>
                </c:pt>
                <c:pt idx="15">
                  <c:v>566567.416600765</c:v>
                </c:pt>
                <c:pt idx="16">
                  <c:v>613546.439098788</c:v>
                </c:pt>
                <c:pt idx="17">
                  <c:v>661927.632271751</c:v>
                </c:pt>
                <c:pt idx="18">
                  <c:v>711753.061239904</c:v>
                </c:pt>
                <c:pt idx="19">
                  <c:v>763066.053077101</c:v>
                </c:pt>
                <c:pt idx="20">
                  <c:v>815911.234669414</c:v>
                </c:pt>
                <c:pt idx="21">
                  <c:v>870334.571709496</c:v>
                </c:pt>
                <c:pt idx="22">
                  <c:v>926383.408860781</c:v>
                </c:pt>
                <c:pt idx="23">
                  <c:v>984106.511126605</c:v>
                </c:pt>
                <c:pt idx="24">
                  <c:v>1043554.1064604</c:v>
                </c:pt>
                <c:pt idx="25">
                  <c:v>1104777.92965422</c:v>
                </c:pt>
                <c:pt idx="26">
                  <c:v>1167831.26754384</c:v>
                </c:pt>
                <c:pt idx="27">
                  <c:v>1232769.00557016</c:v>
                </c:pt>
                <c:pt idx="28">
                  <c:v>1299647.67573726</c:v>
                </c:pt>
                <c:pt idx="29">
                  <c:v>1368525.50600938</c:v>
                </c:pt>
                <c:pt idx="30">
                  <c:v>1439462.47118966</c:v>
                </c:pt>
                <c:pt idx="31">
                  <c:v>1512520.34532535</c:v>
                </c:pt>
                <c:pt idx="32">
                  <c:v>1587762.75568511</c:v>
                </c:pt>
                <c:pt idx="33">
                  <c:v>1665255.23835566</c:v>
                </c:pt>
                <c:pt idx="34">
                  <c:v>1745065.29550633</c:v>
                </c:pt>
                <c:pt idx="35">
                  <c:v>1827262.45437152</c:v>
                </c:pt>
                <c:pt idx="36">
                  <c:v>1911918.32800267</c:v>
                </c:pt>
                <c:pt idx="37">
                  <c:v>1999106.67784275</c:v>
                </c:pt>
                <c:pt idx="38">
                  <c:v>2088903.47817803</c:v>
                </c:pt>
                <c:pt idx="39">
                  <c:v>2181386.98252337</c:v>
                </c:pt>
                <c:pt idx="40">
                  <c:v>2276637.79199908</c:v>
                </c:pt>
                <c:pt idx="41">
                  <c:v>2374738.92575905</c:v>
                </c:pt>
                <c:pt idx="42">
                  <c:v>2475775.89353182</c:v>
                </c:pt>
                <c:pt idx="43">
                  <c:v>2579836.77033777</c:v>
                </c:pt>
                <c:pt idx="44">
                  <c:v>2687012.27344791</c:v>
                </c:pt>
                <c:pt idx="45">
                  <c:v>2797395.84165134</c:v>
                </c:pt>
                <c:pt idx="46">
                  <c:v>2911083.71690088</c:v>
                </c:pt>
                <c:pt idx="47">
                  <c:v>3028175.02840791</c:v>
                </c:pt>
                <c:pt idx="48">
                  <c:v>3148771.87926015</c:v>
                </c:pt>
                <c:pt idx="49">
                  <c:v>3272979.43563795</c:v>
                </c:pt>
                <c:pt idx="50">
                  <c:v>3400906.01870709</c:v>
                </c:pt>
                <c:pt idx="51">
                  <c:v>3532663.1992683</c:v>
                </c:pt>
                <c:pt idx="52">
                  <c:v>3668365.89524635</c:v>
                </c:pt>
                <c:pt idx="53">
                  <c:v>3808132.47210374</c:v>
                </c:pt>
                <c:pt idx="54">
                  <c:v>3952084.84626686</c:v>
                </c:pt>
                <c:pt idx="55">
                  <c:v>4100348.59165486</c:v>
                </c:pt>
                <c:pt idx="56">
                  <c:v>4253053.04940451</c:v>
                </c:pt>
                <c:pt idx="57">
                  <c:v>4410331.44088665</c:v>
                </c:pt>
                <c:pt idx="58">
                  <c:v>4572320.98411324</c:v>
                </c:pt>
                <c:pt idx="59">
                  <c:v>4739163.01363664</c:v>
                </c:pt>
                <c:pt idx="60">
                  <c:v>4911003.10404574</c:v>
                </c:pt>
                <c:pt idx="61">
                  <c:v>5087991.19716711</c:v>
                </c:pt>
                <c:pt idx="62">
                  <c:v>5270281.73308213</c:v>
                </c:pt>
                <c:pt idx="63">
                  <c:v>5458033.78507459</c:v>
                </c:pt>
                <c:pt idx="64">
                  <c:v>5651411.19862683</c:v>
                </c:pt>
                <c:pt idx="65">
                  <c:v>5850582.73458563</c:v>
                </c:pt>
                <c:pt idx="66">
                  <c:v>6055722.2166232</c:v>
                </c:pt>
                <c:pt idx="67">
                  <c:v>6267008.6831219</c:v>
                </c:pt>
                <c:pt idx="68">
                  <c:v>6484626.54361556</c:v>
                </c:pt>
                <c:pt idx="69">
                  <c:v>6708765.73992402</c:v>
                </c:pt>
                <c:pt idx="70">
                  <c:v>6939621.91212174</c:v>
                </c:pt>
                <c:pt idx="71">
                  <c:v>7177396.5694854</c:v>
                </c:pt>
                <c:pt idx="72">
                  <c:v>7422297.26656996</c:v>
                </c:pt>
                <c:pt idx="73">
                  <c:v>7674537.78456706</c:v>
                </c:pt>
                <c:pt idx="74">
                  <c:v>7934338.31810407</c:v>
                </c:pt>
                <c:pt idx="75">
                  <c:v>8201925.66764719</c:v>
                </c:pt>
                <c:pt idx="76">
                  <c:v>8477533.43767661</c:v>
                </c:pt>
                <c:pt idx="77">
                  <c:v>8761402.24080691</c:v>
                </c:pt>
                <c:pt idx="78">
                  <c:v>9053779.90803111</c:v>
                </c:pt>
                <c:pt idx="79">
                  <c:v>9354921.70527205</c:v>
                </c:pt>
                <c:pt idx="80">
                  <c:v>9665090.55643021</c:v>
                </c:pt>
                <c:pt idx="81">
                  <c:v>9984557.27312312</c:v>
                </c:pt>
                <c:pt idx="82">
                  <c:v>10313600.7913168</c:v>
                </c:pt>
                <c:pt idx="83">
                  <c:v>10652508.4150563</c:v>
                </c:pt>
                <c:pt idx="84">
                  <c:v>11001576.067508</c:v>
                </c:pt>
                <c:pt idx="85">
                  <c:v>11361108.5495332</c:v>
                </c:pt>
                <c:pt idx="86">
                  <c:v>11731419.8060192</c:v>
                </c:pt>
                <c:pt idx="87">
                  <c:v>12112833.2001998</c:v>
                </c:pt>
                <c:pt idx="88">
                  <c:v>12505681.7962058</c:v>
                </c:pt>
                <c:pt idx="89">
                  <c:v>12910308.650092</c:v>
                </c:pt>
                <c:pt idx="90">
                  <c:v>13327067.1095947</c:v>
                </c:pt>
                <c:pt idx="91">
                  <c:v>13756321.1228826</c:v>
                </c:pt>
                <c:pt idx="92">
                  <c:v>14198445.5565691</c:v>
                </c:pt>
                <c:pt idx="93">
                  <c:v>14653826.5232661</c:v>
                </c:pt>
                <c:pt idx="94">
                  <c:v>15122861.7189641</c:v>
                </c:pt>
                <c:pt idx="95">
                  <c:v>15605960.7705331</c:v>
                </c:pt>
                <c:pt idx="96">
                  <c:v>16103545.593649</c:v>
                </c:pt>
                <c:pt idx="97">
                  <c:v>16616050.7614585</c:v>
                </c:pt>
                <c:pt idx="98">
                  <c:v>17143923.8843023</c:v>
                </c:pt>
                <c:pt idx="99">
                  <c:v>17687626.0008313</c:v>
                </c:pt>
                <c:pt idx="100">
                  <c:v>18247631.9808563</c:v>
                </c:pt>
              </c:numCache>
            </c:numRef>
          </c:val>
        </c:ser>
        <c:axId val="22898692"/>
        <c:axId val="86223498"/>
      </c:areaChart>
      <c:catAx>
        <c:axId val="228986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23498"/>
        <c:crosses val="autoZero"/>
        <c:auto val="1"/>
        <c:lblAlgn val="ctr"/>
        <c:lblOffset val="100"/>
        <c:noMultiLvlLbl val="0"/>
      </c:catAx>
      <c:valAx>
        <c:axId val="862234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9869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Value — Home vs. Investment Portfolio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Charts!F6</c:f>
              <c:strCache>
                <c:ptCount val="1"/>
                <c:pt idx="0">
                  <c:v>Home Value</c:v>
                </c:pt>
              </c:strCache>
            </c:strRef>
          </c:tx>
          <c:spPr>
            <a:solidFill>
              <a:srgbClr val="0a3622"/>
            </a:solidFill>
            <a:ln w="21960">
              <a:solidFill>
                <a:srgbClr val="0a362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Charts!$A$7:$A$107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Charts!$F$7:$F$107</c:f>
              <c:numCache>
                <c:formatCode>\$#,##0</c:formatCode>
                <c:ptCount val="101"/>
                <c:pt idx="0">
                  <c:v>500000</c:v>
                </c:pt>
                <c:pt idx="1">
                  <c:v>517500</c:v>
                </c:pt>
                <c:pt idx="2">
                  <c:v>535612.5</c:v>
                </c:pt>
                <c:pt idx="3">
                  <c:v>554358.9375</c:v>
                </c:pt>
                <c:pt idx="4">
                  <c:v>573761.5003125</c:v>
                </c:pt>
                <c:pt idx="5">
                  <c:v>593843.152823437</c:v>
                </c:pt>
                <c:pt idx="6">
                  <c:v>614627.663172258</c:v>
                </c:pt>
                <c:pt idx="7">
                  <c:v>636139.631383286</c:v>
                </c:pt>
                <c:pt idx="8">
                  <c:v>658404.518481701</c:v>
                </c:pt>
                <c:pt idx="9">
                  <c:v>681448.676628561</c:v>
                </c:pt>
                <c:pt idx="10">
                  <c:v>705299.380310561</c:v>
                </c:pt>
                <c:pt idx="11">
                  <c:v>729984.85862143</c:v>
                </c:pt>
                <c:pt idx="12">
                  <c:v>755534.32867318</c:v>
                </c:pt>
                <c:pt idx="13">
                  <c:v>781978.030176741</c:v>
                </c:pt>
                <c:pt idx="14">
                  <c:v>809347.261232927</c:v>
                </c:pt>
                <c:pt idx="15">
                  <c:v>837674.41537608</c:v>
                </c:pt>
                <c:pt idx="16">
                  <c:v>866993.019914242</c:v>
                </c:pt>
                <c:pt idx="17">
                  <c:v>897337.775611241</c:v>
                </c:pt>
                <c:pt idx="18">
                  <c:v>928744.597757634</c:v>
                </c:pt>
                <c:pt idx="19">
                  <c:v>961250.658679151</c:v>
                </c:pt>
                <c:pt idx="20">
                  <c:v>994894.431732921</c:v>
                </c:pt>
                <c:pt idx="21">
                  <c:v>1029715.73684357</c:v>
                </c:pt>
                <c:pt idx="22">
                  <c:v>1065755.7876331</c:v>
                </c:pt>
                <c:pt idx="23">
                  <c:v>1103057.24020026</c:v>
                </c:pt>
                <c:pt idx="24">
                  <c:v>1141664.24360727</c:v>
                </c:pt>
                <c:pt idx="25">
                  <c:v>1181622.49213352</c:v>
                </c:pt>
                <c:pt idx="26">
                  <c:v>1222979.27935819</c:v>
                </c:pt>
                <c:pt idx="27">
                  <c:v>1265783.55413573</c:v>
                </c:pt>
                <c:pt idx="28">
                  <c:v>1310085.97853048</c:v>
                </c:pt>
                <c:pt idx="29">
                  <c:v>1355938.98777905</c:v>
                </c:pt>
                <c:pt idx="30">
                  <c:v>1403396.85235131</c:v>
                </c:pt>
                <c:pt idx="31">
                  <c:v>1452515.74218361</c:v>
                </c:pt>
                <c:pt idx="32">
                  <c:v>1503353.79316004</c:v>
                </c:pt>
                <c:pt idx="33">
                  <c:v>1555971.17592064</c:v>
                </c:pt>
                <c:pt idx="34">
                  <c:v>1610430.16707786</c:v>
                </c:pt>
                <c:pt idx="35">
                  <c:v>1666795.22292558</c:v>
                </c:pt>
                <c:pt idx="36">
                  <c:v>1725133.05572798</c:v>
                </c:pt>
                <c:pt idx="37">
                  <c:v>1785512.71267846</c:v>
                </c:pt>
                <c:pt idx="38">
                  <c:v>1848005.6576222</c:v>
                </c:pt>
                <c:pt idx="39">
                  <c:v>1912685.85563898</c:v>
                </c:pt>
                <c:pt idx="40">
                  <c:v>1979629.86058635</c:v>
                </c:pt>
                <c:pt idx="41">
                  <c:v>2048916.90570687</c:v>
                </c:pt>
                <c:pt idx="42">
                  <c:v>2120628.99740661</c:v>
                </c:pt>
                <c:pt idx="43">
                  <c:v>2194851.01231584</c:v>
                </c:pt>
                <c:pt idx="44">
                  <c:v>2271670.79774689</c:v>
                </c:pt>
                <c:pt idx="45">
                  <c:v>2351179.27566803</c:v>
                </c:pt>
                <c:pt idx="46">
                  <c:v>2433470.55031641</c:v>
                </c:pt>
                <c:pt idx="47">
                  <c:v>2518642.01957749</c:v>
                </c:pt>
                <c:pt idx="48">
                  <c:v>2606794.4902627</c:v>
                </c:pt>
                <c:pt idx="49">
                  <c:v>2698032.2974219</c:v>
                </c:pt>
                <c:pt idx="50">
                  <c:v>2792463.42783166</c:v>
                </c:pt>
                <c:pt idx="51">
                  <c:v>2890199.64780577</c:v>
                </c:pt>
                <c:pt idx="52">
                  <c:v>2991356.63547897</c:v>
                </c:pt>
                <c:pt idx="53">
                  <c:v>3096054.11772073</c:v>
                </c:pt>
                <c:pt idx="54">
                  <c:v>3204416.01184096</c:v>
                </c:pt>
                <c:pt idx="55">
                  <c:v>3316570.57225539</c:v>
                </c:pt>
                <c:pt idx="56">
                  <c:v>3432650.54228433</c:v>
                </c:pt>
                <c:pt idx="57">
                  <c:v>3552793.31126428</c:v>
                </c:pt>
                <c:pt idx="58">
                  <c:v>3677141.07715853</c:v>
                </c:pt>
                <c:pt idx="59">
                  <c:v>3805841.01485908</c:v>
                </c:pt>
                <c:pt idx="60">
                  <c:v>3939045.45037915</c:v>
                </c:pt>
                <c:pt idx="61">
                  <c:v>4076912.04114242</c:v>
                </c:pt>
                <c:pt idx="62">
                  <c:v>4219603.9625824</c:v>
                </c:pt>
                <c:pt idx="63">
                  <c:v>4367290.10127279</c:v>
                </c:pt>
                <c:pt idx="64">
                  <c:v>4520145.25481733</c:v>
                </c:pt>
                <c:pt idx="65">
                  <c:v>4678350.33873594</c:v>
                </c:pt>
                <c:pt idx="66">
                  <c:v>4842092.6005917</c:v>
                </c:pt>
                <c:pt idx="67">
                  <c:v>5011565.84161241</c:v>
                </c:pt>
                <c:pt idx="68">
                  <c:v>5186970.64606884</c:v>
                </c:pt>
                <c:pt idx="69">
                  <c:v>5368514.61868125</c:v>
                </c:pt>
                <c:pt idx="70">
                  <c:v>5556412.63033509</c:v>
                </c:pt>
                <c:pt idx="71">
                  <c:v>5750887.07239682</c:v>
                </c:pt>
                <c:pt idx="72">
                  <c:v>5952168.11993071</c:v>
                </c:pt>
                <c:pt idx="73">
                  <c:v>6160494.00412828</c:v>
                </c:pt>
                <c:pt idx="74">
                  <c:v>6376111.29427277</c:v>
                </c:pt>
                <c:pt idx="75">
                  <c:v>6599275.18957232</c:v>
                </c:pt>
                <c:pt idx="76">
                  <c:v>6830249.82120735</c:v>
                </c:pt>
                <c:pt idx="77">
                  <c:v>7069308.56494961</c:v>
                </c:pt>
                <c:pt idx="78">
                  <c:v>7316734.36472284</c:v>
                </c:pt>
                <c:pt idx="79">
                  <c:v>7572820.06748814</c:v>
                </c:pt>
                <c:pt idx="80">
                  <c:v>7837868.76985023</c:v>
                </c:pt>
                <c:pt idx="81">
                  <c:v>8112194.17679498</c:v>
                </c:pt>
                <c:pt idx="82">
                  <c:v>8396120.97298281</c:v>
                </c:pt>
                <c:pt idx="83">
                  <c:v>8689985.20703721</c:v>
                </c:pt>
                <c:pt idx="84">
                  <c:v>8994134.68928351</c:v>
                </c:pt>
                <c:pt idx="85">
                  <c:v>9308929.40340843</c:v>
                </c:pt>
                <c:pt idx="86">
                  <c:v>9634741.93252772</c:v>
                </c:pt>
                <c:pt idx="87">
                  <c:v>9971957.90016619</c:v>
                </c:pt>
                <c:pt idx="88">
                  <c:v>10320976.426672</c:v>
                </c:pt>
                <c:pt idx="89">
                  <c:v>10682210.6016055</c:v>
                </c:pt>
                <c:pt idx="90">
                  <c:v>11056087.9726617</c:v>
                </c:pt>
                <c:pt idx="91">
                  <c:v>11443051.0517049</c:v>
                </c:pt>
                <c:pt idx="92">
                  <c:v>11843557.8385146</c:v>
                </c:pt>
                <c:pt idx="93">
                  <c:v>12258082.3628626</c:v>
                </c:pt>
                <c:pt idx="94">
                  <c:v>12687115.2455627</c:v>
                </c:pt>
                <c:pt idx="95">
                  <c:v>13131164.2791574</c:v>
                </c:pt>
                <c:pt idx="96">
                  <c:v>13590755.028928</c:v>
                </c:pt>
                <c:pt idx="97">
                  <c:v>14066431.4549404</c:v>
                </c:pt>
                <c:pt idx="98">
                  <c:v>14558756.5558633</c:v>
                </c:pt>
                <c:pt idx="99">
                  <c:v>15068313.0353186</c:v>
                </c:pt>
                <c:pt idx="100">
                  <c:v>15595703.9915547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Charts!G6</c:f>
              <c:strCache>
                <c:ptCount val="1"/>
                <c:pt idx="0">
                  <c:v>Portfolio Value</c:v>
                </c:pt>
              </c:strCache>
            </c:strRef>
          </c:tx>
          <c:spPr>
            <a:solidFill>
              <a:srgbClr val="4895ef"/>
            </a:solidFill>
            <a:ln w="21960">
              <a:solidFill>
                <a:srgbClr val="4895e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Charts!$A$7:$A$107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Charts!$G$7:$G$107</c:f>
              <c:numCache>
                <c:formatCode>\$#,##0</c:formatCode>
                <c:ptCount val="101"/>
                <c:pt idx="0">
                  <c:v>120000</c:v>
                </c:pt>
                <c:pt idx="1">
                  <c:v>129600</c:v>
                </c:pt>
                <c:pt idx="2">
                  <c:v>139968</c:v>
                </c:pt>
                <c:pt idx="3">
                  <c:v>151165.44</c:v>
                </c:pt>
                <c:pt idx="4">
                  <c:v>163258.6752</c:v>
                </c:pt>
                <c:pt idx="5">
                  <c:v>176319.369216</c:v>
                </c:pt>
                <c:pt idx="6">
                  <c:v>190424.91875328</c:v>
                </c:pt>
                <c:pt idx="7">
                  <c:v>205658.912253543</c:v>
                </c:pt>
                <c:pt idx="8">
                  <c:v>222111.625233826</c:v>
                </c:pt>
                <c:pt idx="9">
                  <c:v>239880.555252532</c:v>
                </c:pt>
                <c:pt idx="10">
                  <c:v>259070.999672735</c:v>
                </c:pt>
                <c:pt idx="11">
                  <c:v>279796.679646553</c:v>
                </c:pt>
                <c:pt idx="12">
                  <c:v>302180.414018278</c:v>
                </c:pt>
                <c:pt idx="13">
                  <c:v>326354.84713974</c:v>
                </c:pt>
                <c:pt idx="14">
                  <c:v>352463.234910919</c:v>
                </c:pt>
                <c:pt idx="15">
                  <c:v>380660.293703793</c:v>
                </c:pt>
                <c:pt idx="16">
                  <c:v>411113.117200096</c:v>
                </c:pt>
                <c:pt idx="17">
                  <c:v>444002.166576104</c:v>
                </c:pt>
                <c:pt idx="18">
                  <c:v>479522.339902192</c:v>
                </c:pt>
                <c:pt idx="19">
                  <c:v>517884.127094368</c:v>
                </c:pt>
                <c:pt idx="20">
                  <c:v>559314.857261917</c:v>
                </c:pt>
                <c:pt idx="21">
                  <c:v>604060.045842871</c:v>
                </c:pt>
                <c:pt idx="22">
                  <c:v>652384.8495103</c:v>
                </c:pt>
                <c:pt idx="23">
                  <c:v>704575.637471124</c:v>
                </c:pt>
                <c:pt idx="24">
                  <c:v>760941.688468814</c:v>
                </c:pt>
                <c:pt idx="25">
                  <c:v>821817.02354632</c:v>
                </c:pt>
                <c:pt idx="26">
                  <c:v>887562.385430025</c:v>
                </c:pt>
                <c:pt idx="27">
                  <c:v>958567.376264427</c:v>
                </c:pt>
                <c:pt idx="28">
                  <c:v>1035252.76636558</c:v>
                </c:pt>
                <c:pt idx="29">
                  <c:v>1118072.98767483</c:v>
                </c:pt>
                <c:pt idx="30">
                  <c:v>1207518.82668881</c:v>
                </c:pt>
                <c:pt idx="31">
                  <c:v>1304120.33282392</c:v>
                </c:pt>
                <c:pt idx="32">
                  <c:v>1408449.95944983</c:v>
                </c:pt>
                <c:pt idx="33">
                  <c:v>1521125.95620582</c:v>
                </c:pt>
                <c:pt idx="34">
                  <c:v>1642816.03270229</c:v>
                </c:pt>
                <c:pt idx="35">
                  <c:v>1774241.31531847</c:v>
                </c:pt>
                <c:pt idx="36">
                  <c:v>1916180.62054395</c:v>
                </c:pt>
                <c:pt idx="37">
                  <c:v>2069475.07018746</c:v>
                </c:pt>
                <c:pt idx="38">
                  <c:v>2235033.07580246</c:v>
                </c:pt>
                <c:pt idx="39">
                  <c:v>2413835.72186666</c:v>
                </c:pt>
                <c:pt idx="40">
                  <c:v>2606942.57961599</c:v>
                </c:pt>
                <c:pt idx="41">
                  <c:v>2815497.98598527</c:v>
                </c:pt>
                <c:pt idx="42">
                  <c:v>3040737.82486409</c:v>
                </c:pt>
                <c:pt idx="43">
                  <c:v>3283996.85085322</c:v>
                </c:pt>
                <c:pt idx="44">
                  <c:v>3546716.59892147</c:v>
                </c:pt>
                <c:pt idx="45">
                  <c:v>3830453.92683519</c:v>
                </c:pt>
                <c:pt idx="46">
                  <c:v>4136890.24098201</c:v>
                </c:pt>
                <c:pt idx="47">
                  <c:v>4467841.46026057</c:v>
                </c:pt>
                <c:pt idx="48">
                  <c:v>4825268.77708141</c:v>
                </c:pt>
                <c:pt idx="49">
                  <c:v>5211290.27924793</c:v>
                </c:pt>
                <c:pt idx="50">
                  <c:v>5628193.50158776</c:v>
                </c:pt>
                <c:pt idx="51">
                  <c:v>6078448.98171478</c:v>
                </c:pt>
                <c:pt idx="52">
                  <c:v>6564724.90025197</c:v>
                </c:pt>
                <c:pt idx="53">
                  <c:v>7089902.89227213</c:v>
                </c:pt>
                <c:pt idx="54">
                  <c:v>7657095.1236539</c:v>
                </c:pt>
                <c:pt idx="55">
                  <c:v>8269662.73354621</c:v>
                </c:pt>
                <c:pt idx="56">
                  <c:v>8931235.75222991</c:v>
                </c:pt>
                <c:pt idx="57">
                  <c:v>9645734.6124083</c:v>
                </c:pt>
                <c:pt idx="58">
                  <c:v>10417393.381401</c:v>
                </c:pt>
                <c:pt idx="59">
                  <c:v>11250784.851913</c:v>
                </c:pt>
                <c:pt idx="60">
                  <c:v>12150847.6400661</c:v>
                </c:pt>
                <c:pt idx="61">
                  <c:v>13122915.4512714</c:v>
                </c:pt>
                <c:pt idx="62">
                  <c:v>14172748.6873731</c:v>
                </c:pt>
                <c:pt idx="63">
                  <c:v>15306568.5823629</c:v>
                </c:pt>
                <c:pt idx="64">
                  <c:v>16531094.068952</c:v>
                </c:pt>
                <c:pt idx="65">
                  <c:v>17853581.5944681</c:v>
                </c:pt>
                <c:pt idx="66">
                  <c:v>19281868.1220256</c:v>
                </c:pt>
                <c:pt idx="67">
                  <c:v>20824417.5717876</c:v>
                </c:pt>
                <c:pt idx="68">
                  <c:v>22490370.9775306</c:v>
                </c:pt>
                <c:pt idx="69">
                  <c:v>24289600.6557331</c:v>
                </c:pt>
                <c:pt idx="70">
                  <c:v>26232768.7081917</c:v>
                </c:pt>
                <c:pt idx="71">
                  <c:v>28331390.2048471</c:v>
                </c:pt>
                <c:pt idx="72">
                  <c:v>30597901.4212348</c:v>
                </c:pt>
                <c:pt idx="73">
                  <c:v>33045733.5349336</c:v>
                </c:pt>
                <c:pt idx="74">
                  <c:v>35689392.2177283</c:v>
                </c:pt>
                <c:pt idx="75">
                  <c:v>38544543.5951466</c:v>
                </c:pt>
                <c:pt idx="76">
                  <c:v>41628107.0827583</c:v>
                </c:pt>
                <c:pt idx="77">
                  <c:v>44958355.649379</c:v>
                </c:pt>
                <c:pt idx="78">
                  <c:v>48555024.1013293</c:v>
                </c:pt>
                <c:pt idx="79">
                  <c:v>52439426.0294356</c:v>
                </c:pt>
                <c:pt idx="80">
                  <c:v>56634580.1117905</c:v>
                </c:pt>
                <c:pt idx="81">
                  <c:v>61165346.5207337</c:v>
                </c:pt>
                <c:pt idx="82">
                  <c:v>66058574.2423925</c:v>
                </c:pt>
                <c:pt idx="83">
                  <c:v>71343260.1817839</c:v>
                </c:pt>
                <c:pt idx="84">
                  <c:v>77050720.9963266</c:v>
                </c:pt>
                <c:pt idx="85">
                  <c:v>83214778.6760327</c:v>
                </c:pt>
                <c:pt idx="86">
                  <c:v>89871960.9701153</c:v>
                </c:pt>
                <c:pt idx="87">
                  <c:v>97061717.8477246</c:v>
                </c:pt>
                <c:pt idx="88">
                  <c:v>104826655.275543</c:v>
                </c:pt>
                <c:pt idx="89">
                  <c:v>113212787.697586</c:v>
                </c:pt>
                <c:pt idx="90">
                  <c:v>122269810.713393</c:v>
                </c:pt>
                <c:pt idx="91">
                  <c:v>132051395.570464</c:v>
                </c:pt>
                <c:pt idx="92">
                  <c:v>142615507.216101</c:v>
                </c:pt>
                <c:pt idx="93">
                  <c:v>154024747.79339</c:v>
                </c:pt>
                <c:pt idx="94">
                  <c:v>166346727.616861</c:v>
                </c:pt>
                <c:pt idx="95">
                  <c:v>179654465.82621</c:v>
                </c:pt>
                <c:pt idx="96">
                  <c:v>194026823.092306</c:v>
                </c:pt>
                <c:pt idx="97">
                  <c:v>209548968.939691</c:v>
                </c:pt>
                <c:pt idx="98">
                  <c:v>226312886.454866</c:v>
                </c:pt>
                <c:pt idx="99">
                  <c:v>244417917.371255</c:v>
                </c:pt>
                <c:pt idx="100">
                  <c:v>263971350.760956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104573"/>
        <c:axId val="13511129"/>
      </c:lineChart>
      <c:catAx>
        <c:axId val="79104573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11129"/>
        <c:crosses val="autoZero"/>
        <c:auto val="1"/>
        <c:lblAlgn val="ctr"/>
        <c:lblOffset val="100"/>
        <c:noMultiLvlLbl val="0"/>
      </c:catAx>
      <c:valAx>
        <c:axId val="13511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04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Expenses: Buyer vs. Renter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'Expense Breakdown'!H4</c:f>
              <c:strCache>
                <c:ptCount val="1"/>
                <c:pt idx="0">
                  <c:v>Buyer ($)</c:v>
                </c:pt>
              </c:strCache>
            </c:strRef>
          </c:tx>
          <c:spPr>
            <a:solidFill>
              <a:srgbClr val="25c37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Breakdown'!$G$5:$G$9</c:f>
              <c:strCache>
                <c:ptCount val="5"/>
                <c:pt idx="0">
                  <c:v>Mortgage / Rent</c:v>
                </c:pt>
                <c:pt idx="1">
                  <c:v>Property Tax</c:v>
                </c:pt>
                <c:pt idx="2">
                  <c:v>Insurance</c:v>
                </c:pt>
                <c:pt idx="3">
                  <c:v>Maintenance</c:v>
                </c:pt>
                <c:pt idx="4">
                  <c:v>PMI / HOA</c:v>
                </c:pt>
              </c:strCache>
            </c:strRef>
          </c:cat>
          <c:val>
            <c:numRef>
              <c:f>'Expense Breakdown'!$H$5:$H$9</c:f>
              <c:numCache>
                <c:formatCode>\$#,##0</c:formatCode>
                <c:ptCount val="5"/>
                <c:pt idx="0">
                  <c:v>0</c:v>
                </c:pt>
                <c:pt idx="1">
                  <c:v>16840.7622282158</c:v>
                </c:pt>
                <c:pt idx="2">
                  <c:v>1800</c:v>
                </c:pt>
                <c:pt idx="3">
                  <c:v>14033.9685235131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'Expense Breakdown'!I4</c:f>
              <c:strCache>
                <c:ptCount val="1"/>
                <c:pt idx="0">
                  <c:v>Renter ($)</c:v>
                </c:pt>
              </c:strCache>
            </c:strRef>
          </c:tx>
          <c:spPr>
            <a:solidFill>
              <a:srgbClr val="4895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'Expense Breakdown'!$G$5:$G$9</c:f>
              <c:strCache>
                <c:ptCount val="5"/>
                <c:pt idx="0">
                  <c:v>Mortgage / Rent</c:v>
                </c:pt>
                <c:pt idx="1">
                  <c:v>Property Tax</c:v>
                </c:pt>
                <c:pt idx="2">
                  <c:v>Insurance</c:v>
                </c:pt>
                <c:pt idx="3">
                  <c:v>Maintenance</c:v>
                </c:pt>
                <c:pt idx="4">
                  <c:v>PMI / HOA</c:v>
                </c:pt>
              </c:strCache>
            </c:strRef>
          </c:cat>
          <c:val>
            <c:numRef>
              <c:f>'Expense Breakdown'!$I$5:$I$9</c:f>
              <c:numCache>
                <c:formatCode>\$#,##0</c:formatCode>
                <c:ptCount val="5"/>
                <c:pt idx="0">
                  <c:v>70696.9651802814</c:v>
                </c:pt>
                <c:pt idx="1">
                  <c:v>0</c:v>
                </c:pt>
                <c:pt idx="2">
                  <c:v>240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8148982"/>
        <c:axId val="12673342"/>
      </c:barChart>
      <c:catAx>
        <c:axId val="981489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73342"/>
        <c:crosses val="autoZero"/>
        <c:auto val="1"/>
        <c:lblAlgn val="ctr"/>
        <c:lblOffset val="100"/>
        <c:noMultiLvlLbl val="0"/>
      </c:catAx>
      <c:valAx>
        <c:axId val="12673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489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109</xdr:row>
      <xdr:rowOff>0</xdr:rowOff>
    </xdr:from>
    <xdr:to>
      <xdr:col>8</xdr:col>
      <xdr:colOff>39960</xdr:colOff>
      <xdr:row>135</xdr:row>
      <xdr:rowOff>86040</xdr:rowOff>
    </xdr:to>
    <xdr:graphicFrame>
      <xdr:nvGraphicFramePr>
        <xdr:cNvPr id="0" name="Chart 1"/>
        <xdr:cNvGraphicFramePr/>
      </xdr:nvGraphicFramePr>
      <xdr:xfrm>
        <a:off x="0" y="2126916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109</xdr:row>
      <xdr:rowOff>0</xdr:rowOff>
    </xdr:from>
    <xdr:to>
      <xdr:col>24</xdr:col>
      <xdr:colOff>78120</xdr:colOff>
      <xdr:row>135</xdr:row>
      <xdr:rowOff>86040</xdr:rowOff>
    </xdr:to>
    <xdr:graphicFrame>
      <xdr:nvGraphicFramePr>
        <xdr:cNvPr id="1" name="Chart 2"/>
        <xdr:cNvGraphicFramePr/>
      </xdr:nvGraphicFramePr>
      <xdr:xfrm>
        <a:off x="10197360" y="2126916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126</xdr:row>
      <xdr:rowOff>0</xdr:rowOff>
    </xdr:from>
    <xdr:to>
      <xdr:col>8</xdr:col>
      <xdr:colOff>39960</xdr:colOff>
      <xdr:row>152</xdr:row>
      <xdr:rowOff>86040</xdr:rowOff>
    </xdr:to>
    <xdr:graphicFrame>
      <xdr:nvGraphicFramePr>
        <xdr:cNvPr id="2" name="Chart 3"/>
        <xdr:cNvGraphicFramePr/>
      </xdr:nvGraphicFramePr>
      <xdr:xfrm>
        <a:off x="0" y="2450772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870840</xdr:colOff>
      <xdr:row>39</xdr:row>
      <xdr:rowOff>86400</xdr:rowOff>
    </xdr:to>
    <xdr:graphicFrame>
      <xdr:nvGraphicFramePr>
        <xdr:cNvPr id="3" name="Chart 1"/>
        <xdr:cNvGraphicFramePr/>
      </xdr:nvGraphicFramePr>
      <xdr:xfrm>
        <a:off x="0" y="329580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2"/>
    <col collapsed="false" customWidth="true" hidden="false" outlineLevel="0" max="9" min="9" style="1" width="16"/>
    <col collapsed="false" customWidth="true" hidden="false" outlineLevel="0" max="10" min="10" style="1" width="3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1.51"/>
  </cols>
  <sheetData>
    <row r="1" customFormat="false" ht="4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9.75" hidden="false" customHeight="true" outlineLevel="0" collapsed="false"/>
    <row r="4" customFormat="false" ht="31.5" hidden="false" customHeight="true" outlineLevel="0" collapsed="false">
      <c r="B4" s="4" t="s">
        <v>2</v>
      </c>
      <c r="C4" s="4"/>
      <c r="E4" s="5" t="s">
        <v>3</v>
      </c>
      <c r="F4" s="5"/>
      <c r="H4" s="6" t="s">
        <v>4</v>
      </c>
      <c r="I4" s="6"/>
      <c r="K4" s="7" t="s">
        <v>5</v>
      </c>
      <c r="L4" s="7"/>
    </row>
    <row r="5" customFormat="false" ht="21.75" hidden="false" customHeight="true" outlineLevel="0" collapsed="false">
      <c r="B5" s="8" t="s">
        <v>6</v>
      </c>
      <c r="C5" s="8"/>
      <c r="E5" s="9" t="s">
        <v>7</v>
      </c>
      <c r="F5" s="9"/>
      <c r="H5" s="10" t="s">
        <v>8</v>
      </c>
      <c r="I5" s="10"/>
      <c r="K5" s="11" t="s">
        <v>9</v>
      </c>
      <c r="L5" s="11"/>
    </row>
    <row r="6" customFormat="false" ht="27.75" hidden="false" customHeight="true" outlineLevel="0" collapsed="false">
      <c r="B6" s="12" t="s">
        <v>10</v>
      </c>
      <c r="C6" s="13" t="n">
        <v>500000</v>
      </c>
      <c r="E6" s="12" t="s">
        <v>11</v>
      </c>
      <c r="F6" s="13" t="n">
        <v>2500</v>
      </c>
      <c r="H6" s="14" t="s">
        <v>12</v>
      </c>
      <c r="I6" s="15" t="n">
        <v>30</v>
      </c>
      <c r="K6" s="12" t="s">
        <v>13</v>
      </c>
      <c r="L6" s="13" t="n">
        <v>75000</v>
      </c>
    </row>
    <row r="7" customFormat="false" ht="15" hidden="false" customHeight="true" outlineLevel="0" collapsed="false">
      <c r="B7" s="12" t="s">
        <v>14</v>
      </c>
      <c r="C7" s="16" t="n">
        <v>0.2</v>
      </c>
      <c r="E7" s="12" t="s">
        <v>15</v>
      </c>
      <c r="F7" s="17" t="n">
        <v>0.03</v>
      </c>
      <c r="K7" s="12" t="s">
        <v>16</v>
      </c>
      <c r="L7" s="13" t="n">
        <v>48000</v>
      </c>
    </row>
    <row r="8" customFormat="false" ht="18" hidden="false" customHeight="true" outlineLevel="0" collapsed="false">
      <c r="B8" s="18" t="s">
        <v>17</v>
      </c>
      <c r="C8" s="19" t="n">
        <f aca="false">C6*C7</f>
        <v>100000</v>
      </c>
      <c r="E8" s="12" t="s">
        <v>18</v>
      </c>
      <c r="F8" s="13" t="n">
        <v>20</v>
      </c>
      <c r="H8" s="20" t="s">
        <v>19</v>
      </c>
      <c r="I8" s="20"/>
      <c r="K8" s="12" t="s">
        <v>20</v>
      </c>
      <c r="L8" s="21" t="n">
        <v>0.3</v>
      </c>
    </row>
    <row r="9" customFormat="false" ht="36" hidden="false" customHeight="true" outlineLevel="0" collapsed="false">
      <c r="B9" s="8" t="s">
        <v>21</v>
      </c>
      <c r="C9" s="8"/>
      <c r="E9" s="12" t="s">
        <v>22</v>
      </c>
      <c r="F9" s="22" t="n">
        <v>2</v>
      </c>
      <c r="H9" s="23" t="n">
        <f aca="false">IFERROR(INDEX(Schedule!$H:$H,I6+3),0)</f>
        <v>-1927405.94893364</v>
      </c>
      <c r="I9" s="23"/>
      <c r="K9" s="12" t="s">
        <v>23</v>
      </c>
      <c r="L9" s="13" t="n">
        <v>25000</v>
      </c>
    </row>
    <row r="10" customFormat="false" ht="21.75" hidden="false" customHeight="true" outlineLevel="0" collapsed="false">
      <c r="B10" s="12" t="s">
        <v>24</v>
      </c>
      <c r="C10" s="24" t="n">
        <v>0.07</v>
      </c>
      <c r="E10" s="9" t="s">
        <v>25</v>
      </c>
      <c r="F10" s="9"/>
      <c r="K10" s="11" t="s">
        <v>26</v>
      </c>
      <c r="L10" s="11"/>
    </row>
    <row r="11" customFormat="false" ht="18" hidden="false" customHeight="true" outlineLevel="0" collapsed="false">
      <c r="B11" s="12" t="s">
        <v>27</v>
      </c>
      <c r="C11" s="25" t="n">
        <v>30</v>
      </c>
      <c r="E11" s="12" t="s">
        <v>28</v>
      </c>
      <c r="F11" s="17" t="n">
        <v>0.08</v>
      </c>
      <c r="H11" s="26" t="s">
        <v>29</v>
      </c>
      <c r="I11" s="26"/>
      <c r="K11" s="12" t="s">
        <v>30</v>
      </c>
      <c r="L11" s="17" t="n">
        <v>0.04</v>
      </c>
    </row>
    <row r="12" customFormat="false" ht="36" hidden="false" customHeight="true" outlineLevel="0" collapsed="false">
      <c r="B12" s="8" t="s">
        <v>31</v>
      </c>
      <c r="C12" s="8"/>
      <c r="E12" s="12" t="s">
        <v>32</v>
      </c>
      <c r="F12" s="21" t="n">
        <v>0.15</v>
      </c>
      <c r="H12" s="27" t="n">
        <f aca="false">IFERROR(INDEX(Schedule!$S:$S,I6+3),0)</f>
        <v>1044391.00268549</v>
      </c>
      <c r="I12" s="27"/>
      <c r="K12" s="12" t="s">
        <v>33</v>
      </c>
      <c r="L12" s="17" t="n">
        <v>0.07</v>
      </c>
    </row>
    <row r="13" customFormat="false" ht="15" hidden="false" customHeight="true" outlineLevel="0" collapsed="false">
      <c r="B13" s="12" t="s">
        <v>34</v>
      </c>
      <c r="C13" s="24" t="n">
        <v>0.012</v>
      </c>
      <c r="E13" s="12" t="s">
        <v>35</v>
      </c>
      <c r="F13" s="13" t="n">
        <v>0</v>
      </c>
      <c r="K13" s="12" t="s">
        <v>36</v>
      </c>
      <c r="L13" s="17" t="n">
        <v>0.03</v>
      </c>
    </row>
    <row r="14" customFormat="false" ht="43.5" hidden="false" customHeight="true" outlineLevel="0" collapsed="false">
      <c r="B14" s="12" t="s">
        <v>37</v>
      </c>
      <c r="C14" s="13" t="n">
        <v>150</v>
      </c>
      <c r="E14" s="9" t="s">
        <v>38</v>
      </c>
      <c r="F14" s="9"/>
      <c r="H14" s="28" t="str">
        <f aca="false">IFERROR(IF(INDEX(Schedule!$H:$H,I6+3)&gt;INDEX(Schedule!$S:$S,I6+3),"🏡 BUYING wins by $"&amp;TEXT(INDEX(Schedule!$H:$H,I6+3)-INDEX(Schedule!$S:$S,I6+3),"#,##0"),"🏢 RENTING wins by $"&amp;TEXT(INDEX(Schedule!$S:$S,I6+3)-INDEX(Schedule!$H:$H,I6+3),"#,##0")),"—")</f>
        <v>🏢 RENTING wins by $2,971,797</v>
      </c>
      <c r="I14" s="28"/>
      <c r="K14" s="11" t="s">
        <v>39</v>
      </c>
      <c r="L14" s="11"/>
    </row>
    <row r="15" customFormat="false" ht="15" hidden="false" customHeight="true" outlineLevel="0" collapsed="false">
      <c r="B15" s="12" t="s">
        <v>40</v>
      </c>
      <c r="C15" s="13" t="n">
        <v>0</v>
      </c>
      <c r="E15" s="12" t="s">
        <v>41</v>
      </c>
      <c r="F15" s="29" t="n">
        <v>30</v>
      </c>
      <c r="K15" s="18" t="s">
        <v>42</v>
      </c>
      <c r="L15" s="19" t="n">
        <f aca="false">MAX(C6*C19+C8,0)/12</f>
        <v>9583.33333333333</v>
      </c>
    </row>
    <row r="16" customFormat="false" ht="18" hidden="false" customHeight="true" outlineLevel="0" collapsed="false">
      <c r="B16" s="12" t="s">
        <v>43</v>
      </c>
      <c r="C16" s="24" t="n">
        <v>0.01</v>
      </c>
      <c r="H16" s="30" t="s">
        <v>44</v>
      </c>
      <c r="I16" s="31" t="str">
        <f aca="false">TEXT(C29,"$#,##0")</f>
        <v>$1,067</v>
      </c>
      <c r="K16" s="18" t="s">
        <v>45</v>
      </c>
      <c r="L16" s="19" t="n">
        <f aca="false">MAX(0,0)</f>
        <v>0</v>
      </c>
    </row>
    <row r="17" customFormat="false" ht="18" hidden="false" customHeight="true" outlineLevel="0" collapsed="false">
      <c r="B17" s="12" t="s">
        <v>46</v>
      </c>
      <c r="C17" s="24" t="n">
        <v>0.005</v>
      </c>
      <c r="H17" s="30" t="s">
        <v>47</v>
      </c>
      <c r="I17" s="31" t="str">
        <f aca="false">TEXT(IFERROR(INDEX(Schedule!$G:$G,I6+3),0),"$#,##0")</f>
        <v>$756,724</v>
      </c>
      <c r="K17" s="32" t="s">
        <v>48</v>
      </c>
      <c r="L17" s="33" t="n">
        <f aca="false">L7*25</f>
        <v>1200000</v>
      </c>
    </row>
    <row r="18" customFormat="false" ht="18" hidden="false" customHeight="true" outlineLevel="0" collapsed="false">
      <c r="B18" s="8" t="s">
        <v>49</v>
      </c>
      <c r="C18" s="8"/>
      <c r="H18" s="30" t="s">
        <v>50</v>
      </c>
      <c r="I18" s="31" t="str">
        <f aca="false">TEXT(IFERROR(INDEX(Schedule!$B:$B,I6+3),0),"$#,##0")</f>
        <v>$1,403,397</v>
      </c>
      <c r="K18" s="34" t="s">
        <v>51</v>
      </c>
      <c r="L18" s="35" t="n">
        <f aca="false">IFERROR(LOG((L17*L12/(L6*L8)+1),(1+L12)),99)</f>
        <v>22.977545531977</v>
      </c>
    </row>
    <row r="19" customFormat="false" ht="18" hidden="false" customHeight="true" outlineLevel="0" collapsed="false">
      <c r="B19" s="12" t="s">
        <v>52</v>
      </c>
      <c r="C19" s="17" t="n">
        <v>0.03</v>
      </c>
      <c r="H19" s="30" t="s">
        <v>53</v>
      </c>
      <c r="I19" s="31" t="str">
        <f aca="false">TEXT(IFERROR(INDEX(Schedule!$E:$E,I6+3),0),"$#,##0")</f>
        <v>$3,488,323</v>
      </c>
      <c r="K19" s="36" t="s">
        <v>54</v>
      </c>
      <c r="L19" s="37" t="n">
        <f aca="false">IFERROR(LOG((L17*L12/(L6*L8*0.8)+1),(1+L12)),99)</f>
        <v>25.637536287167</v>
      </c>
    </row>
    <row r="20" customFormat="false" ht="15" hidden="false" customHeight="true" outlineLevel="0" collapsed="false">
      <c r="B20" s="12" t="s">
        <v>55</v>
      </c>
      <c r="C20" s="17" t="n">
        <v>0.06</v>
      </c>
    </row>
    <row r="21" customFormat="false" ht="15" hidden="false" customHeight="true" outlineLevel="0" collapsed="false">
      <c r="B21" s="12" t="s">
        <v>56</v>
      </c>
      <c r="C21" s="17" t="n">
        <v>0.035</v>
      </c>
    </row>
    <row r="22" customFormat="false" ht="15" hidden="false" customHeight="true" outlineLevel="0" collapsed="false">
      <c r="B22" s="12" t="s">
        <v>57</v>
      </c>
      <c r="C22" s="21" t="n">
        <v>0.28</v>
      </c>
    </row>
    <row r="24" customFormat="false" ht="3.75" hidden="false" customHeight="true" outlineLevel="0" collapsed="false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</row>
    <row r="25" customFormat="false" ht="21.75" hidden="false" customHeight="true" outlineLevel="0" collapsed="false">
      <c r="B25" s="8" t="s">
        <v>58</v>
      </c>
      <c r="C25" s="8"/>
      <c r="E25" s="9" t="s">
        <v>59</v>
      </c>
      <c r="F25" s="9"/>
    </row>
    <row r="26" customFormat="false" ht="15" hidden="false" customHeight="true" outlineLevel="0" collapsed="false">
      <c r="B26" s="18" t="s">
        <v>60</v>
      </c>
      <c r="C26" s="19" t="n">
        <f aca="false">IFERROR((C6-C8)*($$c10/12)*(1+$$c10/12)^($$c11*12)/((1+$$c10/12)^($$c11*12)-1),0)</f>
        <v>0</v>
      </c>
      <c r="E26" s="18" t="s">
        <v>61</v>
      </c>
      <c r="F26" s="19" t="n">
        <f aca="false">C8+C6*C19</f>
        <v>115000</v>
      </c>
    </row>
    <row r="27" customFormat="false" ht="15" hidden="false" customHeight="true" outlineLevel="0" collapsed="false">
      <c r="B27" s="18" t="s">
        <v>62</v>
      </c>
      <c r="C27" s="19" t="n">
        <f aca="false">C6*C13/12</f>
        <v>500</v>
      </c>
      <c r="E27" s="18" t="s">
        <v>63</v>
      </c>
      <c r="F27" s="19" t="n">
        <f aca="false">F6*F9</f>
        <v>5000</v>
      </c>
    </row>
    <row r="28" customFormat="false" ht="15" hidden="false" customHeight="true" outlineLevel="0" collapsed="false">
      <c r="B28" s="18" t="s">
        <v>64</v>
      </c>
      <c r="C28" s="19" t="n">
        <f aca="false">IF(C7&lt;0.2,(C6-C8)*C17/12,0)</f>
        <v>0</v>
      </c>
      <c r="E28" s="18" t="s">
        <v>65</v>
      </c>
      <c r="F28" s="19" t="n">
        <f aca="false">MAX(C26+C27+C14+C15+C6*C16/12+C28-(F6+F8),0)+F13</f>
        <v>0</v>
      </c>
    </row>
    <row r="29" customFormat="false" ht="15" hidden="false" customHeight="true" outlineLevel="0" collapsed="false">
      <c r="B29" s="32" t="s">
        <v>66</v>
      </c>
      <c r="C29" s="33" t="n">
        <f aca="false">C26+C27+C14+C15+C6*C16/12+C28</f>
        <v>1066.66666666667</v>
      </c>
      <c r="E29" s="39" t="s">
        <v>67</v>
      </c>
      <c r="F29" s="40" t="n">
        <f aca="false">F6+F8</f>
        <v>2520</v>
      </c>
    </row>
  </sheetData>
  <sheetProtection sheet="true" password="ed9b"/>
  <mergeCells count="25">
    <mergeCell ref="A1:M1"/>
    <mergeCell ref="A2:M2"/>
    <mergeCell ref="B4:C4"/>
    <mergeCell ref="E4:F4"/>
    <mergeCell ref="H4:I4"/>
    <mergeCell ref="K4:L4"/>
    <mergeCell ref="B5:C5"/>
    <mergeCell ref="E5:F5"/>
    <mergeCell ref="H5:I5"/>
    <mergeCell ref="K5:L5"/>
    <mergeCell ref="H8:I8"/>
    <mergeCell ref="B9:C9"/>
    <mergeCell ref="H9:I9"/>
    <mergeCell ref="E10:F10"/>
    <mergeCell ref="K10:L10"/>
    <mergeCell ref="H11:I11"/>
    <mergeCell ref="B12:C12"/>
    <mergeCell ref="H12:I12"/>
    <mergeCell ref="E14:F14"/>
    <mergeCell ref="H14:I14"/>
    <mergeCell ref="K14:L14"/>
    <mergeCell ref="B18:C18"/>
    <mergeCell ref="B24:L24"/>
    <mergeCell ref="B25:C25"/>
    <mergeCell ref="E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8" min="7" style="1" width="17"/>
    <col collapsed="false" customWidth="true" hidden="false" outlineLevel="0" max="12" min="9" style="1" width="14"/>
    <col collapsed="false" customWidth="true" hidden="false" outlineLevel="0" max="13" min="13" style="1" width="12"/>
    <col collapsed="false" customWidth="true" hidden="false" outlineLevel="0" max="14" min="14" style="1" width="3"/>
    <col collapsed="false" customWidth="true" hidden="false" outlineLevel="0" max="15" min="15" style="1" width="16"/>
    <col collapsed="false" customWidth="true" hidden="false" outlineLevel="0" max="19" min="16" style="1" width="17"/>
    <col collapsed="false" customWidth="true" hidden="false" outlineLevel="0" max="20" min="20" style="1" width="14"/>
    <col collapsed="false" customWidth="true" hidden="false" outlineLevel="0" max="21" min="21" style="1" width="13"/>
  </cols>
  <sheetData>
    <row r="1" customFormat="false" ht="37.5" hidden="false" customHeight="true" outlineLevel="0" collapsed="false">
      <c r="A1" s="41" t="s">
        <v>68</v>
      </c>
      <c r="B1" s="41" t="s">
        <v>69</v>
      </c>
      <c r="C1" s="41" t="s">
        <v>70</v>
      </c>
      <c r="D1" s="41" t="s">
        <v>71</v>
      </c>
      <c r="E1" s="41" t="s">
        <v>72</v>
      </c>
      <c r="F1" s="41" t="s">
        <v>73</v>
      </c>
      <c r="G1" s="41" t="s">
        <v>74</v>
      </c>
      <c r="H1" s="41" t="s">
        <v>75</v>
      </c>
      <c r="I1" s="41" t="s">
        <v>76</v>
      </c>
      <c r="J1" s="41" t="s">
        <v>77</v>
      </c>
      <c r="K1" s="41" t="s">
        <v>78</v>
      </c>
      <c r="L1" s="41" t="s">
        <v>79</v>
      </c>
      <c r="M1" s="41" t="s">
        <v>80</v>
      </c>
      <c r="N1" s="42"/>
      <c r="O1" s="43" t="s">
        <v>81</v>
      </c>
      <c r="P1" s="43" t="s">
        <v>82</v>
      </c>
      <c r="Q1" s="43" t="s">
        <v>83</v>
      </c>
      <c r="R1" s="43" t="s">
        <v>84</v>
      </c>
      <c r="S1" s="43" t="s">
        <v>85</v>
      </c>
      <c r="T1" s="43" t="s">
        <v>86</v>
      </c>
      <c r="U1" s="43" t="s">
        <v>87</v>
      </c>
    </row>
    <row r="2" customFormat="false" ht="15.75" hidden="false" customHeight="true" outlineLevel="0" collapsed="false">
      <c r="A2" s="44" t="s">
        <v>88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customFormat="false" ht="15" hidden="false" customHeight="true" outlineLevel="0" collapsed="false">
      <c r="A3" s="45" t="n">
        <v>0</v>
      </c>
      <c r="B3" s="46" t="n">
        <f aca="false">Dashboard!$C6</f>
        <v>500000</v>
      </c>
      <c r="C3" s="46" t="n">
        <f aca="false">Dashboard!$C6-Dashboard!$C8</f>
        <v>400000</v>
      </c>
      <c r="D3" s="46" t="n">
        <v>0</v>
      </c>
      <c r="E3" s="46" t="n">
        <v>0</v>
      </c>
      <c r="F3" s="46" t="n">
        <v>0</v>
      </c>
      <c r="G3" s="46" t="n">
        <f aca="false">Dashboard!$C8+Dashboard!$C6*Dashboard!$C19</f>
        <v>115000</v>
      </c>
      <c r="H3" s="47" t="n">
        <f aca="false">B3*(1-Dashboard!$C20)-C3</f>
        <v>70000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2"/>
      <c r="O3" s="46" t="n">
        <v>0</v>
      </c>
      <c r="P3" s="46" t="n">
        <v>0</v>
      </c>
      <c r="Q3" s="46" t="n">
        <f aca="false">Dashboard!$C8+Dashboard!$C6*Dashboard!$C19+Dashboard!$F6*Dashboard!$F9</f>
        <v>120000</v>
      </c>
      <c r="R3" s="46" t="n">
        <f aca="false">Dashboard!$F6*Dashboard!$F9</f>
        <v>5000</v>
      </c>
      <c r="S3" s="48" t="n">
        <f aca="false">Q3</f>
        <v>120000</v>
      </c>
      <c r="T3" s="46" t="n">
        <v>0</v>
      </c>
      <c r="U3" s="46" t="n">
        <v>0</v>
      </c>
    </row>
    <row r="4" customFormat="false" ht="15" hidden="false" customHeight="true" outlineLevel="0" collapsed="false">
      <c r="A4" s="49" t="n">
        <v>1</v>
      </c>
      <c r="B4" s="50" t="n">
        <f aca="false">B3*(1+Dashboard!$C21)</f>
        <v>517500</v>
      </c>
      <c r="C4" s="50" t="n">
        <f aca="false">MAX((Dashboard!$C6-Dashboard!$C8)*(1+Dashboard!$C10/12)^(1*12)-Dashboard!$C26*((1+Dashboard!$C10/12)^(1*12)-1)/(Dashboard!$C10/12),0)</f>
        <v>428916.032342494</v>
      </c>
      <c r="D4" s="50" t="n">
        <f aca="false">I4+J4+K4+L4+M4</f>
        <v>13185</v>
      </c>
      <c r="E4" s="50" t="n">
        <f aca="false">E3+(D4-(C3-C4))</f>
        <v>42101.0323424944</v>
      </c>
      <c r="F4" s="50" t="n">
        <f aca="false">(Dashboard!$C6-Dashboard!$C8)-C4</f>
        <v>-28916.0323424944</v>
      </c>
      <c r="G4" s="50" t="n">
        <f aca="false">G3+D4</f>
        <v>128185</v>
      </c>
      <c r="H4" s="47" t="n">
        <f aca="false">B4*(1-Dashboard!$C20)-C4</f>
        <v>57533.9676575056</v>
      </c>
      <c r="I4" s="50" t="n">
        <f aca="false">IF(C3&gt;0,Dashboard!$C26*12,0)</f>
        <v>0</v>
      </c>
      <c r="J4" s="50" t="n">
        <f aca="false">B4*Dashboard!$C13</f>
        <v>6210</v>
      </c>
      <c r="K4" s="50" t="n">
        <f aca="false">Dashboard!$C14*12</f>
        <v>1800</v>
      </c>
      <c r="L4" s="50" t="n">
        <f aca="false">B4*Dashboard!$C16</f>
        <v>5175</v>
      </c>
      <c r="M4" s="50" t="n">
        <f aca="false">IF(Dashboard!$C7&lt;0.2,C4*Dashboard!$C17,0)</f>
        <v>0</v>
      </c>
      <c r="N4" s="42"/>
      <c r="O4" s="50" t="n">
        <f aca="false">O3+T4</f>
        <v>30000</v>
      </c>
      <c r="P4" s="50" t="n">
        <f aca="false">T4+U4</f>
        <v>30240</v>
      </c>
      <c r="Q4" s="50" t="n">
        <f aca="false">Q3*(1+Dashboard!$F11)+Dashboard!$F28*12</f>
        <v>129600</v>
      </c>
      <c r="R4" s="50" t="n">
        <f aca="false">Dashboard!$F6*Dashboard!$F9+O4+U4*1</f>
        <v>35240</v>
      </c>
      <c r="S4" s="48" t="n">
        <f aca="false">Q4-MAX(Q4-(Dashboard!$C8+Dashboard!$C6*Dashboard!$C19+Dashboard!$F6*Dashboard!$F9),0)*Dashboard!$F12</f>
        <v>128160</v>
      </c>
      <c r="T4" s="50" t="n">
        <f aca="false">Dashboard!$F6*(1+Dashboard!$F7)^(1-1)*12</f>
        <v>30000</v>
      </c>
      <c r="U4" s="50" t="n">
        <f aca="false">Dashboard!$F8*12</f>
        <v>240</v>
      </c>
    </row>
    <row r="5" customFormat="false" ht="15" hidden="false" customHeight="true" outlineLevel="0" collapsed="false">
      <c r="A5" s="51" t="n">
        <v>2</v>
      </c>
      <c r="B5" s="52" t="n">
        <f aca="false">B4*(1+Dashboard!$C21)</f>
        <v>535612.5</v>
      </c>
      <c r="C5" s="52" t="n">
        <f aca="false">MAX((Dashboard!$C6-Dashboard!$C8)*(1+Dashboard!$C10/12)^(2*12)-Dashboard!$C26*((1+Dashboard!$C10/12)^(2*12)-1)/(Dashboard!$C10/12),0)</f>
        <v>459922.407001069</v>
      </c>
      <c r="D5" s="52" t="n">
        <f aca="false">I5+J5+K5+L5+M5</f>
        <v>13583.475</v>
      </c>
      <c r="E5" s="52" t="n">
        <f aca="false">E4+(D5-(C4-C5))</f>
        <v>86690.8820010692</v>
      </c>
      <c r="F5" s="52" t="n">
        <f aca="false">(Dashboard!$C6-Dashboard!$C8)-C5</f>
        <v>-59922.4070010692</v>
      </c>
      <c r="G5" s="52" t="n">
        <f aca="false">G4+D5</f>
        <v>141768.475</v>
      </c>
      <c r="H5" s="47" t="n">
        <f aca="false">B5*(1-Dashboard!$C20)-C5</f>
        <v>43553.3429989307</v>
      </c>
      <c r="I5" s="52" t="n">
        <f aca="false">IF(C4&gt;0,Dashboard!$C26*12,0)</f>
        <v>0</v>
      </c>
      <c r="J5" s="52" t="n">
        <f aca="false">B5*Dashboard!$C13</f>
        <v>6427.35</v>
      </c>
      <c r="K5" s="52" t="n">
        <f aca="false">Dashboard!$C14*12</f>
        <v>1800</v>
      </c>
      <c r="L5" s="52" t="n">
        <f aca="false">B5*Dashboard!$C16</f>
        <v>5356.125</v>
      </c>
      <c r="M5" s="52" t="n">
        <f aca="false">IF(Dashboard!$C7&lt;0.2,C5*Dashboard!$C17,0)</f>
        <v>0</v>
      </c>
      <c r="N5" s="42"/>
      <c r="O5" s="52" t="n">
        <f aca="false">O4+T5</f>
        <v>60900</v>
      </c>
      <c r="P5" s="52" t="n">
        <f aca="false">T5+U5</f>
        <v>31140</v>
      </c>
      <c r="Q5" s="52" t="n">
        <f aca="false">Q4*(1+Dashboard!$F11)+Dashboard!$F28*12</f>
        <v>139968</v>
      </c>
      <c r="R5" s="52" t="n">
        <f aca="false">Dashboard!$F6*Dashboard!$F9+O5+U5*2</f>
        <v>66380</v>
      </c>
      <c r="S5" s="48" t="n">
        <f aca="false">Q5-MAX(Q5-(Dashboard!$C8+Dashboard!$C6*Dashboard!$C19+Dashboard!$F6*Dashboard!$F9),0)*Dashboard!$F12</f>
        <v>136972.8</v>
      </c>
      <c r="T5" s="52" t="n">
        <f aca="false">Dashboard!$F6*(1+Dashboard!$F7)^(2-1)*12</f>
        <v>30900</v>
      </c>
      <c r="U5" s="52" t="n">
        <f aca="false">Dashboard!$F8*12</f>
        <v>240</v>
      </c>
    </row>
    <row r="6" customFormat="false" ht="15" hidden="false" customHeight="true" outlineLevel="0" collapsed="false">
      <c r="A6" s="49" t="n">
        <v>3</v>
      </c>
      <c r="B6" s="50" t="n">
        <f aca="false">B5*(1+Dashboard!$C21)</f>
        <v>554358.9375</v>
      </c>
      <c r="C6" s="50" t="n">
        <f aca="false">MAX((Dashboard!$C6-Dashboard!$C8)*(1+Dashboard!$C10/12)^(3*12)-Dashboard!$C26*((1+Dashboard!$C10/12)^(3*12)-1)/(Dashboard!$C10/12),0)</f>
        <v>493170.234990771</v>
      </c>
      <c r="D6" s="50" t="n">
        <f aca="false">I6+J6+K6+L6+M6</f>
        <v>13995.896625</v>
      </c>
      <c r="E6" s="50" t="n">
        <f aca="false">E5+(D6-(C5-C6))</f>
        <v>133934.606615771</v>
      </c>
      <c r="F6" s="50" t="n">
        <f aca="false">(Dashboard!$C6-Dashboard!$C8)-C6</f>
        <v>-93170.2349907712</v>
      </c>
      <c r="G6" s="50" t="n">
        <f aca="false">G5+D6</f>
        <v>155764.371625</v>
      </c>
      <c r="H6" s="47" t="n">
        <f aca="false">B6*(1-Dashboard!$C20)-C6</f>
        <v>27927.1662592287</v>
      </c>
      <c r="I6" s="50" t="n">
        <f aca="false">IF(C5&gt;0,Dashboard!$C26*12,0)</f>
        <v>0</v>
      </c>
      <c r="J6" s="50" t="n">
        <f aca="false">B6*Dashboard!$C13</f>
        <v>6652.30725</v>
      </c>
      <c r="K6" s="50" t="n">
        <f aca="false">Dashboard!$C14*12</f>
        <v>1800</v>
      </c>
      <c r="L6" s="50" t="n">
        <f aca="false">B6*Dashboard!$C16</f>
        <v>5543.589375</v>
      </c>
      <c r="M6" s="50" t="n">
        <f aca="false">IF(Dashboard!$C7&lt;0.2,C6*Dashboard!$C17,0)</f>
        <v>0</v>
      </c>
      <c r="N6" s="42"/>
      <c r="O6" s="50" t="n">
        <f aca="false">O5+T6</f>
        <v>92727</v>
      </c>
      <c r="P6" s="50" t="n">
        <f aca="false">T6+U6</f>
        <v>32067</v>
      </c>
      <c r="Q6" s="50" t="n">
        <f aca="false">Q5*(1+Dashboard!$F11)+Dashboard!$F28*12</f>
        <v>151165.44</v>
      </c>
      <c r="R6" s="50" t="n">
        <f aca="false">Dashboard!$F6*Dashboard!$F9+O6+U6*3</f>
        <v>98447</v>
      </c>
      <c r="S6" s="48" t="n">
        <f aca="false">Q6-MAX(Q6-(Dashboard!$C8+Dashboard!$C6*Dashboard!$C19+Dashboard!$F6*Dashboard!$F9),0)*Dashboard!$F12</f>
        <v>146490.624</v>
      </c>
      <c r="T6" s="50" t="n">
        <f aca="false">Dashboard!$F6*(1+Dashboard!$F7)^(3-1)*12</f>
        <v>31827</v>
      </c>
      <c r="U6" s="50" t="n">
        <f aca="false">Dashboard!$F8*12</f>
        <v>240</v>
      </c>
    </row>
    <row r="7" customFormat="false" ht="15" hidden="false" customHeight="true" outlineLevel="0" collapsed="false">
      <c r="A7" s="51" t="n">
        <v>4</v>
      </c>
      <c r="B7" s="52" t="n">
        <f aca="false">B6*(1+Dashboard!$C21)</f>
        <v>573761.5003125</v>
      </c>
      <c r="C7" s="52" t="n">
        <f aca="false">MAX((Dashboard!$C6-Dashboard!$C8)*(1+Dashboard!$C10/12)^(4*12)-Dashboard!$C26*((1+Dashboard!$C10/12)^(4*12)-1)/(Dashboard!$C10/12),0)</f>
        <v>528821.551154143</v>
      </c>
      <c r="D7" s="52" t="n">
        <f aca="false">I7+J7+K7+L7+M7</f>
        <v>14422.753006875</v>
      </c>
      <c r="E7" s="52" t="n">
        <f aca="false">E6+(D7-(C6-C7))</f>
        <v>184008.675786018</v>
      </c>
      <c r="F7" s="52" t="n">
        <f aca="false">(Dashboard!$C6-Dashboard!$C8)-C7</f>
        <v>-128821.551154143</v>
      </c>
      <c r="G7" s="52" t="n">
        <f aca="false">G6+D7</f>
        <v>170187.124631875</v>
      </c>
      <c r="H7" s="47" t="n">
        <f aca="false">B7*(1-Dashboard!$C20)-C7</f>
        <v>10514.2591396068</v>
      </c>
      <c r="I7" s="52" t="n">
        <f aca="false">IF(C6&gt;0,Dashboard!$C26*12,0)</f>
        <v>0</v>
      </c>
      <c r="J7" s="52" t="n">
        <f aca="false">B7*Dashboard!$C13</f>
        <v>6885.13800375</v>
      </c>
      <c r="K7" s="52" t="n">
        <f aca="false">Dashboard!$C14*12</f>
        <v>1800</v>
      </c>
      <c r="L7" s="52" t="n">
        <f aca="false">B7*Dashboard!$C16</f>
        <v>5737.615003125</v>
      </c>
      <c r="M7" s="52" t="n">
        <f aca="false">IF(Dashboard!$C7&lt;0.2,C7*Dashboard!$C17,0)</f>
        <v>0</v>
      </c>
      <c r="N7" s="42"/>
      <c r="O7" s="52" t="n">
        <f aca="false">O6+T7</f>
        <v>125508.81</v>
      </c>
      <c r="P7" s="52" t="n">
        <f aca="false">T7+U7</f>
        <v>33021.81</v>
      </c>
      <c r="Q7" s="52" t="n">
        <f aca="false">Q6*(1+Dashboard!$F11)+Dashboard!$F28*12</f>
        <v>163258.6752</v>
      </c>
      <c r="R7" s="52" t="n">
        <f aca="false">Dashboard!$F6*Dashboard!$F9+O7+U7*4</f>
        <v>131468.81</v>
      </c>
      <c r="S7" s="48" t="n">
        <f aca="false">Q7-MAX(Q7-(Dashboard!$C8+Dashboard!$C6*Dashboard!$C19+Dashboard!$F6*Dashboard!$F9),0)*Dashboard!$F12</f>
        <v>156769.87392</v>
      </c>
      <c r="T7" s="52" t="n">
        <f aca="false">Dashboard!$F6*(1+Dashboard!$F7)^(4-1)*12</f>
        <v>32781.81</v>
      </c>
      <c r="U7" s="52" t="n">
        <f aca="false">Dashboard!$F8*12</f>
        <v>240</v>
      </c>
    </row>
    <row r="8" customFormat="false" ht="15" hidden="false" customHeight="true" outlineLevel="0" collapsed="false">
      <c r="A8" s="49" t="n">
        <v>5</v>
      </c>
      <c r="B8" s="50" t="n">
        <f aca="false">B7*(1+Dashboard!$C21)</f>
        <v>593843.152823437</v>
      </c>
      <c r="C8" s="50" t="n">
        <f aca="false">MAX((Dashboard!$C6-Dashboard!$C8)*(1+Dashboard!$C10/12)^(5*12)-Dashboard!$C26*((1+Dashboard!$C10/12)^(5*12)-1)/(Dashboard!$C10/12),0)</f>
        <v>567050.103845596</v>
      </c>
      <c r="D8" s="50" t="n">
        <f aca="false">I8+J8+K8+L8+M8</f>
        <v>14864.5493621156</v>
      </c>
      <c r="E8" s="50" t="n">
        <f aca="false">E7+(D8-(C7-C8))</f>
        <v>237101.777839587</v>
      </c>
      <c r="F8" s="50" t="n">
        <f aca="false">(Dashboard!$C6-Dashboard!$C8)-C8</f>
        <v>-167050.103845596</v>
      </c>
      <c r="G8" s="50" t="n">
        <f aca="false">G7+D8</f>
        <v>185051.673993991</v>
      </c>
      <c r="H8" s="47" t="n">
        <f aca="false">B8*(1-Dashboard!$C20)-C8</f>
        <v>-8837.54019156506</v>
      </c>
      <c r="I8" s="50" t="n">
        <f aca="false">IF(C7&gt;0,Dashboard!$C26*12,0)</f>
        <v>0</v>
      </c>
      <c r="J8" s="50" t="n">
        <f aca="false">B8*Dashboard!$C13</f>
        <v>7126.11783388125</v>
      </c>
      <c r="K8" s="50" t="n">
        <f aca="false">Dashboard!$C14*12</f>
        <v>1800</v>
      </c>
      <c r="L8" s="50" t="n">
        <f aca="false">B8*Dashboard!$C16</f>
        <v>5938.43152823437</v>
      </c>
      <c r="M8" s="50" t="n">
        <f aca="false">IF(Dashboard!$C7&lt;0.2,C8*Dashboard!$C17,0)</f>
        <v>0</v>
      </c>
      <c r="N8" s="42"/>
      <c r="O8" s="50" t="n">
        <f aca="false">O7+T8</f>
        <v>159274.0743</v>
      </c>
      <c r="P8" s="50" t="n">
        <f aca="false">T8+U8</f>
        <v>34005.2643</v>
      </c>
      <c r="Q8" s="50" t="n">
        <f aca="false">Q7*(1+Dashboard!$F11)+Dashboard!$F28*12</f>
        <v>176319.369216</v>
      </c>
      <c r="R8" s="50" t="n">
        <f aca="false">Dashboard!$F6*Dashboard!$F9+O8+U8*5</f>
        <v>165474.0743</v>
      </c>
      <c r="S8" s="48" t="n">
        <f aca="false">Q8-MAX(Q8-(Dashboard!$C8+Dashboard!$C6*Dashboard!$C19+Dashboard!$F6*Dashboard!$F9),0)*Dashboard!$F12</f>
        <v>167871.4638336</v>
      </c>
      <c r="T8" s="50" t="n">
        <f aca="false">Dashboard!$F6*(1+Dashboard!$F7)^(5-1)*12</f>
        <v>33765.2643</v>
      </c>
      <c r="U8" s="50" t="n">
        <f aca="false">Dashboard!$F8*12</f>
        <v>240</v>
      </c>
    </row>
    <row r="9" customFormat="false" ht="15" hidden="false" customHeight="true" outlineLevel="0" collapsed="false">
      <c r="A9" s="51" t="n">
        <v>6</v>
      </c>
      <c r="B9" s="52" t="n">
        <f aca="false">B8*(1+Dashboard!$C21)</f>
        <v>614627.663172258</v>
      </c>
      <c r="C9" s="52" t="n">
        <f aca="false">MAX((Dashboard!$C6-Dashboard!$C8)*(1+Dashboard!$C10/12)^(6*12)-Dashboard!$C26*((1+Dashboard!$C10/12)^(6*12)-1)/(Dashboard!$C10/12),0)</f>
        <v>608042.201702131</v>
      </c>
      <c r="D9" s="52" t="n">
        <f aca="false">I9+J9+K9+L9+M9</f>
        <v>15321.8085897897</v>
      </c>
      <c r="E9" s="52" t="n">
        <f aca="false">E8+(D9-(C8-C9))</f>
        <v>293415.684285912</v>
      </c>
      <c r="F9" s="52" t="n">
        <f aca="false">(Dashboard!$C6-Dashboard!$C8)-C9</f>
        <v>-208042.201702131</v>
      </c>
      <c r="G9" s="52" t="n">
        <f aca="false">G8+D9</f>
        <v>200373.48258378</v>
      </c>
      <c r="H9" s="47" t="n">
        <f aca="false">B9*(1-Dashboard!$C20)-C9</f>
        <v>-30292.1983202092</v>
      </c>
      <c r="I9" s="52" t="n">
        <f aca="false">IF(C8&gt;0,Dashboard!$C26*12,0)</f>
        <v>0</v>
      </c>
      <c r="J9" s="52" t="n">
        <f aca="false">B9*Dashboard!$C13</f>
        <v>7375.53195806709</v>
      </c>
      <c r="K9" s="52" t="n">
        <f aca="false">Dashboard!$C14*12</f>
        <v>1800</v>
      </c>
      <c r="L9" s="52" t="n">
        <f aca="false">B9*Dashboard!$C16</f>
        <v>6146.27663172258</v>
      </c>
      <c r="M9" s="52" t="n">
        <f aca="false">IF(Dashboard!$C7&lt;0.2,C9*Dashboard!$C17,0)</f>
        <v>0</v>
      </c>
      <c r="N9" s="42"/>
      <c r="O9" s="52" t="n">
        <f aca="false">O8+T9</f>
        <v>194052.296529</v>
      </c>
      <c r="P9" s="52" t="n">
        <f aca="false">T9+U9</f>
        <v>35018.222229</v>
      </c>
      <c r="Q9" s="52" t="n">
        <f aca="false">Q8*(1+Dashboard!$F11)+Dashboard!$F28*12</f>
        <v>190424.91875328</v>
      </c>
      <c r="R9" s="52" t="n">
        <f aca="false">Dashboard!$F6*Dashboard!$F9+O9+U9*6</f>
        <v>200492.296529</v>
      </c>
      <c r="S9" s="48" t="n">
        <f aca="false">Q9-MAX(Q9-(Dashboard!$C8+Dashboard!$C6*Dashboard!$C19+Dashboard!$F6*Dashboard!$F9),0)*Dashboard!$F12</f>
        <v>179861.180940288</v>
      </c>
      <c r="T9" s="52" t="n">
        <f aca="false">Dashboard!$F6*(1+Dashboard!$F7)^(6-1)*12</f>
        <v>34778.222229</v>
      </c>
      <c r="U9" s="52" t="n">
        <f aca="false">Dashboard!$F8*12</f>
        <v>240</v>
      </c>
    </row>
    <row r="10" customFormat="false" ht="15" hidden="false" customHeight="true" outlineLevel="0" collapsed="false">
      <c r="A10" s="49" t="n">
        <v>7</v>
      </c>
      <c r="B10" s="50" t="n">
        <f aca="false">B9*(1+Dashboard!$C21)</f>
        <v>636139.631383286</v>
      </c>
      <c r="C10" s="50" t="n">
        <f aca="false">MAX((Dashboard!$C6-Dashboard!$C8)*(1+Dashboard!$C10/12)^(7*12)-Dashboard!$C26*((1+Dashboard!$C10/12)^(7*12)-1)/(Dashboard!$C10/12),0)</f>
        <v>651997.621627182</v>
      </c>
      <c r="D10" s="50" t="n">
        <f aca="false">I10+J10+K10+L10+M10</f>
        <v>15795.0718904323</v>
      </c>
      <c r="E10" s="50" t="n">
        <f aca="false">E9+(D10-(C9-C10))</f>
        <v>353166.176101395</v>
      </c>
      <c r="F10" s="50" t="n">
        <f aca="false">(Dashboard!$C6-Dashboard!$C8)-C10</f>
        <v>-251997.621627182</v>
      </c>
      <c r="G10" s="50" t="n">
        <f aca="false">G9+D10</f>
        <v>216168.554474213</v>
      </c>
      <c r="H10" s="47" t="n">
        <f aca="false">B10*(1-Dashboard!$C20)-C10</f>
        <v>-54026.3681268928</v>
      </c>
      <c r="I10" s="50" t="n">
        <f aca="false">IF(C9&gt;0,Dashboard!$C26*12,0)</f>
        <v>0</v>
      </c>
      <c r="J10" s="50" t="n">
        <f aca="false">B10*Dashboard!$C13</f>
        <v>7633.67557659944</v>
      </c>
      <c r="K10" s="50" t="n">
        <f aca="false">Dashboard!$C14*12</f>
        <v>1800</v>
      </c>
      <c r="L10" s="50" t="n">
        <f aca="false">B10*Dashboard!$C16</f>
        <v>6361.39631383286</v>
      </c>
      <c r="M10" s="50" t="n">
        <f aca="false">IF(Dashboard!$C7&lt;0.2,C10*Dashboard!$C17,0)</f>
        <v>0</v>
      </c>
      <c r="N10" s="42"/>
      <c r="O10" s="50" t="n">
        <f aca="false">O9+T10</f>
        <v>229873.86542487</v>
      </c>
      <c r="P10" s="50" t="n">
        <f aca="false">T10+U10</f>
        <v>36061.56889587</v>
      </c>
      <c r="Q10" s="50" t="n">
        <f aca="false">Q9*(1+Dashboard!$F11)+Dashboard!$F28*12</f>
        <v>205658.912253543</v>
      </c>
      <c r="R10" s="50" t="n">
        <f aca="false">Dashboard!$F6*Dashboard!$F9+O10+U10*7</f>
        <v>236553.86542487</v>
      </c>
      <c r="S10" s="48" t="n">
        <f aca="false">Q10-MAX(Q10-(Dashboard!$C8+Dashboard!$C6*Dashboard!$C19+Dashboard!$F6*Dashboard!$F9),0)*Dashboard!$F12</f>
        <v>192810.075415511</v>
      </c>
      <c r="T10" s="50" t="n">
        <f aca="false">Dashboard!$F6*(1+Dashboard!$F7)^(7-1)*12</f>
        <v>35821.56889587</v>
      </c>
      <c r="U10" s="50" t="n">
        <f aca="false">Dashboard!$F8*12</f>
        <v>240</v>
      </c>
    </row>
    <row r="11" customFormat="false" ht="15" hidden="false" customHeight="true" outlineLevel="0" collapsed="false">
      <c r="A11" s="51" t="n">
        <v>8</v>
      </c>
      <c r="B11" s="52" t="n">
        <f aca="false">B10*(1+Dashboard!$C21)</f>
        <v>658404.518481701</v>
      </c>
      <c r="C11" s="52" t="n">
        <f aca="false">MAX((Dashboard!$C6-Dashboard!$C8)*(1+Dashboard!$C10/12)^(8*12)-Dashboard!$C26*((1+Dashboard!$C10/12)^(8*12)-1)/(Dashboard!$C10/12),0)</f>
        <v>699130.582412685</v>
      </c>
      <c r="D11" s="52" t="n">
        <f aca="false">I11+J11+K11+L11+M11</f>
        <v>16284.8994065974</v>
      </c>
      <c r="E11" s="52" t="n">
        <f aca="false">E10+(D11-(C10-C11))</f>
        <v>416584.036293495</v>
      </c>
      <c r="F11" s="52" t="n">
        <f aca="false">(Dashboard!$C6-Dashboard!$C8)-C11</f>
        <v>-299130.582412685</v>
      </c>
      <c r="G11" s="52" t="n">
        <f aca="false">G10+D11</f>
        <v>232453.45388081</v>
      </c>
      <c r="H11" s="47" t="n">
        <f aca="false">B11*(1-Dashboard!$C20)-C11</f>
        <v>-80230.3350398854</v>
      </c>
      <c r="I11" s="52" t="n">
        <f aca="false">IF(C10&gt;0,Dashboard!$C26*12,0)</f>
        <v>0</v>
      </c>
      <c r="J11" s="52" t="n">
        <f aca="false">B11*Dashboard!$C13</f>
        <v>7900.85422178042</v>
      </c>
      <c r="K11" s="52" t="n">
        <f aca="false">Dashboard!$C14*12</f>
        <v>1800</v>
      </c>
      <c r="L11" s="52" t="n">
        <f aca="false">B11*Dashboard!$C16</f>
        <v>6584.04518481701</v>
      </c>
      <c r="M11" s="52" t="n">
        <f aca="false">IF(Dashboard!$C7&lt;0.2,C11*Dashboard!$C17,0)</f>
        <v>0</v>
      </c>
      <c r="N11" s="42"/>
      <c r="O11" s="52" t="n">
        <f aca="false">O10+T11</f>
        <v>266770.081387616</v>
      </c>
      <c r="P11" s="52" t="n">
        <f aca="false">T11+U11</f>
        <v>37136.2159627461</v>
      </c>
      <c r="Q11" s="52" t="n">
        <f aca="false">Q10*(1+Dashboard!$F11)+Dashboard!$F28*12</f>
        <v>222111.625233826</v>
      </c>
      <c r="R11" s="52" t="n">
        <f aca="false">Dashboard!$F6*Dashboard!$F9+O11+U11*8</f>
        <v>273690.081387616</v>
      </c>
      <c r="S11" s="48" t="n">
        <f aca="false">Q11-MAX(Q11-(Dashboard!$C8+Dashboard!$C6*Dashboard!$C19+Dashboard!$F6*Dashboard!$F9),0)*Dashboard!$F12</f>
        <v>206794.881448752</v>
      </c>
      <c r="T11" s="52" t="n">
        <f aca="false">Dashboard!$F6*(1+Dashboard!$F7)^(8-1)*12</f>
        <v>36896.2159627461</v>
      </c>
      <c r="U11" s="52" t="n">
        <f aca="false">Dashboard!$F8*12</f>
        <v>240</v>
      </c>
    </row>
    <row r="12" customFormat="false" ht="15" hidden="false" customHeight="true" outlineLevel="0" collapsed="false">
      <c r="A12" s="49" t="n">
        <v>9</v>
      </c>
      <c r="B12" s="50" t="n">
        <f aca="false">B11*(1+Dashboard!$C21)</f>
        <v>681448.676628561</v>
      </c>
      <c r="C12" s="50" t="n">
        <f aca="false">MAX((Dashboard!$C6-Dashboard!$C8)*(1+Dashboard!$C10/12)^(9*12)-Dashboard!$C26*((1+Dashboard!$C10/12)^(9*12)-1)/(Dashboard!$C10/12),0)</f>
        <v>749670.788744365</v>
      </c>
      <c r="D12" s="50" t="n">
        <f aca="false">I12+J12+K12+L12+M12</f>
        <v>16791.8708858283</v>
      </c>
      <c r="E12" s="50" t="n">
        <f aca="false">E11+(D12-(C11-C12))</f>
        <v>483916.113511003</v>
      </c>
      <c r="F12" s="50" t="n">
        <f aca="false">(Dashboard!$C6-Dashboard!$C8)-C12</f>
        <v>-349670.788744365</v>
      </c>
      <c r="G12" s="50" t="n">
        <f aca="false">G11+D12</f>
        <v>249245.324766638</v>
      </c>
      <c r="H12" s="47" t="n">
        <f aca="false">B12*(1-Dashboard!$C20)-C12</f>
        <v>-109109.032713518</v>
      </c>
      <c r="I12" s="50" t="n">
        <f aca="false">IF(C11&gt;0,Dashboard!$C26*12,0)</f>
        <v>0</v>
      </c>
      <c r="J12" s="50" t="n">
        <f aca="false">B12*Dashboard!$C13</f>
        <v>8177.38411954273</v>
      </c>
      <c r="K12" s="50" t="n">
        <f aca="false">Dashboard!$C14*12</f>
        <v>1800</v>
      </c>
      <c r="L12" s="50" t="n">
        <f aca="false">B12*Dashboard!$C16</f>
        <v>6814.48676628561</v>
      </c>
      <c r="M12" s="50" t="n">
        <f aca="false">IF(Dashboard!$C7&lt;0.2,C12*Dashboard!$C17,0)</f>
        <v>0</v>
      </c>
      <c r="N12" s="42"/>
      <c r="O12" s="50" t="n">
        <f aca="false">O11+T12</f>
        <v>304773.183829245</v>
      </c>
      <c r="P12" s="50" t="n">
        <f aca="false">T12+U12</f>
        <v>38243.1024416285</v>
      </c>
      <c r="Q12" s="50" t="n">
        <f aca="false">Q11*(1+Dashboard!$F11)+Dashboard!$F28*12</f>
        <v>239880.555252532</v>
      </c>
      <c r="R12" s="50" t="n">
        <f aca="false">Dashboard!$F6*Dashboard!$F9+O12+U12*9</f>
        <v>311933.183829245</v>
      </c>
      <c r="S12" s="48" t="n">
        <f aca="false">Q12-MAX(Q12-(Dashboard!$C8+Dashboard!$C6*Dashboard!$C19+Dashboard!$F6*Dashboard!$F9),0)*Dashboard!$F12</f>
        <v>221898.471964652</v>
      </c>
      <c r="T12" s="50" t="n">
        <f aca="false">Dashboard!$F6*(1+Dashboard!$F7)^(9-1)*12</f>
        <v>38003.1024416285</v>
      </c>
      <c r="U12" s="50" t="n">
        <f aca="false">Dashboard!$F8*12</f>
        <v>240</v>
      </c>
    </row>
    <row r="13" customFormat="false" ht="15" hidden="false" customHeight="true" outlineLevel="0" collapsed="false">
      <c r="A13" s="51" t="n">
        <v>10</v>
      </c>
      <c r="B13" s="52" t="n">
        <f aca="false">B12*(1+Dashboard!$C21)</f>
        <v>705299.380310561</v>
      </c>
      <c r="C13" s="52" t="n">
        <f aca="false">MAX((Dashboard!$C6-Dashboard!$C8)*(1+Dashboard!$C10/12)^(10*12)-Dashboard!$C26*((1+Dashboard!$C10/12)^(10*12)-1)/(Dashboard!$C10/12),0)</f>
        <v>803864.550678253</v>
      </c>
      <c r="D13" s="52" t="n">
        <f aca="false">I13+J13+K13+L13+M13</f>
        <v>17316.5863668323</v>
      </c>
      <c r="E13" s="52" t="n">
        <f aca="false">E12+(D13-(C12-C13))</f>
        <v>555426.461811724</v>
      </c>
      <c r="F13" s="52" t="n">
        <f aca="false">(Dashboard!$C6-Dashboard!$C8)-C13</f>
        <v>-403864.550678253</v>
      </c>
      <c r="G13" s="52" t="n">
        <f aca="false">G12+D13</f>
        <v>266561.911133471</v>
      </c>
      <c r="H13" s="47" t="n">
        <f aca="false">B13*(1-Dashboard!$C20)-C13</f>
        <v>-140883.133186326</v>
      </c>
      <c r="I13" s="52" t="n">
        <f aca="false">IF(C12&gt;0,Dashboard!$C26*12,0)</f>
        <v>0</v>
      </c>
      <c r="J13" s="52" t="n">
        <f aca="false">B13*Dashboard!$C13</f>
        <v>8463.59256372673</v>
      </c>
      <c r="K13" s="52" t="n">
        <f aca="false">Dashboard!$C14*12</f>
        <v>1800</v>
      </c>
      <c r="L13" s="52" t="n">
        <f aca="false">B13*Dashboard!$C16</f>
        <v>7052.9938031056</v>
      </c>
      <c r="M13" s="52" t="n">
        <f aca="false">IF(Dashboard!$C7&lt;0.2,C13*Dashboard!$C17,0)</f>
        <v>0</v>
      </c>
      <c r="N13" s="42"/>
      <c r="O13" s="52" t="n">
        <f aca="false">O12+T13</f>
        <v>343916.379344122</v>
      </c>
      <c r="P13" s="52" t="n">
        <f aca="false">T13+U13</f>
        <v>39383.1955148774</v>
      </c>
      <c r="Q13" s="52" t="n">
        <f aca="false">Q12*(1+Dashboard!$F11)+Dashboard!$F28*12</f>
        <v>259070.999672735</v>
      </c>
      <c r="R13" s="52" t="n">
        <f aca="false">Dashboard!$F6*Dashboard!$F9+O13+U13*10</f>
        <v>351316.379344122</v>
      </c>
      <c r="S13" s="48" t="n">
        <f aca="false">Q13-MAX(Q13-(Dashboard!$C8+Dashboard!$C6*Dashboard!$C19+Dashboard!$F6*Dashboard!$F9),0)*Dashboard!$F12</f>
        <v>238210.349721824</v>
      </c>
      <c r="T13" s="52" t="n">
        <f aca="false">Dashboard!$F6*(1+Dashboard!$F7)^(10-1)*12</f>
        <v>39143.1955148774</v>
      </c>
      <c r="U13" s="52" t="n">
        <f aca="false">Dashboard!$F8*12</f>
        <v>240</v>
      </c>
    </row>
    <row r="14" customFormat="false" ht="15" hidden="false" customHeight="true" outlineLevel="0" collapsed="false">
      <c r="A14" s="49" t="n">
        <v>11</v>
      </c>
      <c r="B14" s="50" t="n">
        <f aca="false">B13*(1+Dashboard!$C21)</f>
        <v>729984.85862143</v>
      </c>
      <c r="C14" s="50" t="n">
        <f aca="false">MAX((Dashboard!$C6-Dashboard!$C8)*(1+Dashboard!$C10/12)^(11*12)-Dashboard!$C26*((1+Dashboard!$C10/12)^(11*12)-1)/(Dashboard!$C10/12),0)</f>
        <v>861975.984044246</v>
      </c>
      <c r="D14" s="50" t="n">
        <f aca="false">I14+J14+K14+L14+M14</f>
        <v>17859.6668896715</v>
      </c>
      <c r="E14" s="50" t="n">
        <f aca="false">E13+(D14-(C13-C14))</f>
        <v>631397.562067388</v>
      </c>
      <c r="F14" s="50" t="n">
        <f aca="false">(Dashboard!$C6-Dashboard!$C8)-C14</f>
        <v>-461975.984044246</v>
      </c>
      <c r="G14" s="50" t="n">
        <f aca="false">G13+D14</f>
        <v>284421.578023142</v>
      </c>
      <c r="H14" s="47" t="n">
        <f aca="false">B14*(1-Dashboard!$C20)-C14</f>
        <v>-175790.216940102</v>
      </c>
      <c r="I14" s="50" t="n">
        <f aca="false">IF(C13&gt;0,Dashboard!$C26*12,0)</f>
        <v>0</v>
      </c>
      <c r="J14" s="50" t="n">
        <f aca="false">B14*Dashboard!$C13</f>
        <v>8759.81830345716</v>
      </c>
      <c r="K14" s="50" t="n">
        <f aca="false">Dashboard!$C14*12</f>
        <v>1800</v>
      </c>
      <c r="L14" s="50" t="n">
        <f aca="false">B14*Dashboard!$C16</f>
        <v>7299.8485862143</v>
      </c>
      <c r="M14" s="50" t="n">
        <f aca="false">IF(Dashboard!$C7&lt;0.2,C14*Dashboard!$C17,0)</f>
        <v>0</v>
      </c>
      <c r="N14" s="42"/>
      <c r="O14" s="50" t="n">
        <f aca="false">O13+T14</f>
        <v>384233.870724446</v>
      </c>
      <c r="P14" s="50" t="n">
        <f aca="false">T14+U14</f>
        <v>40557.4913803237</v>
      </c>
      <c r="Q14" s="50" t="n">
        <f aca="false">Q13*(1+Dashboard!$F11)+Dashboard!$F28*12</f>
        <v>279796.679646553</v>
      </c>
      <c r="R14" s="50" t="n">
        <f aca="false">Dashboard!$F6*Dashboard!$F9+O14+U14*11</f>
        <v>391873.870724446</v>
      </c>
      <c r="S14" s="48" t="n">
        <f aca="false">Q14-MAX(Q14-(Dashboard!$C8+Dashboard!$C6*Dashboard!$C19+Dashboard!$F6*Dashboard!$F9),0)*Dashboard!$F12</f>
        <v>255827.17769957</v>
      </c>
      <c r="T14" s="50" t="n">
        <f aca="false">Dashboard!$F6*(1+Dashboard!$F7)^(11-1)*12</f>
        <v>40317.4913803237</v>
      </c>
      <c r="U14" s="50" t="n">
        <f aca="false">Dashboard!$F8*12</f>
        <v>240</v>
      </c>
    </row>
    <row r="15" customFormat="false" ht="15" hidden="false" customHeight="true" outlineLevel="0" collapsed="false">
      <c r="A15" s="51" t="n">
        <v>12</v>
      </c>
      <c r="B15" s="52" t="n">
        <f aca="false">B14*(1+Dashboard!$C21)</f>
        <v>755534.32867318</v>
      </c>
      <c r="C15" s="52" t="n">
        <f aca="false">MAX((Dashboard!$C6-Dashboard!$C8)*(1+Dashboard!$C10/12)^(12*12)-Dashboard!$C26*((1+Dashboard!$C10/12)^(12*12)-1)/(Dashboard!$C10/12),0)</f>
        <v>924288.297626938</v>
      </c>
      <c r="D15" s="52" t="n">
        <f aca="false">I15+J15+K15+L15+M15</f>
        <v>18421.75523081</v>
      </c>
      <c r="E15" s="52" t="n">
        <f aca="false">E14+(D15-(C14-C15))</f>
        <v>712131.63088089</v>
      </c>
      <c r="F15" s="52" t="n">
        <f aca="false">(Dashboard!$C6-Dashboard!$C8)-C15</f>
        <v>-524288.297626938</v>
      </c>
      <c r="G15" s="52" t="n">
        <f aca="false">G14+D15</f>
        <v>302843.333253952</v>
      </c>
      <c r="H15" s="47" t="n">
        <f aca="false">B15*(1-Dashboard!$C20)-C15</f>
        <v>-214086.028674149</v>
      </c>
      <c r="I15" s="52" t="n">
        <f aca="false">IF(C14&gt;0,Dashboard!$C26*12,0)</f>
        <v>0</v>
      </c>
      <c r="J15" s="52" t="n">
        <f aca="false">B15*Dashboard!$C13</f>
        <v>9066.41194407816</v>
      </c>
      <c r="K15" s="52" t="n">
        <f aca="false">Dashboard!$C14*12</f>
        <v>1800</v>
      </c>
      <c r="L15" s="52" t="n">
        <f aca="false">B15*Dashboard!$C16</f>
        <v>7555.3432867318</v>
      </c>
      <c r="M15" s="52" t="n">
        <f aca="false">IF(Dashboard!$C7&lt;0.2,C15*Dashboard!$C17,0)</f>
        <v>0</v>
      </c>
      <c r="N15" s="42"/>
      <c r="O15" s="52" t="n">
        <f aca="false">O14+T15</f>
        <v>425760.886846179</v>
      </c>
      <c r="P15" s="52" t="n">
        <f aca="false">T15+U15</f>
        <v>41767.0161217334</v>
      </c>
      <c r="Q15" s="52" t="n">
        <f aca="false">Q14*(1+Dashboard!$F11)+Dashboard!$F28*12</f>
        <v>302180.414018278</v>
      </c>
      <c r="R15" s="52" t="n">
        <f aca="false">Dashboard!$F6*Dashboard!$F9+O15+U15*12</f>
        <v>433640.886846179</v>
      </c>
      <c r="S15" s="48" t="n">
        <f aca="false">Q15-MAX(Q15-(Dashboard!$C8+Dashboard!$C6*Dashboard!$C19+Dashboard!$F6*Dashboard!$F9),0)*Dashboard!$F12</f>
        <v>274853.351915536</v>
      </c>
      <c r="T15" s="52" t="n">
        <f aca="false">Dashboard!$F6*(1+Dashboard!$F7)^(12-1)*12</f>
        <v>41527.0161217334</v>
      </c>
      <c r="U15" s="52" t="n">
        <f aca="false">Dashboard!$F8*12</f>
        <v>240</v>
      </c>
    </row>
    <row r="16" customFormat="false" ht="15" hidden="false" customHeight="true" outlineLevel="0" collapsed="false">
      <c r="A16" s="49" t="n">
        <v>13</v>
      </c>
      <c r="B16" s="50" t="n">
        <f aca="false">B15*(1+Dashboard!$C21)</f>
        <v>781978.030176741</v>
      </c>
      <c r="C16" s="50" t="n">
        <f aca="false">MAX((Dashboard!$C6-Dashboard!$C8)*(1+Dashboard!$C10/12)^(13*12)-Dashboard!$C26*((1+Dashboard!$C10/12)^(13*12)-1)/(Dashboard!$C10/12),0)</f>
        <v>991105.173396862</v>
      </c>
      <c r="D16" s="50" t="n">
        <f aca="false">I16+J16+K16+L16+M16</f>
        <v>19003.5166638883</v>
      </c>
      <c r="E16" s="50" t="n">
        <f aca="false">E15+(D16-(C15-C16))</f>
        <v>797952.023314702</v>
      </c>
      <c r="F16" s="50" t="n">
        <f aca="false">(Dashboard!$C6-Dashboard!$C8)-C16</f>
        <v>-591105.173396862</v>
      </c>
      <c r="G16" s="50" t="n">
        <f aca="false">G15+D16</f>
        <v>321846.84991784</v>
      </c>
      <c r="H16" s="47" t="n">
        <f aca="false">B16*(1-Dashboard!$C20)-C16</f>
        <v>-256045.825030725</v>
      </c>
      <c r="I16" s="50" t="n">
        <f aca="false">IF(C15&gt;0,Dashboard!$C26*12,0)</f>
        <v>0</v>
      </c>
      <c r="J16" s="50" t="n">
        <f aca="false">B16*Dashboard!$C13</f>
        <v>9383.7363621209</v>
      </c>
      <c r="K16" s="50" t="n">
        <f aca="false">Dashboard!$C14*12</f>
        <v>1800</v>
      </c>
      <c r="L16" s="50" t="n">
        <f aca="false">B16*Dashboard!$C16</f>
        <v>7819.78030176741</v>
      </c>
      <c r="M16" s="50" t="n">
        <f aca="false">IF(Dashboard!$C7&lt;0.2,C16*Dashboard!$C17,0)</f>
        <v>0</v>
      </c>
      <c r="N16" s="42"/>
      <c r="O16" s="50" t="n">
        <f aca="false">O15+T16</f>
        <v>468533.713451564</v>
      </c>
      <c r="P16" s="50" t="n">
        <f aca="false">T16+U16</f>
        <v>43012.8266053854</v>
      </c>
      <c r="Q16" s="50" t="n">
        <f aca="false">Q15*(1+Dashboard!$F11)+Dashboard!$F28*12</f>
        <v>326354.84713974</v>
      </c>
      <c r="R16" s="50" t="n">
        <f aca="false">Dashboard!$F6*Dashboard!$F9+O16+U16*13</f>
        <v>476653.713451564</v>
      </c>
      <c r="S16" s="48" t="n">
        <f aca="false">Q16-MAX(Q16-(Dashboard!$C8+Dashboard!$C6*Dashboard!$C19+Dashboard!$F6*Dashboard!$F9),0)*Dashboard!$F12</f>
        <v>295401.620068779</v>
      </c>
      <c r="T16" s="50" t="n">
        <f aca="false">Dashboard!$F6*(1+Dashboard!$F7)^(13-1)*12</f>
        <v>42772.8266053854</v>
      </c>
      <c r="U16" s="50" t="n">
        <f aca="false">Dashboard!$F8*12</f>
        <v>240</v>
      </c>
    </row>
    <row r="17" customFormat="false" ht="15" hidden="false" customHeight="true" outlineLevel="0" collapsed="false">
      <c r="A17" s="51" t="n">
        <v>14</v>
      </c>
      <c r="B17" s="52" t="n">
        <f aca="false">B16*(1+Dashboard!$C21)</f>
        <v>809347.261232927</v>
      </c>
      <c r="C17" s="52" t="n">
        <f aca="false">MAX((Dashboard!$C6-Dashboard!$C8)*(1+Dashboard!$C10/12)^(14*12)-Dashboard!$C26*((1+Dashboard!$C10/12)^(14*12)-1)/(Dashboard!$C10/12),0)</f>
        <v>1062752.24651875</v>
      </c>
      <c r="D17" s="52" t="n">
        <f aca="false">I17+J17+K17+L17+M17</f>
        <v>19605.6397471244</v>
      </c>
      <c r="E17" s="52" t="n">
        <f aca="false">E16+(D17-(C16-C17))</f>
        <v>889204.73618372</v>
      </c>
      <c r="F17" s="52" t="n">
        <f aca="false">(Dashboard!$C6-Dashboard!$C8)-C17</f>
        <v>-662752.246518755</v>
      </c>
      <c r="G17" s="52" t="n">
        <f aca="false">G16+D17</f>
        <v>341452.489664965</v>
      </c>
      <c r="H17" s="47" t="n">
        <f aca="false">B17*(1-Dashboard!$C20)-C17</f>
        <v>-301965.820959803</v>
      </c>
      <c r="I17" s="52" t="n">
        <f aca="false">IF(C16&gt;0,Dashboard!$C26*12,0)</f>
        <v>0</v>
      </c>
      <c r="J17" s="52" t="n">
        <f aca="false">B17*Dashboard!$C13</f>
        <v>9712.16713479513</v>
      </c>
      <c r="K17" s="52" t="n">
        <f aca="false">Dashboard!$C14*12</f>
        <v>1800</v>
      </c>
      <c r="L17" s="52" t="n">
        <f aca="false">B17*Dashboard!$C16</f>
        <v>8093.47261232927</v>
      </c>
      <c r="M17" s="52" t="n">
        <f aca="false">IF(Dashboard!$C7&lt;0.2,C17*Dashboard!$C17,0)</f>
        <v>0</v>
      </c>
      <c r="N17" s="42"/>
      <c r="O17" s="52" t="n">
        <f aca="false">O16+T17</f>
        <v>512589.724855111</v>
      </c>
      <c r="P17" s="52" t="n">
        <f aca="false">T17+U17</f>
        <v>44296.0114035469</v>
      </c>
      <c r="Q17" s="52" t="n">
        <f aca="false">Q16*(1+Dashboard!$F11)+Dashboard!$F28*12</f>
        <v>352463.234910919</v>
      </c>
      <c r="R17" s="52" t="n">
        <f aca="false">Dashboard!$F6*Dashboard!$F9+O17+U17*14</f>
        <v>520949.724855111</v>
      </c>
      <c r="S17" s="48" t="n">
        <f aca="false">Q17-MAX(Q17-(Dashboard!$C8+Dashboard!$C6*Dashboard!$C19+Dashboard!$F6*Dashboard!$F9),0)*Dashboard!$F12</f>
        <v>317593.749674281</v>
      </c>
      <c r="T17" s="52" t="n">
        <f aca="false">Dashboard!$F6*(1+Dashboard!$F7)^(14-1)*12</f>
        <v>44056.0114035469</v>
      </c>
      <c r="U17" s="52" t="n">
        <f aca="false">Dashboard!$F8*12</f>
        <v>240</v>
      </c>
    </row>
    <row r="18" customFormat="false" ht="15" hidden="false" customHeight="true" outlineLevel="0" collapsed="false">
      <c r="A18" s="49" t="n">
        <v>15</v>
      </c>
      <c r="B18" s="50" t="n">
        <f aca="false">B17*(1+Dashboard!$C21)</f>
        <v>837674.41537608</v>
      </c>
      <c r="C18" s="50" t="n">
        <f aca="false">MAX((Dashboard!$C6-Dashboard!$C8)*(1+Dashboard!$C10/12)^(15*12)-Dashboard!$C26*((1+Dashboard!$C10/12)^(15*12)-1)/(Dashboard!$C10/12),0)</f>
        <v>1139578.69234974</v>
      </c>
      <c r="D18" s="50" t="n">
        <f aca="false">I18+J18+K18+L18+M18</f>
        <v>20228.8371382738</v>
      </c>
      <c r="E18" s="50" t="n">
        <f aca="false">E17+(D18-(C17-C18))</f>
        <v>986260.019152981</v>
      </c>
      <c r="F18" s="50" t="n">
        <f aca="false">(Dashboard!$C6-Dashboard!$C8)-C18</f>
        <v>-739578.692349742</v>
      </c>
      <c r="G18" s="50" t="n">
        <f aca="false">G17+D18</f>
        <v>361681.326803239</v>
      </c>
      <c r="H18" s="47" t="n">
        <f aca="false">B18*(1-Dashboard!$C20)-C18</f>
        <v>-352164.741896227</v>
      </c>
      <c r="I18" s="50" t="n">
        <f aca="false">IF(C17&gt;0,Dashboard!$C26*12,0)</f>
        <v>0</v>
      </c>
      <c r="J18" s="50" t="n">
        <f aca="false">B18*Dashboard!$C13</f>
        <v>10052.092984513</v>
      </c>
      <c r="K18" s="50" t="n">
        <f aca="false">Dashboard!$C14*12</f>
        <v>1800</v>
      </c>
      <c r="L18" s="50" t="n">
        <f aca="false">B18*Dashboard!$C16</f>
        <v>8376.7441537608</v>
      </c>
      <c r="M18" s="50" t="n">
        <f aca="false">IF(Dashboard!$C7&lt;0.2,C18*Dashboard!$C17,0)</f>
        <v>0</v>
      </c>
      <c r="N18" s="42"/>
      <c r="O18" s="50" t="n">
        <f aca="false">O17+T18</f>
        <v>557967.416600765</v>
      </c>
      <c r="P18" s="50" t="n">
        <f aca="false">T18+U18</f>
        <v>45617.6917456534</v>
      </c>
      <c r="Q18" s="50" t="n">
        <f aca="false">Q17*(1+Dashboard!$F11)+Dashboard!$F28*12</f>
        <v>380660.293703793</v>
      </c>
      <c r="R18" s="50" t="n">
        <f aca="false">Dashboard!$F6*Dashboard!$F9+O18+U18*15</f>
        <v>566567.416600765</v>
      </c>
      <c r="S18" s="48" t="n">
        <f aca="false">Q18-MAX(Q18-(Dashboard!$C8+Dashboard!$C6*Dashboard!$C19+Dashboard!$F6*Dashboard!$F9),0)*Dashboard!$F12</f>
        <v>341561.249648224</v>
      </c>
      <c r="T18" s="50" t="n">
        <f aca="false">Dashboard!$F6*(1+Dashboard!$F7)^(15-1)*12</f>
        <v>45377.6917456534</v>
      </c>
      <c r="U18" s="50" t="n">
        <f aca="false">Dashboard!$F8*12</f>
        <v>240</v>
      </c>
    </row>
    <row r="19" customFormat="false" ht="15" hidden="false" customHeight="true" outlineLevel="0" collapsed="false">
      <c r="A19" s="51" t="n">
        <v>16</v>
      </c>
      <c r="B19" s="52" t="n">
        <f aca="false">B18*(1+Dashboard!$C21)</f>
        <v>866993.019914242</v>
      </c>
      <c r="C19" s="52" t="n">
        <f aca="false">MAX((Dashboard!$C6-Dashboard!$C8)*(1+Dashboard!$C10/12)^(16*12)-Dashboard!$C26*((1+Dashboard!$C10/12)^(16*12)-1)/(Dashboard!$C10/12),0)</f>
        <v>1221958.92816175</v>
      </c>
      <c r="D19" s="52" t="n">
        <f aca="false">I19+J19+K19+L19+M19</f>
        <v>20873.8464381133</v>
      </c>
      <c r="E19" s="52" t="n">
        <f aca="false">E18+(D19-(C18-C19))</f>
        <v>1089514.1014031</v>
      </c>
      <c r="F19" s="52" t="n">
        <f aca="false">(Dashboard!$C6-Dashboard!$C8)-C19</f>
        <v>-821958.928161749</v>
      </c>
      <c r="G19" s="52" t="n">
        <f aca="false">G18+D19</f>
        <v>382555.173241352</v>
      </c>
      <c r="H19" s="47" t="n">
        <f aca="false">B19*(1-Dashboard!$C20)-C19</f>
        <v>-406985.489442361</v>
      </c>
      <c r="I19" s="52" t="n">
        <f aca="false">IF(C18&gt;0,Dashboard!$C26*12,0)</f>
        <v>0</v>
      </c>
      <c r="J19" s="52" t="n">
        <f aca="false">B19*Dashboard!$C13</f>
        <v>10403.9162389709</v>
      </c>
      <c r="K19" s="52" t="n">
        <f aca="false">Dashboard!$C14*12</f>
        <v>1800</v>
      </c>
      <c r="L19" s="52" t="n">
        <f aca="false">B19*Dashboard!$C16</f>
        <v>8669.93019914242</v>
      </c>
      <c r="M19" s="52" t="n">
        <f aca="false">IF(Dashboard!$C7&lt;0.2,C19*Dashboard!$C17,0)</f>
        <v>0</v>
      </c>
      <c r="N19" s="42"/>
      <c r="O19" s="52" t="n">
        <f aca="false">O18+T19</f>
        <v>604706.439098788</v>
      </c>
      <c r="P19" s="52" t="n">
        <f aca="false">T19+U19</f>
        <v>46979.022498023</v>
      </c>
      <c r="Q19" s="52" t="n">
        <f aca="false">Q18*(1+Dashboard!$F11)+Dashboard!$F28*12</f>
        <v>411113.117200096</v>
      </c>
      <c r="R19" s="52" t="n">
        <f aca="false">Dashboard!$F6*Dashboard!$F9+O19+U19*16</f>
        <v>613546.439098788</v>
      </c>
      <c r="S19" s="48" t="n">
        <f aca="false">Q19-MAX(Q19-(Dashboard!$C8+Dashboard!$C6*Dashboard!$C19+Dashboard!$F6*Dashboard!$F9),0)*Dashboard!$F12</f>
        <v>367446.149620082</v>
      </c>
      <c r="T19" s="52" t="n">
        <f aca="false">Dashboard!$F6*(1+Dashboard!$F7)^(16-1)*12</f>
        <v>46739.022498023</v>
      </c>
      <c r="U19" s="52" t="n">
        <f aca="false">Dashboard!$F8*12</f>
        <v>240</v>
      </c>
    </row>
    <row r="20" customFormat="false" ht="15" hidden="false" customHeight="true" outlineLevel="0" collapsed="false">
      <c r="A20" s="49" t="n">
        <v>17</v>
      </c>
      <c r="B20" s="50" t="n">
        <f aca="false">B19*(1+Dashboard!$C21)</f>
        <v>897337.775611241</v>
      </c>
      <c r="C20" s="50" t="n">
        <f aca="false">MAX((Dashboard!$C6-Dashboard!$C8)*(1+Dashboard!$C10/12)^(17*12)-Dashboard!$C26*((1+Dashboard!$C10/12)^(17*12)-1)/(Dashboard!$C10/12),0)</f>
        <v>1310294.43788156</v>
      </c>
      <c r="D20" s="50" t="n">
        <f aca="false">I20+J20+K20+L20+M20</f>
        <v>21541.4310634473</v>
      </c>
      <c r="E20" s="50" t="n">
        <f aca="false">E19+(D20-(C19-C20))</f>
        <v>1199391.04218636</v>
      </c>
      <c r="F20" s="50" t="n">
        <f aca="false">(Dashboard!$C6-Dashboard!$C8)-C20</f>
        <v>-910294.437881561</v>
      </c>
      <c r="G20" s="50" t="n">
        <f aca="false">G19+D20</f>
        <v>404096.604304799</v>
      </c>
      <c r="H20" s="47" t="n">
        <f aca="false">B20*(1-Dashboard!$C20)-C20</f>
        <v>-466796.928806995</v>
      </c>
      <c r="I20" s="50" t="n">
        <f aca="false">IF(C19&gt;0,Dashboard!$C26*12,0)</f>
        <v>0</v>
      </c>
      <c r="J20" s="50" t="n">
        <f aca="false">B20*Dashboard!$C13</f>
        <v>10768.0533073349</v>
      </c>
      <c r="K20" s="50" t="n">
        <f aca="false">Dashboard!$C14*12</f>
        <v>1800</v>
      </c>
      <c r="L20" s="50" t="n">
        <f aca="false">B20*Dashboard!$C16</f>
        <v>8973.37775611241</v>
      </c>
      <c r="M20" s="50" t="n">
        <f aca="false">IF(Dashboard!$C7&lt;0.2,C20*Dashboard!$C17,0)</f>
        <v>0</v>
      </c>
      <c r="N20" s="42"/>
      <c r="O20" s="50" t="n">
        <f aca="false">O19+T20</f>
        <v>652847.632271751</v>
      </c>
      <c r="P20" s="50" t="n">
        <f aca="false">T20+U20</f>
        <v>48381.1931729636</v>
      </c>
      <c r="Q20" s="50" t="n">
        <f aca="false">Q19*(1+Dashboard!$F11)+Dashboard!$F28*12</f>
        <v>444002.166576104</v>
      </c>
      <c r="R20" s="50" t="n">
        <f aca="false">Dashboard!$F6*Dashboard!$F9+O20+U20*17</f>
        <v>661927.632271751</v>
      </c>
      <c r="S20" s="48" t="n">
        <f aca="false">Q20-MAX(Q20-(Dashboard!$C8+Dashboard!$C6*Dashboard!$C19+Dashboard!$F6*Dashboard!$F9),0)*Dashboard!$F12</f>
        <v>395401.841589688</v>
      </c>
      <c r="T20" s="50" t="n">
        <f aca="false">Dashboard!$F6*(1+Dashboard!$F7)^(17-1)*12</f>
        <v>48141.1931729636</v>
      </c>
      <c r="U20" s="50" t="n">
        <f aca="false">Dashboard!$F8*12</f>
        <v>240</v>
      </c>
    </row>
    <row r="21" customFormat="false" ht="15" hidden="false" customHeight="true" outlineLevel="0" collapsed="false">
      <c r="A21" s="51" t="n">
        <v>18</v>
      </c>
      <c r="B21" s="52" t="n">
        <f aca="false">B20*(1+Dashboard!$C21)</f>
        <v>928744.597757634</v>
      </c>
      <c r="C21" s="52" t="n">
        <f aca="false">MAX((Dashboard!$C6-Dashboard!$C8)*(1+Dashboard!$C10/12)^(18*12)-Dashboard!$C26*((1+Dashboard!$C10/12)^(18*12)-1)/(Dashboard!$C10/12),0)</f>
        <v>1405015.7287415</v>
      </c>
      <c r="D21" s="52" t="n">
        <f aca="false">I21+J21+K21+L21+M21</f>
        <v>22232.381150668</v>
      </c>
      <c r="E21" s="52" t="n">
        <f aca="false">E20+(D21-(C20-C21))</f>
        <v>1316344.71419696</v>
      </c>
      <c r="F21" s="52" t="n">
        <f aca="false">(Dashboard!$C6-Dashboard!$C8)-C21</f>
        <v>-1005015.7287415</v>
      </c>
      <c r="G21" s="52" t="n">
        <f aca="false">G20+D21</f>
        <v>426328.985455467</v>
      </c>
      <c r="H21" s="47" t="n">
        <f aca="false">B21*(1-Dashboard!$C20)-C21</f>
        <v>-531995.806849319</v>
      </c>
      <c r="I21" s="52" t="n">
        <f aca="false">IF(C20&gt;0,Dashboard!$C26*12,0)</f>
        <v>0</v>
      </c>
      <c r="J21" s="52" t="n">
        <f aca="false">B21*Dashboard!$C13</f>
        <v>11144.9351730916</v>
      </c>
      <c r="K21" s="52" t="n">
        <f aca="false">Dashboard!$C14*12</f>
        <v>1800</v>
      </c>
      <c r="L21" s="52" t="n">
        <f aca="false">B21*Dashboard!$C16</f>
        <v>9287.44597757634</v>
      </c>
      <c r="M21" s="52" t="n">
        <f aca="false">IF(Dashboard!$C7&lt;0.2,C21*Dashboard!$C17,0)</f>
        <v>0</v>
      </c>
      <c r="N21" s="42"/>
      <c r="O21" s="52" t="n">
        <f aca="false">O20+T21</f>
        <v>702433.061239904</v>
      </c>
      <c r="P21" s="52" t="n">
        <f aca="false">T21+U21</f>
        <v>49825.4289681526</v>
      </c>
      <c r="Q21" s="52" t="n">
        <f aca="false">Q20*(1+Dashboard!$F11)+Dashboard!$F28*12</f>
        <v>479522.339902192</v>
      </c>
      <c r="R21" s="52" t="n">
        <f aca="false">Dashboard!$F6*Dashboard!$F9+O21+U21*18</f>
        <v>711753.061239904</v>
      </c>
      <c r="S21" s="48" t="n">
        <f aca="false">Q21-MAX(Q21-(Dashboard!$C8+Dashboard!$C6*Dashboard!$C19+Dashboard!$F6*Dashboard!$F9),0)*Dashboard!$F12</f>
        <v>425593.988916863</v>
      </c>
      <c r="T21" s="52" t="n">
        <f aca="false">Dashboard!$F6*(1+Dashboard!$F7)^(18-1)*12</f>
        <v>49585.4289681526</v>
      </c>
      <c r="U21" s="52" t="n">
        <f aca="false">Dashboard!$F8*12</f>
        <v>240</v>
      </c>
    </row>
    <row r="22" customFormat="false" ht="15" hidden="false" customHeight="true" outlineLevel="0" collapsed="false">
      <c r="A22" s="49" t="n">
        <v>19</v>
      </c>
      <c r="B22" s="50" t="n">
        <f aca="false">B21*(1+Dashboard!$C21)</f>
        <v>961250.658679151</v>
      </c>
      <c r="C22" s="50" t="n">
        <f aca="false">MAX((Dashboard!$C6-Dashboard!$C8)*(1+Dashboard!$C10/12)^(19*12)-Dashboard!$C26*((1+Dashboard!$C10/12)^(19*12)-1)/(Dashboard!$C10/12),0)</f>
        <v>1506584.4293765</v>
      </c>
      <c r="D22" s="50" t="n">
        <f aca="false">I22+J22+K22+L22+M22</f>
        <v>22947.5144909413</v>
      </c>
      <c r="E22" s="50" t="n">
        <f aca="false">E21+(D22-(C21-C22))</f>
        <v>1440860.92932291</v>
      </c>
      <c r="F22" s="50" t="n">
        <f aca="false">(Dashboard!$C6-Dashboard!$C8)-C22</f>
        <v>-1106584.4293765</v>
      </c>
      <c r="G22" s="50" t="n">
        <f aca="false">G21+D22</f>
        <v>449276.499946408</v>
      </c>
      <c r="H22" s="47" t="n">
        <f aca="false">B22*(1-Dashboard!$C20)-C22</f>
        <v>-603008.810218099</v>
      </c>
      <c r="I22" s="50" t="n">
        <f aca="false">IF(C21&gt;0,Dashboard!$C26*12,0)</f>
        <v>0</v>
      </c>
      <c r="J22" s="50" t="n">
        <f aca="false">B22*Dashboard!$C13</f>
        <v>11535.0079041498</v>
      </c>
      <c r="K22" s="50" t="n">
        <f aca="false">Dashboard!$C14*12</f>
        <v>1800</v>
      </c>
      <c r="L22" s="50" t="n">
        <f aca="false">B22*Dashboard!$C16</f>
        <v>9612.50658679151</v>
      </c>
      <c r="M22" s="50" t="n">
        <f aca="false">IF(Dashboard!$C7&lt;0.2,C22*Dashboard!$C17,0)</f>
        <v>0</v>
      </c>
      <c r="N22" s="42"/>
      <c r="O22" s="50" t="n">
        <f aca="false">O21+T22</f>
        <v>753506.053077101</v>
      </c>
      <c r="P22" s="50" t="n">
        <f aca="false">T22+U22</f>
        <v>51312.9918371971</v>
      </c>
      <c r="Q22" s="50" t="n">
        <f aca="false">Q21*(1+Dashboard!$F11)+Dashboard!$F28*12</f>
        <v>517884.127094368</v>
      </c>
      <c r="R22" s="50" t="n">
        <f aca="false">Dashboard!$F6*Dashboard!$F9+O22+U22*19</f>
        <v>763066.053077101</v>
      </c>
      <c r="S22" s="48" t="n">
        <f aca="false">Q22-MAX(Q22-(Dashboard!$C8+Dashboard!$C6*Dashboard!$C19+Dashboard!$F6*Dashboard!$F9),0)*Dashboard!$F12</f>
        <v>458201.508030213</v>
      </c>
      <c r="T22" s="50" t="n">
        <f aca="false">Dashboard!$F6*(1+Dashboard!$F7)^(19-1)*12</f>
        <v>51072.9918371971</v>
      </c>
      <c r="U22" s="50" t="n">
        <f aca="false">Dashboard!$F8*12</f>
        <v>240</v>
      </c>
    </row>
    <row r="23" customFormat="false" ht="15" hidden="false" customHeight="true" outlineLevel="0" collapsed="false">
      <c r="A23" s="51" t="n">
        <v>20</v>
      </c>
      <c r="B23" s="52" t="n">
        <f aca="false">B22*(1+Dashboard!$C21)</f>
        <v>994894.431732921</v>
      </c>
      <c r="C23" s="52" t="n">
        <f aca="false">MAX((Dashboard!$C6-Dashboard!$C8)*(1+Dashboard!$C10/12)^(20*12)-Dashboard!$C26*((1+Dashboard!$C10/12)^(20*12)-1)/(Dashboard!$C10/12),0)</f>
        <v>1615495.53959287</v>
      </c>
      <c r="D23" s="52" t="n">
        <f aca="false">I23+J23+K23+L23+M23</f>
        <v>23687.6774981243</v>
      </c>
      <c r="E23" s="52" t="n">
        <f aca="false">E22+(D23-(C22-C23))</f>
        <v>1573459.71703741</v>
      </c>
      <c r="F23" s="52" t="n">
        <f aca="false">(Dashboard!$C6-Dashboard!$C8)-C23</f>
        <v>-1215495.53959287</v>
      </c>
      <c r="G23" s="52" t="n">
        <f aca="false">G22+D23</f>
        <v>472964.177444533</v>
      </c>
      <c r="H23" s="47" t="n">
        <f aca="false">B23*(1-Dashboard!$C20)-C23</f>
        <v>-680294.773763929</v>
      </c>
      <c r="I23" s="52" t="n">
        <f aca="false">IF(C22&gt;0,Dashboard!$C26*12,0)</f>
        <v>0</v>
      </c>
      <c r="J23" s="52" t="n">
        <f aca="false">B23*Dashboard!$C13</f>
        <v>11938.7331807951</v>
      </c>
      <c r="K23" s="52" t="n">
        <f aca="false">Dashboard!$C14*12</f>
        <v>1800</v>
      </c>
      <c r="L23" s="52" t="n">
        <f aca="false">B23*Dashboard!$C16</f>
        <v>9948.94431732921</v>
      </c>
      <c r="M23" s="52" t="n">
        <f aca="false">IF(Dashboard!$C7&lt;0.2,C23*Dashboard!$C17,0)</f>
        <v>0</v>
      </c>
      <c r="N23" s="42"/>
      <c r="O23" s="52" t="n">
        <f aca="false">O22+T23</f>
        <v>806111.234669414</v>
      </c>
      <c r="P23" s="52" t="n">
        <f aca="false">T23+U23</f>
        <v>52845.1815923131</v>
      </c>
      <c r="Q23" s="52" t="n">
        <f aca="false">Q22*(1+Dashboard!$F11)+Dashboard!$F28*12</f>
        <v>559314.857261917</v>
      </c>
      <c r="R23" s="52" t="n">
        <f aca="false">Dashboard!$F6*Dashboard!$F9+O23+U23*20</f>
        <v>815911.234669414</v>
      </c>
      <c r="S23" s="48" t="n">
        <f aca="false">Q23-MAX(Q23-(Dashboard!$C8+Dashboard!$C6*Dashboard!$C19+Dashboard!$F6*Dashboard!$F9),0)*Dashboard!$F12</f>
        <v>493417.62867263</v>
      </c>
      <c r="T23" s="52" t="n">
        <f aca="false">Dashboard!$F6*(1+Dashboard!$F7)^(20-1)*12</f>
        <v>52605.1815923131</v>
      </c>
      <c r="U23" s="52" t="n">
        <f aca="false">Dashboard!$F8*12</f>
        <v>240</v>
      </c>
    </row>
    <row r="24" customFormat="false" ht="15" hidden="false" customHeight="true" outlineLevel="0" collapsed="false">
      <c r="A24" s="49" t="n">
        <v>21</v>
      </c>
      <c r="B24" s="50" t="n">
        <f aca="false">B23*(1+Dashboard!$C21)</f>
        <v>1029715.73684357</v>
      </c>
      <c r="C24" s="50" t="n">
        <f aca="false">MAX((Dashboard!$C6-Dashboard!$C8)*(1+Dashboard!$C10/12)^(21*12)-Dashboard!$C26*((1+Dashboard!$C10/12)^(21*12)-1)/(Dashboard!$C10/12),0)</f>
        <v>1732279.84277293</v>
      </c>
      <c r="D24" s="50" t="n">
        <f aca="false">I24+J24+K24+L24+M24</f>
        <v>24453.7462105586</v>
      </c>
      <c r="E24" s="50" t="n">
        <f aca="false">E23+(D24-(C23-C24))</f>
        <v>1714697.76642802</v>
      </c>
      <c r="F24" s="50" t="n">
        <f aca="false">(Dashboard!$C6-Dashboard!$C8)-C24</f>
        <v>-1332279.84277293</v>
      </c>
      <c r="G24" s="50" t="n">
        <f aca="false">G23+D24</f>
        <v>497417.923655091</v>
      </c>
      <c r="H24" s="47" t="n">
        <f aca="false">B24*(1-Dashboard!$C20)-C24</f>
        <v>-764347.050139973</v>
      </c>
      <c r="I24" s="50" t="n">
        <f aca="false">IF(C23&gt;0,Dashboard!$C26*12,0)</f>
        <v>0</v>
      </c>
      <c r="J24" s="50" t="n">
        <f aca="false">B24*Dashboard!$C13</f>
        <v>12356.5888421229</v>
      </c>
      <c r="K24" s="50" t="n">
        <f aca="false">Dashboard!$C14*12</f>
        <v>1800</v>
      </c>
      <c r="L24" s="50" t="n">
        <f aca="false">B24*Dashboard!$C16</f>
        <v>10297.1573684357</v>
      </c>
      <c r="M24" s="50" t="n">
        <f aca="false">IF(Dashboard!$C7&lt;0.2,C24*Dashboard!$C17,0)</f>
        <v>0</v>
      </c>
      <c r="N24" s="42"/>
      <c r="O24" s="50" t="n">
        <f aca="false">O23+T24</f>
        <v>860294.571709496</v>
      </c>
      <c r="P24" s="50" t="n">
        <f aca="false">T24+U24</f>
        <v>54423.3370400825</v>
      </c>
      <c r="Q24" s="50" t="n">
        <f aca="false">Q23*(1+Dashboard!$F11)+Dashboard!$F28*12</f>
        <v>604060.045842871</v>
      </c>
      <c r="R24" s="50" t="n">
        <f aca="false">Dashboard!$F6*Dashboard!$F9+O24+U24*21</f>
        <v>870334.571709496</v>
      </c>
      <c r="S24" s="48" t="n">
        <f aca="false">Q24-MAX(Q24-(Dashboard!$C8+Dashboard!$C6*Dashboard!$C19+Dashboard!$F6*Dashboard!$F9),0)*Dashboard!$F12</f>
        <v>531451.03896644</v>
      </c>
      <c r="T24" s="50" t="n">
        <f aca="false">Dashboard!$F6*(1+Dashboard!$F7)^(21-1)*12</f>
        <v>54183.3370400825</v>
      </c>
      <c r="U24" s="50" t="n">
        <f aca="false">Dashboard!$F8*12</f>
        <v>240</v>
      </c>
    </row>
    <row r="25" customFormat="false" ht="15" hidden="false" customHeight="true" outlineLevel="0" collapsed="false">
      <c r="A25" s="51" t="n">
        <v>22</v>
      </c>
      <c r="B25" s="52" t="n">
        <f aca="false">B24*(1+Dashboard!$C21)</f>
        <v>1065755.7876331</v>
      </c>
      <c r="C25" s="52" t="n">
        <f aca="false">MAX((Dashboard!$C6-Dashboard!$C8)*(1+Dashboard!$C10/12)^(22*12)-Dashboard!$C26*((1+Dashboard!$C10/12)^(22*12)-1)/(Dashboard!$C10/12),0)</f>
        <v>1857506.49267262</v>
      </c>
      <c r="D25" s="52" t="n">
        <f aca="false">I25+J25+K25+L25+M25</f>
        <v>25246.6273279282</v>
      </c>
      <c r="E25" s="52" t="n">
        <f aca="false">E24+(D25-(C24-C25))</f>
        <v>1865171.04365563</v>
      </c>
      <c r="F25" s="52" t="n">
        <f aca="false">(Dashboard!$C6-Dashboard!$C8)-C25</f>
        <v>-1457506.49267262</v>
      </c>
      <c r="G25" s="52" t="n">
        <f aca="false">G24+D25</f>
        <v>522664.550983019</v>
      </c>
      <c r="H25" s="47" t="n">
        <f aca="false">B25*(1-Dashboard!$C20)-C25</f>
        <v>-855696.052297503</v>
      </c>
      <c r="I25" s="52" t="n">
        <f aca="false">IF(C24&gt;0,Dashboard!$C26*12,0)</f>
        <v>0</v>
      </c>
      <c r="J25" s="52" t="n">
        <f aca="false">B25*Dashboard!$C13</f>
        <v>12789.0694515972</v>
      </c>
      <c r="K25" s="52" t="n">
        <f aca="false">Dashboard!$C14*12</f>
        <v>1800</v>
      </c>
      <c r="L25" s="52" t="n">
        <f aca="false">B25*Dashboard!$C16</f>
        <v>10657.557876331</v>
      </c>
      <c r="M25" s="52" t="n">
        <f aca="false">IF(Dashboard!$C7&lt;0.2,C25*Dashboard!$C17,0)</f>
        <v>0</v>
      </c>
      <c r="N25" s="42"/>
      <c r="O25" s="52" t="n">
        <f aca="false">O24+T25</f>
        <v>916103.408860781</v>
      </c>
      <c r="P25" s="52" t="n">
        <f aca="false">T25+U25</f>
        <v>56048.8371512849</v>
      </c>
      <c r="Q25" s="52" t="n">
        <f aca="false">Q24*(1+Dashboard!$F11)+Dashboard!$F28*12</f>
        <v>652384.8495103</v>
      </c>
      <c r="R25" s="52" t="n">
        <f aca="false">Dashboard!$F6*Dashboard!$F9+O25+U25*22</f>
        <v>926383.408860781</v>
      </c>
      <c r="S25" s="48" t="n">
        <f aca="false">Q25-MAX(Q25-(Dashboard!$C8+Dashboard!$C6*Dashboard!$C19+Dashboard!$F6*Dashboard!$F9),0)*Dashboard!$F12</f>
        <v>572527.122083755</v>
      </c>
      <c r="T25" s="52" t="n">
        <f aca="false">Dashboard!$F6*(1+Dashboard!$F7)^(22-1)*12</f>
        <v>55808.8371512849</v>
      </c>
      <c r="U25" s="52" t="n">
        <f aca="false">Dashboard!$F8*12</f>
        <v>240</v>
      </c>
    </row>
    <row r="26" customFormat="false" ht="15" hidden="false" customHeight="true" outlineLevel="0" collapsed="false">
      <c r="A26" s="49" t="n">
        <v>23</v>
      </c>
      <c r="B26" s="50" t="n">
        <f aca="false">B25*(1+Dashboard!$C21)</f>
        <v>1103057.24020026</v>
      </c>
      <c r="C26" s="50" t="n">
        <f aca="false">MAX((Dashboard!$C6-Dashboard!$C8)*(1+Dashboard!$C10/12)^(23*12)-Dashboard!$C26*((1+Dashboard!$C10/12)^(23*12)-1)/(Dashboard!$C10/12),0)</f>
        <v>1991785.7872189</v>
      </c>
      <c r="D26" s="50" t="n">
        <f aca="false">I26+J26+K26+L26+M26</f>
        <v>26067.2592844057</v>
      </c>
      <c r="E26" s="50" t="n">
        <f aca="false">E25+(D26-(C25-C26))</f>
        <v>2025517.59748633</v>
      </c>
      <c r="F26" s="50" t="n">
        <f aca="false">(Dashboard!$C6-Dashboard!$C8)-C26</f>
        <v>-1591785.7872189</v>
      </c>
      <c r="G26" s="50" t="n">
        <f aca="false">G25+D26</f>
        <v>548731.810267425</v>
      </c>
      <c r="H26" s="47" t="n">
        <f aca="false">B26*(1-Dashboard!$C20)-C26</f>
        <v>-954911.981430661</v>
      </c>
      <c r="I26" s="50" t="n">
        <f aca="false">IF(C25&gt;0,Dashboard!$C26*12,0)</f>
        <v>0</v>
      </c>
      <c r="J26" s="50" t="n">
        <f aca="false">B26*Dashboard!$C13</f>
        <v>13236.6868824031</v>
      </c>
      <c r="K26" s="50" t="n">
        <f aca="false">Dashboard!$C14*12</f>
        <v>1800</v>
      </c>
      <c r="L26" s="50" t="n">
        <f aca="false">B26*Dashboard!$C16</f>
        <v>11030.5724020026</v>
      </c>
      <c r="M26" s="50" t="n">
        <f aca="false">IF(Dashboard!$C7&lt;0.2,C26*Dashboard!$C17,0)</f>
        <v>0</v>
      </c>
      <c r="N26" s="42"/>
      <c r="O26" s="50" t="n">
        <f aca="false">O25+T26</f>
        <v>973586.511126605</v>
      </c>
      <c r="P26" s="50" t="n">
        <f aca="false">T26+U26</f>
        <v>57723.1022658235</v>
      </c>
      <c r="Q26" s="50" t="n">
        <f aca="false">Q25*(1+Dashboard!$F11)+Dashboard!$F28*12</f>
        <v>704575.637471124</v>
      </c>
      <c r="R26" s="50" t="n">
        <f aca="false">Dashboard!$F6*Dashboard!$F9+O26+U26*23</f>
        <v>984106.511126605</v>
      </c>
      <c r="S26" s="48" t="n">
        <f aca="false">Q26-MAX(Q26-(Dashboard!$C8+Dashboard!$C6*Dashboard!$C19+Dashboard!$F6*Dashboard!$F9),0)*Dashboard!$F12</f>
        <v>616889.291850456</v>
      </c>
      <c r="T26" s="50" t="n">
        <f aca="false">Dashboard!$F6*(1+Dashboard!$F7)^(23-1)*12</f>
        <v>57483.1022658235</v>
      </c>
      <c r="U26" s="50" t="n">
        <f aca="false">Dashboard!$F8*12</f>
        <v>240</v>
      </c>
    </row>
    <row r="27" customFormat="false" ht="15" hidden="false" customHeight="true" outlineLevel="0" collapsed="false">
      <c r="A27" s="51" t="n">
        <v>24</v>
      </c>
      <c r="B27" s="52" t="n">
        <f aca="false">B26*(1+Dashboard!$C21)</f>
        <v>1141664.24360727</v>
      </c>
      <c r="C27" s="52" t="n">
        <f aca="false">MAX((Dashboard!$C6-Dashboard!$C8)*(1+Dashboard!$C10/12)^(24*12)-Dashboard!$C26*((1+Dashboard!$C10/12)^(24*12)-1)/(Dashboard!$C10/12),0)</f>
        <v>2135772.14282526</v>
      </c>
      <c r="D27" s="52" t="n">
        <f aca="false">I27+J27+K27+L27+M27</f>
        <v>26916.6133593598</v>
      </c>
      <c r="E27" s="52" t="n">
        <f aca="false">E26+(D27-(C26-C27))</f>
        <v>2196420.56645204</v>
      </c>
      <c r="F27" s="52" t="n">
        <f aca="false">(Dashboard!$C6-Dashboard!$C8)-C27</f>
        <v>-1735772.14282526</v>
      </c>
      <c r="G27" s="52" t="n">
        <f aca="false">G26+D27</f>
        <v>575648.423626785</v>
      </c>
      <c r="H27" s="47" t="n">
        <f aca="false">B27*(1-Dashboard!$C20)-C27</f>
        <v>-1062607.75383443</v>
      </c>
      <c r="I27" s="52" t="n">
        <f aca="false">IF(C26&gt;0,Dashboard!$C26*12,0)</f>
        <v>0</v>
      </c>
      <c r="J27" s="52" t="n">
        <f aca="false">B27*Dashboard!$C13</f>
        <v>13699.9709232872</v>
      </c>
      <c r="K27" s="52" t="n">
        <f aca="false">Dashboard!$C14*12</f>
        <v>1800</v>
      </c>
      <c r="L27" s="52" t="n">
        <f aca="false">B27*Dashboard!$C16</f>
        <v>11416.6424360727</v>
      </c>
      <c r="M27" s="52" t="n">
        <f aca="false">IF(Dashboard!$C7&lt;0.2,C27*Dashboard!$C17,0)</f>
        <v>0</v>
      </c>
      <c r="N27" s="42"/>
      <c r="O27" s="52" t="n">
        <f aca="false">O26+T27</f>
        <v>1032794.1064604</v>
      </c>
      <c r="P27" s="52" t="n">
        <f aca="false">T27+U27</f>
        <v>59447.5953337982</v>
      </c>
      <c r="Q27" s="52" t="n">
        <f aca="false">Q26*(1+Dashboard!$F11)+Dashboard!$F28*12</f>
        <v>760941.688468814</v>
      </c>
      <c r="R27" s="52" t="n">
        <f aca="false">Dashboard!$F6*Dashboard!$F9+O27+U27*24</f>
        <v>1043554.1064604</v>
      </c>
      <c r="S27" s="48" t="n">
        <f aca="false">Q27-MAX(Q27-(Dashboard!$C8+Dashboard!$C6*Dashboard!$C19+Dashboard!$F6*Dashboard!$F9),0)*Dashboard!$F12</f>
        <v>664800.435198492</v>
      </c>
      <c r="T27" s="52" t="n">
        <f aca="false">Dashboard!$F6*(1+Dashboard!$F7)^(24-1)*12</f>
        <v>59207.5953337982</v>
      </c>
      <c r="U27" s="52" t="n">
        <f aca="false">Dashboard!$F8*12</f>
        <v>240</v>
      </c>
    </row>
    <row r="28" customFormat="false" ht="15" hidden="false" customHeight="true" outlineLevel="0" collapsed="false">
      <c r="A28" s="49" t="n">
        <v>25</v>
      </c>
      <c r="B28" s="50" t="n">
        <f aca="false">B27*(1+Dashboard!$C21)</f>
        <v>1181622.49213352</v>
      </c>
      <c r="C28" s="50" t="n">
        <f aca="false">MAX((Dashboard!$C6-Dashboard!$C8)*(1+Dashboard!$C10/12)^(25*12)-Dashboard!$C26*((1+Dashboard!$C10/12)^(25*12)-1)/(Dashboard!$C10/12),0)</f>
        <v>2290167.28372059</v>
      </c>
      <c r="D28" s="50" t="n">
        <f aca="false">I28+J28+K28+L28+M28</f>
        <v>27795.6948269374</v>
      </c>
      <c r="E28" s="50" t="n">
        <f aca="false">E27+(D28-(C27-C28))</f>
        <v>2378611.40217431</v>
      </c>
      <c r="F28" s="50" t="n">
        <f aca="false">(Dashboard!$C6-Dashboard!$C8)-C28</f>
        <v>-1890167.28372059</v>
      </c>
      <c r="G28" s="50" t="n">
        <f aca="false">G27+D28</f>
        <v>603444.118453722</v>
      </c>
      <c r="H28" s="47" t="n">
        <f aca="false">B28*(1-Dashboard!$C20)-C28</f>
        <v>-1179442.14111508</v>
      </c>
      <c r="I28" s="50" t="n">
        <f aca="false">IF(C27&gt;0,Dashboard!$C26*12,0)</f>
        <v>0</v>
      </c>
      <c r="J28" s="50" t="n">
        <f aca="false">B28*Dashboard!$C13</f>
        <v>14179.4699056022</v>
      </c>
      <c r="K28" s="50" t="n">
        <f aca="false">Dashboard!$C14*12</f>
        <v>1800</v>
      </c>
      <c r="L28" s="50" t="n">
        <f aca="false">B28*Dashboard!$C16</f>
        <v>11816.2249213352</v>
      </c>
      <c r="M28" s="50" t="n">
        <f aca="false">IF(Dashboard!$C7&lt;0.2,C28*Dashboard!$C17,0)</f>
        <v>0</v>
      </c>
      <c r="N28" s="42"/>
      <c r="O28" s="50" t="n">
        <f aca="false">O27+T28</f>
        <v>1093777.92965422</v>
      </c>
      <c r="P28" s="50" t="n">
        <f aca="false">T28+U28</f>
        <v>61223.8231938121</v>
      </c>
      <c r="Q28" s="50" t="n">
        <f aca="false">Q27*(1+Dashboard!$F11)+Dashboard!$F28*12</f>
        <v>821817.02354632</v>
      </c>
      <c r="R28" s="50" t="n">
        <f aca="false">Dashboard!$F6*Dashboard!$F9+O28+U28*25</f>
        <v>1104777.92965422</v>
      </c>
      <c r="S28" s="48" t="n">
        <f aca="false">Q28-MAX(Q28-(Dashboard!$C8+Dashboard!$C6*Dashboard!$C19+Dashboard!$F6*Dashboard!$F9),0)*Dashboard!$F12</f>
        <v>716544.470014372</v>
      </c>
      <c r="T28" s="50" t="n">
        <f aca="false">Dashboard!$F6*(1+Dashboard!$F7)^(25-1)*12</f>
        <v>60983.8231938121</v>
      </c>
      <c r="U28" s="50" t="n">
        <f aca="false">Dashboard!$F8*12</f>
        <v>240</v>
      </c>
    </row>
    <row r="29" customFormat="false" ht="15" hidden="false" customHeight="true" outlineLevel="0" collapsed="false">
      <c r="A29" s="51" t="n">
        <v>26</v>
      </c>
      <c r="B29" s="52" t="n">
        <f aca="false">B28*(1+Dashboard!$C21)</f>
        <v>1222979.27935819</v>
      </c>
      <c r="C29" s="52" t="n">
        <f aca="false">MAX((Dashboard!$C6-Dashboard!$C8)*(1+Dashboard!$C10/12)^(26*12)-Dashboard!$C26*((1+Dashboard!$C10/12)^(26*12)-1)/(Dashboard!$C10/12),0)</f>
        <v>2455723.66183506</v>
      </c>
      <c r="D29" s="52" t="n">
        <f aca="false">I29+J29+K29+L29+M29</f>
        <v>28705.5441458802</v>
      </c>
      <c r="E29" s="52" t="n">
        <f aca="false">E28+(D29-(C28-C29))</f>
        <v>2572873.32443466</v>
      </c>
      <c r="F29" s="52" t="n">
        <f aca="false">(Dashboard!$C6-Dashboard!$C8)-C29</f>
        <v>-2055723.66183506</v>
      </c>
      <c r="G29" s="52" t="n">
        <f aca="false">G28+D29</f>
        <v>632149.662599603</v>
      </c>
      <c r="H29" s="47" t="n">
        <f aca="false">B29*(1-Dashboard!$C20)-C29</f>
        <v>-1306123.13923836</v>
      </c>
      <c r="I29" s="52" t="n">
        <f aca="false">IF(C28&gt;0,Dashboard!$C26*12,0)</f>
        <v>0</v>
      </c>
      <c r="J29" s="52" t="n">
        <f aca="false">B29*Dashboard!$C13</f>
        <v>14675.7513522983</v>
      </c>
      <c r="K29" s="52" t="n">
        <f aca="false">Dashboard!$C14*12</f>
        <v>1800</v>
      </c>
      <c r="L29" s="52" t="n">
        <f aca="false">B29*Dashboard!$C16</f>
        <v>12229.7927935819</v>
      </c>
      <c r="M29" s="52" t="n">
        <f aca="false">IF(Dashboard!$C7&lt;0.2,C29*Dashboard!$C17,0)</f>
        <v>0</v>
      </c>
      <c r="N29" s="42"/>
      <c r="O29" s="52" t="n">
        <f aca="false">O28+T29</f>
        <v>1156591.26754384</v>
      </c>
      <c r="P29" s="52" t="n">
        <f aca="false">T29+U29</f>
        <v>63053.3378896265</v>
      </c>
      <c r="Q29" s="52" t="n">
        <f aca="false">Q28*(1+Dashboard!$F11)+Dashboard!$F28*12</f>
        <v>887562.385430025</v>
      </c>
      <c r="R29" s="52" t="n">
        <f aca="false">Dashboard!$F6*Dashboard!$F9+O29+U29*26</f>
        <v>1167831.26754384</v>
      </c>
      <c r="S29" s="48" t="n">
        <f aca="false">Q29-MAX(Q29-(Dashboard!$C8+Dashboard!$C6*Dashboard!$C19+Dashboard!$F6*Dashboard!$F9),0)*Dashboard!$F12</f>
        <v>772428.027615521</v>
      </c>
      <c r="T29" s="52" t="n">
        <f aca="false">Dashboard!$F6*(1+Dashboard!$F7)^(26-1)*12</f>
        <v>62813.3378896265</v>
      </c>
      <c r="U29" s="52" t="n">
        <f aca="false">Dashboard!$F8*12</f>
        <v>240</v>
      </c>
    </row>
    <row r="30" customFormat="false" ht="15" hidden="false" customHeight="true" outlineLevel="0" collapsed="false">
      <c r="A30" s="49" t="n">
        <v>27</v>
      </c>
      <c r="B30" s="50" t="n">
        <f aca="false">B29*(1+Dashboard!$C21)</f>
        <v>1265783.55413573</v>
      </c>
      <c r="C30" s="50" t="n">
        <f aca="false">MAX((Dashboard!$C6-Dashboard!$C8)*(1+Dashboard!$C10/12)^(27*12)-Dashboard!$C26*((1+Dashboard!$C10/12)^(27*12)-1)/(Dashboard!$C10/12),0)</f>
        <v>2633248.12390969</v>
      </c>
      <c r="D30" s="50" t="n">
        <f aca="false">I30+J30+K30+L30+M30</f>
        <v>29647.2381909861</v>
      </c>
      <c r="E30" s="50" t="n">
        <f aca="false">E29+(D30-(C29-C30))</f>
        <v>2780045.02470028</v>
      </c>
      <c r="F30" s="50" t="n">
        <f aca="false">(Dashboard!$C6-Dashboard!$C8)-C30</f>
        <v>-2233248.12390969</v>
      </c>
      <c r="G30" s="50" t="n">
        <f aca="false">G29+D30</f>
        <v>661796.900790589</v>
      </c>
      <c r="H30" s="47" t="n">
        <f aca="false">B30*(1-Dashboard!$C20)-C30</f>
        <v>-1443411.5830221</v>
      </c>
      <c r="I30" s="50" t="n">
        <f aca="false">IF(C29&gt;0,Dashboard!$C26*12,0)</f>
        <v>0</v>
      </c>
      <c r="J30" s="50" t="n">
        <f aca="false">B30*Dashboard!$C13</f>
        <v>15189.4026496288</v>
      </c>
      <c r="K30" s="50" t="n">
        <f aca="false">Dashboard!$C14*12</f>
        <v>1800</v>
      </c>
      <c r="L30" s="50" t="n">
        <f aca="false">B30*Dashboard!$C16</f>
        <v>12657.8355413573</v>
      </c>
      <c r="M30" s="50" t="n">
        <f aca="false">IF(Dashboard!$C7&lt;0.2,C30*Dashboard!$C17,0)</f>
        <v>0</v>
      </c>
      <c r="N30" s="42"/>
      <c r="O30" s="50" t="n">
        <f aca="false">O29+T30</f>
        <v>1221289.00557016</v>
      </c>
      <c r="P30" s="50" t="n">
        <f aca="false">T30+U30</f>
        <v>64937.7380263153</v>
      </c>
      <c r="Q30" s="50" t="n">
        <f aca="false">Q29*(1+Dashboard!$F11)+Dashboard!$F28*12</f>
        <v>958567.376264427</v>
      </c>
      <c r="R30" s="50" t="n">
        <f aca="false">Dashboard!$F6*Dashboard!$F9+O30+U30*27</f>
        <v>1232769.00557016</v>
      </c>
      <c r="S30" s="48" t="n">
        <f aca="false">Q30-MAX(Q30-(Dashboard!$C8+Dashboard!$C6*Dashboard!$C19+Dashboard!$F6*Dashboard!$F9),0)*Dashboard!$F12</f>
        <v>832782.269824763</v>
      </c>
      <c r="T30" s="50" t="n">
        <f aca="false">Dashboard!$F6*(1+Dashboard!$F7)^(27-1)*12</f>
        <v>64697.7380263153</v>
      </c>
      <c r="U30" s="50" t="n">
        <f aca="false">Dashboard!$F8*12</f>
        <v>240</v>
      </c>
    </row>
    <row r="31" customFormat="false" ht="15" hidden="false" customHeight="true" outlineLevel="0" collapsed="false">
      <c r="A31" s="51" t="n">
        <v>28</v>
      </c>
      <c r="B31" s="52" t="n">
        <f aca="false">B30*(1+Dashboard!$C21)</f>
        <v>1310085.97853048</v>
      </c>
      <c r="C31" s="52" t="n">
        <f aca="false">MAX((Dashboard!$C6-Dashboard!$C8)*(1+Dashboard!$C10/12)^(28*12)-Dashboard!$C26*((1+Dashboard!$C10/12)^(28*12)-1)/(Dashboard!$C10/12),0)</f>
        <v>2823605.84370165</v>
      </c>
      <c r="D31" s="52" t="n">
        <f aca="false">I31+J31+K31+L31+M31</f>
        <v>30621.8915276706</v>
      </c>
      <c r="E31" s="52" t="n">
        <f aca="false">E30+(D31-(C30-C31))</f>
        <v>3001024.63601991</v>
      </c>
      <c r="F31" s="52" t="n">
        <f aca="false">(Dashboard!$C6-Dashboard!$C8)-C31</f>
        <v>-2423605.84370165</v>
      </c>
      <c r="G31" s="52" t="n">
        <f aca="false">G30+D31</f>
        <v>692418.792318259</v>
      </c>
      <c r="H31" s="47" t="n">
        <f aca="false">B31*(1-Dashboard!$C20)-C31</f>
        <v>-1592125.023883</v>
      </c>
      <c r="I31" s="52" t="n">
        <f aca="false">IF(C30&gt;0,Dashboard!$C26*12,0)</f>
        <v>0</v>
      </c>
      <c r="J31" s="52" t="n">
        <f aca="false">B31*Dashboard!$C13</f>
        <v>15721.0317423658</v>
      </c>
      <c r="K31" s="52" t="n">
        <f aca="false">Dashboard!$C14*12</f>
        <v>1800</v>
      </c>
      <c r="L31" s="52" t="n">
        <f aca="false">B31*Dashboard!$C16</f>
        <v>13100.8597853048</v>
      </c>
      <c r="M31" s="52" t="n">
        <f aca="false">IF(Dashboard!$C7&lt;0.2,C31*Dashboard!$C17,0)</f>
        <v>0</v>
      </c>
      <c r="N31" s="42"/>
      <c r="O31" s="52" t="n">
        <f aca="false">O30+T31</f>
        <v>1287927.67573726</v>
      </c>
      <c r="P31" s="52" t="n">
        <f aca="false">T31+U31</f>
        <v>66878.6701671048</v>
      </c>
      <c r="Q31" s="52" t="n">
        <f aca="false">Q30*(1+Dashboard!$F11)+Dashboard!$F28*12</f>
        <v>1035252.76636558</v>
      </c>
      <c r="R31" s="52" t="n">
        <f aca="false">Dashboard!$F6*Dashboard!$F9+O31+U31*28</f>
        <v>1299647.67573726</v>
      </c>
      <c r="S31" s="48" t="n">
        <f aca="false">Q31-MAX(Q31-(Dashboard!$C8+Dashboard!$C6*Dashboard!$C19+Dashboard!$F6*Dashboard!$F9),0)*Dashboard!$F12</f>
        <v>897964.851410744</v>
      </c>
      <c r="T31" s="52" t="n">
        <f aca="false">Dashboard!$F6*(1+Dashboard!$F7)^(28-1)*12</f>
        <v>66638.6701671048</v>
      </c>
      <c r="U31" s="52" t="n">
        <f aca="false">Dashboard!$F8*12</f>
        <v>240</v>
      </c>
    </row>
    <row r="32" customFormat="false" ht="15" hidden="false" customHeight="true" outlineLevel="0" collapsed="false">
      <c r="A32" s="49" t="n">
        <v>29</v>
      </c>
      <c r="B32" s="50" t="n">
        <f aca="false">B31*(1+Dashboard!$C21)</f>
        <v>1355938.98777905</v>
      </c>
      <c r="C32" s="50" t="n">
        <f aca="false">MAX((Dashboard!$C6-Dashboard!$C8)*(1+Dashboard!$C10/12)^(29*12)-Dashboard!$C26*((1+Dashboard!$C10/12)^(29*12)-1)/(Dashboard!$C10/12),0)</f>
        <v>3027724.53844898</v>
      </c>
      <c r="D32" s="50" t="n">
        <f aca="false">I32+J32+K32+L32+M32</f>
        <v>31630.657731139</v>
      </c>
      <c r="E32" s="50" t="n">
        <f aca="false">E31+(D32-(C31-C32))</f>
        <v>3236773.98849838</v>
      </c>
      <c r="F32" s="50" t="n">
        <f aca="false">(Dashboard!$C6-Dashboard!$C8)-C32</f>
        <v>-2627724.53844898</v>
      </c>
      <c r="G32" s="50" t="n">
        <f aca="false">G31+D32</f>
        <v>724049.450049398</v>
      </c>
      <c r="H32" s="47" t="n">
        <f aca="false">B32*(1-Dashboard!$C20)-C32</f>
        <v>-1753141.88993668</v>
      </c>
      <c r="I32" s="50" t="n">
        <f aca="false">IF(C31&gt;0,Dashboard!$C26*12,0)</f>
        <v>0</v>
      </c>
      <c r="J32" s="50" t="n">
        <f aca="false">B32*Dashboard!$C13</f>
        <v>16271.2678533486</v>
      </c>
      <c r="K32" s="50" t="n">
        <f aca="false">Dashboard!$C14*12</f>
        <v>1800</v>
      </c>
      <c r="L32" s="50" t="n">
        <f aca="false">B32*Dashboard!$C16</f>
        <v>13559.3898777905</v>
      </c>
      <c r="M32" s="50" t="n">
        <f aca="false">IF(Dashboard!$C7&lt;0.2,C32*Dashboard!$C17,0)</f>
        <v>0</v>
      </c>
      <c r="N32" s="42"/>
      <c r="O32" s="50" t="n">
        <f aca="false">O31+T32</f>
        <v>1356565.50600938</v>
      </c>
      <c r="P32" s="50" t="n">
        <f aca="false">T32+U32</f>
        <v>68877.8302721179</v>
      </c>
      <c r="Q32" s="50" t="n">
        <f aca="false">Q31*(1+Dashboard!$F11)+Dashboard!$F28*12</f>
        <v>1118072.98767483</v>
      </c>
      <c r="R32" s="50" t="n">
        <f aca="false">Dashboard!$F6*Dashboard!$F9+O32+U32*29</f>
        <v>1368525.50600938</v>
      </c>
      <c r="S32" s="48" t="n">
        <f aca="false">Q32-MAX(Q32-(Dashboard!$C8+Dashboard!$C6*Dashboard!$C19+Dashboard!$F6*Dashboard!$F9),0)*Dashboard!$F12</f>
        <v>968362.039523604</v>
      </c>
      <c r="T32" s="50" t="n">
        <f aca="false">Dashboard!$F6*(1+Dashboard!$F7)^(29-1)*12</f>
        <v>68637.8302721179</v>
      </c>
      <c r="U32" s="50" t="n">
        <f aca="false">Dashboard!$F8*12</f>
        <v>240</v>
      </c>
    </row>
    <row r="33" customFormat="false" ht="15" hidden="false" customHeight="true" outlineLevel="0" collapsed="false">
      <c r="A33" s="51" t="n">
        <v>30</v>
      </c>
      <c r="B33" s="52" t="n">
        <f aca="false">B32*(1+Dashboard!$C21)</f>
        <v>1403396.85235131</v>
      </c>
      <c r="C33" s="52" t="n">
        <f aca="false">MAX((Dashboard!$C6-Dashboard!$C8)*(1+Dashboard!$C10/12)^(30*12)-Dashboard!$C26*((1+Dashboard!$C10/12)^(30*12)-1)/(Dashboard!$C10/12),0)</f>
        <v>3246598.99014387</v>
      </c>
      <c r="D33" s="52" t="n">
        <f aca="false">I33+J33+K33+L33+M33</f>
        <v>32674.7307517289</v>
      </c>
      <c r="E33" s="52" t="n">
        <f aca="false">E32+(D33-(C32-C33))</f>
        <v>3488323.170945</v>
      </c>
      <c r="F33" s="52" t="n">
        <f aca="false">(Dashboard!$C6-Dashboard!$C8)-C33</f>
        <v>-2846598.99014387</v>
      </c>
      <c r="G33" s="52" t="n">
        <f aca="false">G32+D33</f>
        <v>756724.180801127</v>
      </c>
      <c r="H33" s="47" t="n">
        <f aca="false">B33*(1-Dashboard!$C20)-C33</f>
        <v>-1927405.94893364</v>
      </c>
      <c r="I33" s="52" t="n">
        <f aca="false">IF(C32&gt;0,Dashboard!$C26*12,0)</f>
        <v>0</v>
      </c>
      <c r="J33" s="52" t="n">
        <f aca="false">B33*Dashboard!$C13</f>
        <v>16840.7622282158</v>
      </c>
      <c r="K33" s="52" t="n">
        <f aca="false">Dashboard!$C14*12</f>
        <v>1800</v>
      </c>
      <c r="L33" s="52" t="n">
        <f aca="false">B33*Dashboard!$C16</f>
        <v>14033.9685235131</v>
      </c>
      <c r="M33" s="52" t="n">
        <f aca="false">IF(Dashboard!$C7&lt;0.2,C33*Dashboard!$C17,0)</f>
        <v>0</v>
      </c>
      <c r="N33" s="42"/>
      <c r="O33" s="52" t="n">
        <f aca="false">O32+T33</f>
        <v>1427262.47118966</v>
      </c>
      <c r="P33" s="52" t="n">
        <f aca="false">T33+U33</f>
        <v>70936.9651802814</v>
      </c>
      <c r="Q33" s="52" t="n">
        <f aca="false">Q32*(1+Dashboard!$F11)+Dashboard!$F28*12</f>
        <v>1207518.82668881</v>
      </c>
      <c r="R33" s="52" t="n">
        <f aca="false">Dashboard!$F6*Dashboard!$F9+O33+U33*30</f>
        <v>1439462.47118966</v>
      </c>
      <c r="S33" s="48" t="n">
        <f aca="false">Q33-MAX(Q33-(Dashboard!$C8+Dashboard!$C6*Dashboard!$C19+Dashboard!$F6*Dashboard!$F9),0)*Dashboard!$F12</f>
        <v>1044391.00268549</v>
      </c>
      <c r="T33" s="52" t="n">
        <f aca="false">Dashboard!$F6*(1+Dashboard!$F7)^(30-1)*12</f>
        <v>70696.9651802814</v>
      </c>
      <c r="U33" s="52" t="n">
        <f aca="false">Dashboard!$F8*12</f>
        <v>240</v>
      </c>
    </row>
    <row r="34" customFormat="false" ht="15" hidden="false" customHeight="true" outlineLevel="0" collapsed="false">
      <c r="A34" s="49" t="n">
        <v>31</v>
      </c>
      <c r="B34" s="50" t="n">
        <f aca="false">B33*(1+Dashboard!$C21)</f>
        <v>1452515.74218361</v>
      </c>
      <c r="C34" s="50" t="n">
        <f aca="false">MAX((Dashboard!$C6-Dashboard!$C8)*(1+Dashboard!$C10/12)^(31*12)-Dashboard!$C26*((1+Dashboard!$C10/12)^(31*12)-1)/(Dashboard!$C10/12),0)</f>
        <v>3481295.89364915</v>
      </c>
      <c r="D34" s="50" t="n">
        <f aca="false">I34+J34+K34+L34+M34</f>
        <v>33755.3463280394</v>
      </c>
      <c r="E34" s="50" t="n">
        <f aca="false">E33+(D34-(C33-C34))</f>
        <v>3756775.42077831</v>
      </c>
      <c r="F34" s="50" t="n">
        <f aca="false">(Dashboard!$C6-Dashboard!$C8)-C34</f>
        <v>-3081295.89364915</v>
      </c>
      <c r="G34" s="50" t="n">
        <f aca="false">G33+D34</f>
        <v>790479.527129166</v>
      </c>
      <c r="H34" s="47" t="n">
        <f aca="false">B34*(1-Dashboard!$C20)-C34</f>
        <v>-2115931.09599655</v>
      </c>
      <c r="I34" s="50" t="n">
        <f aca="false">IF(C33&gt;0,Dashboard!$C26*12,0)</f>
        <v>0</v>
      </c>
      <c r="J34" s="50" t="n">
        <f aca="false">B34*Dashboard!$C13</f>
        <v>17430.1889062033</v>
      </c>
      <c r="K34" s="50" t="n">
        <f aca="false">Dashboard!$C14*12</f>
        <v>1800</v>
      </c>
      <c r="L34" s="50" t="n">
        <f aca="false">B34*Dashboard!$C16</f>
        <v>14525.1574218361</v>
      </c>
      <c r="M34" s="50" t="n">
        <f aca="false">IF(Dashboard!$C7&lt;0.2,C34*Dashboard!$C17,0)</f>
        <v>0</v>
      </c>
      <c r="N34" s="42"/>
      <c r="O34" s="50" t="n">
        <f aca="false">O33+T34</f>
        <v>1500080.34532535</v>
      </c>
      <c r="P34" s="50" t="n">
        <f aca="false">T34+U34</f>
        <v>73057.8741356899</v>
      </c>
      <c r="Q34" s="50" t="n">
        <f aca="false">Q33*(1+Dashboard!$F11)+Dashboard!$F28*12</f>
        <v>1304120.33282392</v>
      </c>
      <c r="R34" s="50" t="n">
        <f aca="false">Dashboard!$F6*Dashboard!$F9+O34+U34*31</f>
        <v>1512520.34532535</v>
      </c>
      <c r="S34" s="48" t="n">
        <f aca="false">Q34-MAX(Q34-(Dashboard!$C8+Dashboard!$C6*Dashboard!$C19+Dashboard!$F6*Dashboard!$F9),0)*Dashboard!$F12</f>
        <v>1126502.28290033</v>
      </c>
      <c r="T34" s="50" t="n">
        <f aca="false">Dashboard!$F6*(1+Dashboard!$F7)^(31-1)*12</f>
        <v>72817.8741356899</v>
      </c>
      <c r="U34" s="50" t="n">
        <f aca="false">Dashboard!$F8*12</f>
        <v>240</v>
      </c>
    </row>
    <row r="35" customFormat="false" ht="15" hidden="false" customHeight="true" outlineLevel="0" collapsed="false">
      <c r="A35" s="51" t="n">
        <v>32</v>
      </c>
      <c r="B35" s="52" t="n">
        <f aca="false">B34*(1+Dashboard!$C21)</f>
        <v>1503353.79316004</v>
      </c>
      <c r="C35" s="52" t="n">
        <f aca="false">MAX((Dashboard!$C6-Dashboard!$C8)*(1+Dashboard!$C10/12)^(32*12)-Dashboard!$C26*((1+Dashboard!$C10/12)^(32*12)-1)/(Dashboard!$C10/12),0)</f>
        <v>3732959.05528552</v>
      </c>
      <c r="D35" s="52" t="n">
        <f aca="false">I35+J35+K35+L35+M35</f>
        <v>34873.7834495208</v>
      </c>
      <c r="E35" s="52" t="n">
        <f aca="false">E34+(D35-(C34-C35))</f>
        <v>4043312.36586421</v>
      </c>
      <c r="F35" s="52" t="n">
        <f aca="false">(Dashboard!$C6-Dashboard!$C8)-C35</f>
        <v>-3332959.05528552</v>
      </c>
      <c r="G35" s="52" t="n">
        <f aca="false">G34+D35</f>
        <v>825353.310578687</v>
      </c>
      <c r="H35" s="47" t="n">
        <f aca="false">B35*(1-Dashboard!$C20)-C35</f>
        <v>-2319806.48971509</v>
      </c>
      <c r="I35" s="52" t="n">
        <f aca="false">IF(C34&gt;0,Dashboard!$C26*12,0)</f>
        <v>0</v>
      </c>
      <c r="J35" s="52" t="n">
        <f aca="false">B35*Dashboard!$C13</f>
        <v>18040.2455179204</v>
      </c>
      <c r="K35" s="52" t="n">
        <f aca="false">Dashboard!$C14*12</f>
        <v>1800</v>
      </c>
      <c r="L35" s="52" t="n">
        <f aca="false">B35*Dashboard!$C16</f>
        <v>15033.5379316004</v>
      </c>
      <c r="M35" s="52" t="n">
        <f aca="false">IF(Dashboard!$C7&lt;0.2,C35*Dashboard!$C17,0)</f>
        <v>0</v>
      </c>
      <c r="N35" s="42"/>
      <c r="O35" s="52" t="n">
        <f aca="false">O34+T35</f>
        <v>1575082.75568511</v>
      </c>
      <c r="P35" s="52" t="n">
        <f aca="false">T35+U35</f>
        <v>75242.4103597606</v>
      </c>
      <c r="Q35" s="52" t="n">
        <f aca="false">Q34*(1+Dashboard!$F11)+Dashboard!$F28*12</f>
        <v>1408449.95944983</v>
      </c>
      <c r="R35" s="52" t="n">
        <f aca="false">Dashboard!$F6*Dashboard!$F9+O35+U35*32</f>
        <v>1587762.75568511</v>
      </c>
      <c r="S35" s="48" t="n">
        <f aca="false">Q35-MAX(Q35-(Dashboard!$C8+Dashboard!$C6*Dashboard!$C19+Dashboard!$F6*Dashboard!$F9),0)*Dashboard!$F12</f>
        <v>1215182.46553236</v>
      </c>
      <c r="T35" s="52" t="n">
        <f aca="false">Dashboard!$F6*(1+Dashboard!$F7)^(32-1)*12</f>
        <v>75002.4103597606</v>
      </c>
      <c r="U35" s="52" t="n">
        <f aca="false">Dashboard!$F8*12</f>
        <v>240</v>
      </c>
    </row>
    <row r="36" customFormat="false" ht="15" hidden="false" customHeight="true" outlineLevel="0" collapsed="false">
      <c r="A36" s="49" t="n">
        <v>33</v>
      </c>
      <c r="B36" s="50" t="n">
        <f aca="false">B35*(1+Dashboard!$C21)</f>
        <v>1555971.17592064</v>
      </c>
      <c r="C36" s="50" t="n">
        <f aca="false">MAX((Dashboard!$C6-Dashboard!$C8)*(1+Dashboard!$C10/12)^(33*12)-Dashboard!$C26*((1+Dashboard!$C10/12)^(33*12)-1)/(Dashboard!$C10/12),0)</f>
        <v>4002814.96722513</v>
      </c>
      <c r="D36" s="50" t="n">
        <f aca="false">I36+J36+K36+L36+M36</f>
        <v>36031.365870254</v>
      </c>
      <c r="E36" s="50" t="n">
        <f aca="false">E35+(D36-(C35-C36))</f>
        <v>4349199.64367408</v>
      </c>
      <c r="F36" s="50" t="n">
        <f aca="false">(Dashboard!$C6-Dashboard!$C8)-C36</f>
        <v>-3602814.96722513</v>
      </c>
      <c r="G36" s="50" t="n">
        <f aca="false">G35+D36</f>
        <v>861384.676448941</v>
      </c>
      <c r="H36" s="47" t="n">
        <f aca="false">B36*(1-Dashboard!$C20)-C36</f>
        <v>-2540202.06185973</v>
      </c>
      <c r="I36" s="50" t="n">
        <f aca="false">IF(C35&gt;0,Dashboard!$C26*12,0)</f>
        <v>0</v>
      </c>
      <c r="J36" s="50" t="n">
        <f aca="false">B36*Dashboard!$C13</f>
        <v>18671.6541110476</v>
      </c>
      <c r="K36" s="50" t="n">
        <f aca="false">Dashboard!$C14*12</f>
        <v>1800</v>
      </c>
      <c r="L36" s="50" t="n">
        <f aca="false">B36*Dashboard!$C16</f>
        <v>15559.7117592064</v>
      </c>
      <c r="M36" s="50" t="n">
        <f aca="false">IF(Dashboard!$C7&lt;0.2,C36*Dashboard!$C17,0)</f>
        <v>0</v>
      </c>
      <c r="N36" s="42"/>
      <c r="O36" s="50" t="n">
        <f aca="false">O35+T36</f>
        <v>1652335.23835566</v>
      </c>
      <c r="P36" s="50" t="n">
        <f aca="false">T36+U36</f>
        <v>77492.4826705534</v>
      </c>
      <c r="Q36" s="50" t="n">
        <f aca="false">Q35*(1+Dashboard!$F11)+Dashboard!$F28*12</f>
        <v>1521125.95620582</v>
      </c>
      <c r="R36" s="50" t="n">
        <f aca="false">Dashboard!$F6*Dashboard!$F9+O36+U36*33</f>
        <v>1665255.23835566</v>
      </c>
      <c r="S36" s="48" t="n">
        <f aca="false">Q36-MAX(Q36-(Dashboard!$C8+Dashboard!$C6*Dashboard!$C19+Dashboard!$F6*Dashboard!$F9),0)*Dashboard!$F12</f>
        <v>1310957.06277495</v>
      </c>
      <c r="T36" s="50" t="n">
        <f aca="false">Dashboard!$F6*(1+Dashboard!$F7)^(33-1)*12</f>
        <v>77252.4826705534</v>
      </c>
      <c r="U36" s="50" t="n">
        <f aca="false">Dashboard!$F8*12</f>
        <v>240</v>
      </c>
    </row>
    <row r="37" customFormat="false" ht="15" hidden="false" customHeight="true" outlineLevel="0" collapsed="false">
      <c r="A37" s="51" t="n">
        <v>34</v>
      </c>
      <c r="B37" s="52" t="n">
        <f aca="false">B36*(1+Dashboard!$C21)</f>
        <v>1610430.16707786</v>
      </c>
      <c r="C37" s="52" t="n">
        <f aca="false">MAX((Dashboard!$C6-Dashboard!$C8)*(1+Dashboard!$C10/12)^(34*12)-Dashboard!$C26*((1+Dashboard!$C10/12)^(34*12)-1)/(Dashboard!$C10/12),0)</f>
        <v>4292178.78485839</v>
      </c>
      <c r="D37" s="52" t="n">
        <f aca="false">I37+J37+K37+L37+M37</f>
        <v>37229.4636757129</v>
      </c>
      <c r="E37" s="52" t="n">
        <f aca="false">E36+(D37-(C36-C37))</f>
        <v>4675792.92498304</v>
      </c>
      <c r="F37" s="52" t="n">
        <f aca="false">(Dashboard!$C6-Dashboard!$C8)-C37</f>
        <v>-3892178.78485839</v>
      </c>
      <c r="G37" s="52" t="n">
        <f aca="false">G36+D37</f>
        <v>898614.140124654</v>
      </c>
      <c r="H37" s="47" t="n">
        <f aca="false">B37*(1-Dashboard!$C20)-C37</f>
        <v>-2778374.4278052</v>
      </c>
      <c r="I37" s="52" t="n">
        <f aca="false">IF(C36&gt;0,Dashboard!$C26*12,0)</f>
        <v>0</v>
      </c>
      <c r="J37" s="52" t="n">
        <f aca="false">B37*Dashboard!$C13</f>
        <v>19325.1620049343</v>
      </c>
      <c r="K37" s="52" t="n">
        <f aca="false">Dashboard!$C14*12</f>
        <v>1800</v>
      </c>
      <c r="L37" s="52" t="n">
        <f aca="false">B37*Dashboard!$C16</f>
        <v>16104.3016707786</v>
      </c>
      <c r="M37" s="52" t="n">
        <f aca="false">IF(Dashboard!$C7&lt;0.2,C37*Dashboard!$C17,0)</f>
        <v>0</v>
      </c>
      <c r="N37" s="42"/>
      <c r="O37" s="52" t="n">
        <f aca="false">O36+T37</f>
        <v>1731905.29550633</v>
      </c>
      <c r="P37" s="52" t="n">
        <f aca="false">T37+U37</f>
        <v>79810.05715067</v>
      </c>
      <c r="Q37" s="52" t="n">
        <f aca="false">Q36*(1+Dashboard!$F11)+Dashboard!$F28*12</f>
        <v>1642816.03270229</v>
      </c>
      <c r="R37" s="52" t="n">
        <f aca="false">Dashboard!$F6*Dashboard!$F9+O37+U37*34</f>
        <v>1745065.29550633</v>
      </c>
      <c r="S37" s="48" t="n">
        <f aca="false">Q37-MAX(Q37-(Dashboard!$C8+Dashboard!$C6*Dashboard!$C19+Dashboard!$F6*Dashboard!$F9),0)*Dashboard!$F12</f>
        <v>1414393.62779694</v>
      </c>
      <c r="T37" s="52" t="n">
        <f aca="false">Dashboard!$F6*(1+Dashboard!$F7)^(34-1)*12</f>
        <v>79570.05715067</v>
      </c>
      <c r="U37" s="52" t="n">
        <f aca="false">Dashboard!$F8*12</f>
        <v>240</v>
      </c>
    </row>
    <row r="38" customFormat="false" ht="15" hidden="false" customHeight="true" outlineLevel="0" collapsed="false">
      <c r="A38" s="49" t="n">
        <v>35</v>
      </c>
      <c r="B38" s="50" t="n">
        <f aca="false">B37*(1+Dashboard!$C21)</f>
        <v>1666795.22292558</v>
      </c>
      <c r="C38" s="50" t="n">
        <f aca="false">MAX((Dashboard!$C6-Dashboard!$C8)*(1+Dashboard!$C10/12)^(35*12)-Dashboard!$C26*((1+Dashboard!$C10/12)^(35*12)-1)/(Dashboard!$C10/12),0)</f>
        <v>4602460.73626522</v>
      </c>
      <c r="D38" s="50" t="n">
        <f aca="false">I38+J38+K38+L38+M38</f>
        <v>38469.4949043628</v>
      </c>
      <c r="E38" s="50" t="n">
        <f aca="false">E37+(D38-(C37-C38))</f>
        <v>5024544.37129424</v>
      </c>
      <c r="F38" s="50" t="n">
        <f aca="false">(Dashboard!$C6-Dashboard!$C8)-C38</f>
        <v>-4202460.73626522</v>
      </c>
      <c r="G38" s="50" t="n">
        <f aca="false">G37+D38</f>
        <v>937083.635029017</v>
      </c>
      <c r="H38" s="47" t="n">
        <f aca="false">B38*(1-Dashboard!$C20)-C38</f>
        <v>-3035673.22671517</v>
      </c>
      <c r="I38" s="50" t="n">
        <f aca="false">IF(C37&gt;0,Dashboard!$C26*12,0)</f>
        <v>0</v>
      </c>
      <c r="J38" s="50" t="n">
        <f aca="false">B38*Dashboard!$C13</f>
        <v>20001.542675107</v>
      </c>
      <c r="K38" s="50" t="n">
        <f aca="false">Dashboard!$C14*12</f>
        <v>1800</v>
      </c>
      <c r="L38" s="50" t="n">
        <f aca="false">B38*Dashboard!$C16</f>
        <v>16667.9522292558</v>
      </c>
      <c r="M38" s="50" t="n">
        <f aca="false">IF(Dashboard!$C7&lt;0.2,C38*Dashboard!$C17,0)</f>
        <v>0</v>
      </c>
      <c r="N38" s="42"/>
      <c r="O38" s="50" t="n">
        <f aca="false">O37+T38</f>
        <v>1813862.45437152</v>
      </c>
      <c r="P38" s="50" t="n">
        <f aca="false">T38+U38</f>
        <v>82197.1588651901</v>
      </c>
      <c r="Q38" s="50" t="n">
        <f aca="false">Q37*(1+Dashboard!$F11)+Dashboard!$F28*12</f>
        <v>1774241.31531847</v>
      </c>
      <c r="R38" s="50" t="n">
        <f aca="false">Dashboard!$F6*Dashboard!$F9+O38+U38*35</f>
        <v>1827262.45437152</v>
      </c>
      <c r="S38" s="48" t="n">
        <f aca="false">Q38-MAX(Q38-(Dashboard!$C8+Dashboard!$C6*Dashboard!$C19+Dashboard!$F6*Dashboard!$F9),0)*Dashboard!$F12</f>
        <v>1526105.1180207</v>
      </c>
      <c r="T38" s="50" t="n">
        <f aca="false">Dashboard!$F6*(1+Dashboard!$F7)^(35-1)*12</f>
        <v>81957.1588651901</v>
      </c>
      <c r="U38" s="50" t="n">
        <f aca="false">Dashboard!$F8*12</f>
        <v>240</v>
      </c>
    </row>
    <row r="39" customFormat="false" ht="15" hidden="false" customHeight="true" outlineLevel="0" collapsed="false">
      <c r="A39" s="51" t="n">
        <v>36</v>
      </c>
      <c r="B39" s="52" t="n">
        <f aca="false">B38*(1+Dashboard!$C21)</f>
        <v>1725133.05572798</v>
      </c>
      <c r="C39" s="52" t="n">
        <f aca="false">MAX((Dashboard!$C6-Dashboard!$C8)*(1+Dashboard!$C10/12)^(36*12)-Dashboard!$C26*((1+Dashboard!$C10/12)^(36*12)-1)/(Dashboard!$C10/12),0)</f>
        <v>4935172.99502749</v>
      </c>
      <c r="D39" s="52" t="n">
        <f aca="false">I39+J39+K39+L39+M39</f>
        <v>39752.9272260155</v>
      </c>
      <c r="E39" s="52" t="n">
        <f aca="false">E38+(D39-(C38-C39))</f>
        <v>5397009.55728252</v>
      </c>
      <c r="F39" s="52" t="n">
        <f aca="false">(Dashboard!$C6-Dashboard!$C8)-C39</f>
        <v>-4535172.99502749</v>
      </c>
      <c r="G39" s="52" t="n">
        <f aca="false">G38+D39</f>
        <v>976836.562255033</v>
      </c>
      <c r="H39" s="47" t="n">
        <f aca="false">B39*(1-Dashboard!$C20)-C39</f>
        <v>-3313547.92264319</v>
      </c>
      <c r="I39" s="52" t="n">
        <f aca="false">IF(C38&gt;0,Dashboard!$C26*12,0)</f>
        <v>0</v>
      </c>
      <c r="J39" s="52" t="n">
        <f aca="false">B39*Dashboard!$C13</f>
        <v>20701.5966687358</v>
      </c>
      <c r="K39" s="52" t="n">
        <f aca="false">Dashboard!$C14*12</f>
        <v>1800</v>
      </c>
      <c r="L39" s="52" t="n">
        <f aca="false">B39*Dashboard!$C16</f>
        <v>17251.3305572798</v>
      </c>
      <c r="M39" s="52" t="n">
        <f aca="false">IF(Dashboard!$C7&lt;0.2,C39*Dashboard!$C17,0)</f>
        <v>0</v>
      </c>
      <c r="N39" s="42"/>
      <c r="O39" s="52" t="n">
        <f aca="false">O38+T39</f>
        <v>1898278.32800267</v>
      </c>
      <c r="P39" s="52" t="n">
        <f aca="false">T39+U39</f>
        <v>84655.8736311458</v>
      </c>
      <c r="Q39" s="52" t="n">
        <f aca="false">Q38*(1+Dashboard!$F11)+Dashboard!$F28*12</f>
        <v>1916180.62054395</v>
      </c>
      <c r="R39" s="52" t="n">
        <f aca="false">Dashboard!$F6*Dashboard!$F9+O39+U39*36</f>
        <v>1911918.32800267</v>
      </c>
      <c r="S39" s="48" t="n">
        <f aca="false">Q39-MAX(Q39-(Dashboard!$C8+Dashboard!$C6*Dashboard!$C19+Dashboard!$F6*Dashboard!$F9),0)*Dashboard!$F12</f>
        <v>1646753.52746235</v>
      </c>
      <c r="T39" s="52" t="n">
        <f aca="false">Dashboard!$F6*(1+Dashboard!$F7)^(36-1)*12</f>
        <v>84415.8736311458</v>
      </c>
      <c r="U39" s="52" t="n">
        <f aca="false">Dashboard!$F8*12</f>
        <v>240</v>
      </c>
    </row>
    <row r="40" customFormat="false" ht="15" hidden="false" customHeight="true" outlineLevel="0" collapsed="false">
      <c r="A40" s="49" t="n">
        <v>37</v>
      </c>
      <c r="B40" s="50" t="n">
        <f aca="false">B39*(1+Dashboard!$C21)</f>
        <v>1785512.71267846</v>
      </c>
      <c r="C40" s="50" t="n">
        <f aca="false">MAX((Dashboard!$C6-Dashboard!$C8)*(1+Dashboard!$C10/12)^(37*12)-Dashboard!$C26*((1+Dashboard!$C10/12)^(37*12)-1)/(Dashboard!$C10/12),0)</f>
        <v>5291937.04987754</v>
      </c>
      <c r="D40" s="50" t="n">
        <f aca="false">I40+J40+K40+L40+M40</f>
        <v>41081.2796789261</v>
      </c>
      <c r="E40" s="50" t="n">
        <f aca="false">E39+(D40-(C39-C40))</f>
        <v>5794854.8918115</v>
      </c>
      <c r="F40" s="50" t="n">
        <f aca="false">(Dashboard!$C6-Dashboard!$C8)-C40</f>
        <v>-4891937.04987754</v>
      </c>
      <c r="G40" s="50" t="n">
        <f aca="false">G39+D40</f>
        <v>1017917.84193396</v>
      </c>
      <c r="H40" s="47" t="n">
        <f aca="false">B40*(1-Dashboard!$C20)-C40</f>
        <v>-3613555.09995979</v>
      </c>
      <c r="I40" s="50" t="n">
        <f aca="false">IF(C39&gt;0,Dashboard!$C26*12,0)</f>
        <v>0</v>
      </c>
      <c r="J40" s="50" t="n">
        <f aca="false">B40*Dashboard!$C13</f>
        <v>21426.1525521415</v>
      </c>
      <c r="K40" s="50" t="n">
        <f aca="false">Dashboard!$C14*12</f>
        <v>1800</v>
      </c>
      <c r="L40" s="50" t="n">
        <f aca="false">B40*Dashboard!$C16</f>
        <v>17855.1271267846</v>
      </c>
      <c r="M40" s="50" t="n">
        <f aca="false">IF(Dashboard!$C7&lt;0.2,C40*Dashboard!$C17,0)</f>
        <v>0</v>
      </c>
      <c r="N40" s="42"/>
      <c r="O40" s="50" t="n">
        <f aca="false">O39+T40</f>
        <v>1985226.67784275</v>
      </c>
      <c r="P40" s="50" t="n">
        <f aca="false">T40+U40</f>
        <v>87188.3498400802</v>
      </c>
      <c r="Q40" s="50" t="n">
        <f aca="false">Q39*(1+Dashboard!$F11)+Dashboard!$F28*12</f>
        <v>2069475.07018746</v>
      </c>
      <c r="R40" s="50" t="n">
        <f aca="false">Dashboard!$F6*Dashboard!$F9+O40+U40*37</f>
        <v>1999106.67784275</v>
      </c>
      <c r="S40" s="48" t="n">
        <f aca="false">Q40-MAX(Q40-(Dashboard!$C8+Dashboard!$C6*Dashboard!$C19+Dashboard!$F6*Dashboard!$F9),0)*Dashboard!$F12</f>
        <v>1777053.80965934</v>
      </c>
      <c r="T40" s="50" t="n">
        <f aca="false">Dashboard!$F6*(1+Dashboard!$F7)^(37-1)*12</f>
        <v>86948.3498400802</v>
      </c>
      <c r="U40" s="50" t="n">
        <f aca="false">Dashboard!$F8*12</f>
        <v>240</v>
      </c>
    </row>
    <row r="41" customFormat="false" ht="15" hidden="false" customHeight="true" outlineLevel="0" collapsed="false">
      <c r="A41" s="51" t="n">
        <v>38</v>
      </c>
      <c r="B41" s="52" t="n">
        <f aca="false">B40*(1+Dashboard!$C21)</f>
        <v>1848005.6576222</v>
      </c>
      <c r="C41" s="52" t="n">
        <f aca="false">MAX((Dashboard!$C6-Dashboard!$C8)*(1+Dashboard!$C10/12)^(38*12)-Dashboard!$C26*((1+Dashboard!$C10/12)^(38*12)-1)/(Dashboard!$C10/12),0)</f>
        <v>5674491.6070993</v>
      </c>
      <c r="D41" s="52" t="n">
        <f aca="false">I41+J41+K41+L41+M41</f>
        <v>42456.1244676885</v>
      </c>
      <c r="E41" s="52" t="n">
        <f aca="false">E40+(D41-(C40-C41))</f>
        <v>6219865.57350094</v>
      </c>
      <c r="F41" s="52" t="n">
        <f aca="false">(Dashboard!$C6-Dashboard!$C8)-C41</f>
        <v>-5274491.6070993</v>
      </c>
      <c r="G41" s="52" t="n">
        <f aca="false">G40+D41</f>
        <v>1060373.96640165</v>
      </c>
      <c r="H41" s="47" t="n">
        <f aca="false">B41*(1-Dashboard!$C20)-C41</f>
        <v>-3937366.28893442</v>
      </c>
      <c r="I41" s="52" t="n">
        <f aca="false">IF(C40&gt;0,Dashboard!$C26*12,0)</f>
        <v>0</v>
      </c>
      <c r="J41" s="52" t="n">
        <f aca="false">B41*Dashboard!$C13</f>
        <v>22176.0678914665</v>
      </c>
      <c r="K41" s="52" t="n">
        <f aca="false">Dashboard!$C14*12</f>
        <v>1800</v>
      </c>
      <c r="L41" s="52" t="n">
        <f aca="false">B41*Dashboard!$C16</f>
        <v>18480.056576222</v>
      </c>
      <c r="M41" s="52" t="n">
        <f aca="false">IF(Dashboard!$C7&lt;0.2,C41*Dashboard!$C17,0)</f>
        <v>0</v>
      </c>
      <c r="N41" s="42"/>
      <c r="O41" s="52" t="n">
        <f aca="false">O40+T41</f>
        <v>2074783.47817803</v>
      </c>
      <c r="P41" s="52" t="n">
        <f aca="false">T41+U41</f>
        <v>89796.8003352826</v>
      </c>
      <c r="Q41" s="52" t="n">
        <f aca="false">Q40*(1+Dashboard!$F11)+Dashboard!$F28*12</f>
        <v>2235033.07580246</v>
      </c>
      <c r="R41" s="52" t="n">
        <f aca="false">Dashboard!$F6*Dashboard!$F9+O41+U41*38</f>
        <v>2088903.47817803</v>
      </c>
      <c r="S41" s="48" t="n">
        <f aca="false">Q41-MAX(Q41-(Dashboard!$C8+Dashboard!$C6*Dashboard!$C19+Dashboard!$F6*Dashboard!$F9),0)*Dashboard!$F12</f>
        <v>1917778.11443209</v>
      </c>
      <c r="T41" s="52" t="n">
        <f aca="false">Dashboard!$F6*(1+Dashboard!$F7)^(38-1)*12</f>
        <v>89556.8003352826</v>
      </c>
      <c r="U41" s="52" t="n">
        <f aca="false">Dashboard!$F8*12</f>
        <v>240</v>
      </c>
    </row>
    <row r="42" customFormat="false" ht="15" hidden="false" customHeight="true" outlineLevel="0" collapsed="false">
      <c r="A42" s="49" t="n">
        <v>39</v>
      </c>
      <c r="B42" s="50" t="n">
        <f aca="false">B41*(1+Dashboard!$C21)</f>
        <v>1912685.85563898</v>
      </c>
      <c r="C42" s="50" t="n">
        <f aca="false">MAX((Dashboard!$C6-Dashboard!$C8)*(1+Dashboard!$C10/12)^(39*12)-Dashboard!$C26*((1+Dashboard!$C10/12)^(39*12)-1)/(Dashboard!$C10/12),0)</f>
        <v>6084701.06419454</v>
      </c>
      <c r="D42" s="50" t="n">
        <f aca="false">I42+J42+K42+L42+M42</f>
        <v>43879.0888240576</v>
      </c>
      <c r="E42" s="50" t="n">
        <f aca="false">E41+(D42-(C41-C42))</f>
        <v>6673954.11942024</v>
      </c>
      <c r="F42" s="50" t="n">
        <f aca="false">(Dashboard!$C6-Dashboard!$C8)-C42</f>
        <v>-5684701.06419454</v>
      </c>
      <c r="G42" s="50" t="n">
        <f aca="false">G41+D42</f>
        <v>1104253.0552257</v>
      </c>
      <c r="H42" s="47" t="n">
        <f aca="false">B42*(1-Dashboard!$C20)-C42</f>
        <v>-4286776.35989389</v>
      </c>
      <c r="I42" s="50" t="n">
        <f aca="false">IF(C41&gt;0,Dashboard!$C26*12,0)</f>
        <v>0</v>
      </c>
      <c r="J42" s="50" t="n">
        <f aca="false">B42*Dashboard!$C13</f>
        <v>22952.2302676678</v>
      </c>
      <c r="K42" s="50" t="n">
        <f aca="false">Dashboard!$C14*12</f>
        <v>1800</v>
      </c>
      <c r="L42" s="50" t="n">
        <f aca="false">B42*Dashboard!$C16</f>
        <v>19126.8585563898</v>
      </c>
      <c r="M42" s="50" t="n">
        <f aca="false">IF(Dashboard!$C7&lt;0.2,C42*Dashboard!$C17,0)</f>
        <v>0</v>
      </c>
      <c r="N42" s="42"/>
      <c r="O42" s="50" t="n">
        <f aca="false">O41+T42</f>
        <v>2167026.98252337</v>
      </c>
      <c r="P42" s="50" t="n">
        <f aca="false">T42+U42</f>
        <v>92483.5043453411</v>
      </c>
      <c r="Q42" s="50" t="n">
        <f aca="false">Q41*(1+Dashboard!$F11)+Dashboard!$F28*12</f>
        <v>2413835.72186666</v>
      </c>
      <c r="R42" s="50" t="n">
        <f aca="false">Dashboard!$F6*Dashboard!$F9+O42+U42*39</f>
        <v>2181386.98252337</v>
      </c>
      <c r="S42" s="48" t="n">
        <f aca="false">Q42-MAX(Q42-(Dashboard!$C8+Dashboard!$C6*Dashboard!$C19+Dashboard!$F6*Dashboard!$F9),0)*Dashboard!$F12</f>
        <v>2069760.36358666</v>
      </c>
      <c r="T42" s="50" t="n">
        <f aca="false">Dashboard!$F6*(1+Dashboard!$F7)^(39-1)*12</f>
        <v>92243.5043453411</v>
      </c>
      <c r="U42" s="50" t="n">
        <f aca="false">Dashboard!$F8*12</f>
        <v>240</v>
      </c>
    </row>
    <row r="43" customFormat="false" ht="15" hidden="false" customHeight="true" outlineLevel="0" collapsed="false">
      <c r="A43" s="51" t="n">
        <v>40</v>
      </c>
      <c r="B43" s="52" t="n">
        <f aca="false">B42*(1+Dashboard!$C21)</f>
        <v>1979629.86058635</v>
      </c>
      <c r="C43" s="52" t="n">
        <f aca="false">MAX((Dashboard!$C6-Dashboard!$C8)*(1+Dashboard!$C10/12)^(40*12)-Dashboard!$C26*((1+Dashboard!$C10/12)^(40*12)-1)/(Dashboard!$C10/12),0)</f>
        <v>6524564.59611118</v>
      </c>
      <c r="D43" s="52" t="n">
        <f aca="false">I43+J43+K43+L43+M43</f>
        <v>45351.8569328996</v>
      </c>
      <c r="E43" s="52" t="n">
        <f aca="false">E42+(D43-(C42-C43))</f>
        <v>7159169.50826979</v>
      </c>
      <c r="F43" s="52" t="n">
        <f aca="false">(Dashboard!$C6-Dashboard!$C8)-C43</f>
        <v>-6124564.59611118</v>
      </c>
      <c r="G43" s="52" t="n">
        <f aca="false">G42+D43</f>
        <v>1149604.9121586</v>
      </c>
      <c r="H43" s="47" t="n">
        <f aca="false">B43*(1-Dashboard!$C20)-C43</f>
        <v>-4663712.52716002</v>
      </c>
      <c r="I43" s="52" t="n">
        <f aca="false">IF(C42&gt;0,Dashboard!$C26*12,0)</f>
        <v>0</v>
      </c>
      <c r="J43" s="52" t="n">
        <f aca="false">B43*Dashboard!$C13</f>
        <v>23755.5583270361</v>
      </c>
      <c r="K43" s="52" t="n">
        <f aca="false">Dashboard!$C14*12</f>
        <v>1800</v>
      </c>
      <c r="L43" s="52" t="n">
        <f aca="false">B43*Dashboard!$C16</f>
        <v>19796.2986058635</v>
      </c>
      <c r="M43" s="52" t="n">
        <f aca="false">IF(Dashboard!$C7&lt;0.2,C43*Dashboard!$C17,0)</f>
        <v>0</v>
      </c>
      <c r="N43" s="42"/>
      <c r="O43" s="52" t="n">
        <f aca="false">O42+T43</f>
        <v>2262037.79199908</v>
      </c>
      <c r="P43" s="52" t="n">
        <f aca="false">T43+U43</f>
        <v>95250.8094757013</v>
      </c>
      <c r="Q43" s="52" t="n">
        <f aca="false">Q42*(1+Dashboard!$F11)+Dashboard!$F28*12</f>
        <v>2606942.57961599</v>
      </c>
      <c r="R43" s="52" t="n">
        <f aca="false">Dashboard!$F6*Dashboard!$F9+O43+U43*40</f>
        <v>2276637.79199908</v>
      </c>
      <c r="S43" s="48" t="n">
        <f aca="false">Q43-MAX(Q43-(Dashboard!$C8+Dashboard!$C6*Dashboard!$C19+Dashboard!$F6*Dashboard!$F9),0)*Dashboard!$F12</f>
        <v>2233901.19267359</v>
      </c>
      <c r="T43" s="52" t="n">
        <f aca="false">Dashboard!$F6*(1+Dashboard!$F7)^(40-1)*12</f>
        <v>95010.8094757013</v>
      </c>
      <c r="U43" s="52" t="n">
        <f aca="false">Dashboard!$F8*12</f>
        <v>240</v>
      </c>
    </row>
    <row r="44" customFormat="false" ht="15" hidden="false" customHeight="true" outlineLevel="0" collapsed="false">
      <c r="A44" s="49" t="n">
        <v>41</v>
      </c>
      <c r="B44" s="50" t="n">
        <f aca="false">B43*(1+Dashboard!$C21)</f>
        <v>2048916.90570687</v>
      </c>
      <c r="C44" s="50" t="n">
        <f aca="false">MAX((Dashboard!$C6-Dashboard!$C8)*(1+Dashboard!$C10/12)^(41*12)-Dashboard!$C26*((1+Dashboard!$C10/12)^(41*12)-1)/(Dashboard!$C10/12),0)</f>
        <v>6996225.8983158</v>
      </c>
      <c r="D44" s="50" t="n">
        <f aca="false">I44+J44+K44+L44+M44</f>
        <v>46876.1719255511</v>
      </c>
      <c r="E44" s="50" t="n">
        <f aca="false">E43+(D44-(C43-C44))</f>
        <v>7677706.98239995</v>
      </c>
      <c r="F44" s="50" t="n">
        <f aca="false">(Dashboard!$C6-Dashboard!$C8)-C44</f>
        <v>-6596225.8983158</v>
      </c>
      <c r="G44" s="50" t="n">
        <f aca="false">G43+D44</f>
        <v>1196481.08408416</v>
      </c>
      <c r="H44" s="47" t="n">
        <f aca="false">B44*(1-Dashboard!$C20)-C44</f>
        <v>-5070244.00695134</v>
      </c>
      <c r="I44" s="50" t="n">
        <f aca="false">IF(C43&gt;0,Dashboard!$C26*12,0)</f>
        <v>0</v>
      </c>
      <c r="J44" s="50" t="n">
        <f aca="false">B44*Dashboard!$C13</f>
        <v>24587.0028684824</v>
      </c>
      <c r="K44" s="50" t="n">
        <f aca="false">Dashboard!$C14*12</f>
        <v>1800</v>
      </c>
      <c r="L44" s="50" t="n">
        <f aca="false">B44*Dashboard!$C16</f>
        <v>20489.1690570687</v>
      </c>
      <c r="M44" s="50" t="n">
        <f aca="false">IF(Dashboard!$C7&lt;0.2,C44*Dashboard!$C17,0)</f>
        <v>0</v>
      </c>
      <c r="N44" s="42"/>
      <c r="O44" s="50" t="n">
        <f aca="false">O43+T44</f>
        <v>2359898.92575905</v>
      </c>
      <c r="P44" s="50" t="n">
        <f aca="false">T44+U44</f>
        <v>98101.1337599723</v>
      </c>
      <c r="Q44" s="50" t="n">
        <f aca="false">Q43*(1+Dashboard!$F11)+Dashboard!$F28*12</f>
        <v>2815497.98598527</v>
      </c>
      <c r="R44" s="50" t="n">
        <f aca="false">Dashboard!$F6*Dashboard!$F9+O44+U44*41</f>
        <v>2374738.92575905</v>
      </c>
      <c r="S44" s="48" t="n">
        <f aca="false">Q44-MAX(Q44-(Dashboard!$C8+Dashboard!$C6*Dashboard!$C19+Dashboard!$F6*Dashboard!$F9),0)*Dashboard!$F12</f>
        <v>2411173.28808748</v>
      </c>
      <c r="T44" s="50" t="n">
        <f aca="false">Dashboard!$F6*(1+Dashboard!$F7)^(41-1)*12</f>
        <v>97861.1337599723</v>
      </c>
      <c r="U44" s="50" t="n">
        <f aca="false">Dashboard!$F8*12</f>
        <v>240</v>
      </c>
    </row>
    <row r="45" customFormat="false" ht="15" hidden="false" customHeight="true" outlineLevel="0" collapsed="false">
      <c r="A45" s="51" t="n">
        <v>42</v>
      </c>
      <c r="B45" s="52" t="n">
        <f aca="false">B44*(1+Dashboard!$C21)</f>
        <v>2120628.99740661</v>
      </c>
      <c r="C45" s="52" t="n">
        <f aca="false">MAX((Dashboard!$C6-Dashboard!$C8)*(1+Dashboard!$C10/12)^(42*12)-Dashboard!$C26*((1+Dashboard!$C10/12)^(42*12)-1)/(Dashboard!$C10/12),0)</f>
        <v>7501983.63419354</v>
      </c>
      <c r="D45" s="52" t="n">
        <f aca="false">I45+J45+K45+L45+M45</f>
        <v>48453.8379429454</v>
      </c>
      <c r="E45" s="52" t="n">
        <f aca="false">E44+(D45-(C44-C45))</f>
        <v>8231918.55622064</v>
      </c>
      <c r="F45" s="52" t="n">
        <f aca="false">(Dashboard!$C6-Dashboard!$C8)-C45</f>
        <v>-7101983.63419354</v>
      </c>
      <c r="G45" s="52" t="n">
        <f aca="false">G44+D45</f>
        <v>1244934.9220271</v>
      </c>
      <c r="H45" s="47" t="n">
        <f aca="false">B45*(1-Dashboard!$C20)-C45</f>
        <v>-5508592.37663133</v>
      </c>
      <c r="I45" s="52" t="n">
        <f aca="false">IF(C44&gt;0,Dashboard!$C26*12,0)</f>
        <v>0</v>
      </c>
      <c r="J45" s="52" t="n">
        <f aca="false">B45*Dashboard!$C13</f>
        <v>25447.5479688793</v>
      </c>
      <c r="K45" s="52" t="n">
        <f aca="false">Dashboard!$C14*12</f>
        <v>1800</v>
      </c>
      <c r="L45" s="52" t="n">
        <f aca="false">B45*Dashboard!$C16</f>
        <v>21206.2899740661</v>
      </c>
      <c r="M45" s="52" t="n">
        <f aca="false">IF(Dashboard!$C7&lt;0.2,C45*Dashboard!$C17,0)</f>
        <v>0</v>
      </c>
      <c r="N45" s="42"/>
      <c r="O45" s="52" t="n">
        <f aca="false">O44+T45</f>
        <v>2460695.89353182</v>
      </c>
      <c r="P45" s="52" t="n">
        <f aca="false">T45+U45</f>
        <v>101036.967772772</v>
      </c>
      <c r="Q45" s="52" t="n">
        <f aca="false">Q44*(1+Dashboard!$F11)+Dashboard!$F28*12</f>
        <v>3040737.82486409</v>
      </c>
      <c r="R45" s="52" t="n">
        <f aca="false">Dashboard!$F6*Dashboard!$F9+O45+U45*42</f>
        <v>2475775.89353182</v>
      </c>
      <c r="S45" s="48" t="n">
        <f aca="false">Q45-MAX(Q45-(Dashboard!$C8+Dashboard!$C6*Dashboard!$C19+Dashboard!$F6*Dashboard!$F9),0)*Dashboard!$F12</f>
        <v>2602627.15113448</v>
      </c>
      <c r="T45" s="52" t="n">
        <f aca="false">Dashboard!$F6*(1+Dashboard!$F7)^(42-1)*12</f>
        <v>100796.967772772</v>
      </c>
      <c r="U45" s="52" t="n">
        <f aca="false">Dashboard!$F8*12</f>
        <v>240</v>
      </c>
    </row>
    <row r="46" customFormat="false" ht="15" hidden="false" customHeight="true" outlineLevel="0" collapsed="false">
      <c r="A46" s="49" t="n">
        <v>43</v>
      </c>
      <c r="B46" s="50" t="n">
        <f aca="false">B45*(1+Dashboard!$C21)</f>
        <v>2194851.01231584</v>
      </c>
      <c r="C46" s="50" t="n">
        <f aca="false">MAX((Dashboard!$C6-Dashboard!$C8)*(1+Dashboard!$C10/12)^(43*12)-Dashboard!$C26*((1+Dashboard!$C10/12)^(43*12)-1)/(Dashboard!$C10/12),0)</f>
        <v>8044302.63769155</v>
      </c>
      <c r="D46" s="50" t="n">
        <f aca="false">I46+J46+K46+L46+M46</f>
        <v>50086.7222709485</v>
      </c>
      <c r="E46" s="50" t="n">
        <f aca="false">E45+(D46-(C45-C46))</f>
        <v>8824324.2819896</v>
      </c>
      <c r="F46" s="50" t="n">
        <f aca="false">(Dashboard!$C6-Dashboard!$C8)-C46</f>
        <v>-7644302.63769155</v>
      </c>
      <c r="G46" s="50" t="n">
        <f aca="false">G45+D46</f>
        <v>1295021.64429805</v>
      </c>
      <c r="H46" s="47" t="n">
        <f aca="false">B46*(1-Dashboard!$C20)-C46</f>
        <v>-5981142.68611466</v>
      </c>
      <c r="I46" s="50" t="n">
        <f aca="false">IF(C45&gt;0,Dashboard!$C26*12,0)</f>
        <v>0</v>
      </c>
      <c r="J46" s="50" t="n">
        <f aca="false">B46*Dashboard!$C13</f>
        <v>26338.2121477901</v>
      </c>
      <c r="K46" s="50" t="n">
        <f aca="false">Dashboard!$C14*12</f>
        <v>1800</v>
      </c>
      <c r="L46" s="50" t="n">
        <f aca="false">B46*Dashboard!$C16</f>
        <v>21948.5101231584</v>
      </c>
      <c r="M46" s="50" t="n">
        <f aca="false">IF(Dashboard!$C7&lt;0.2,C46*Dashboard!$C17,0)</f>
        <v>0</v>
      </c>
      <c r="N46" s="42"/>
      <c r="O46" s="50" t="n">
        <f aca="false">O45+T46</f>
        <v>2564516.77033777</v>
      </c>
      <c r="P46" s="50" t="n">
        <f aca="false">T46+U46</f>
        <v>104060.876805955</v>
      </c>
      <c r="Q46" s="50" t="n">
        <f aca="false">Q45*(1+Dashboard!$F11)+Dashboard!$F28*12</f>
        <v>3283996.85085322</v>
      </c>
      <c r="R46" s="50" t="n">
        <f aca="false">Dashboard!$F6*Dashboard!$F9+O46+U46*43</f>
        <v>2579836.77033777</v>
      </c>
      <c r="S46" s="48" t="n">
        <f aca="false">Q46-MAX(Q46-(Dashboard!$C8+Dashboard!$C6*Dashboard!$C19+Dashboard!$F6*Dashboard!$F9),0)*Dashboard!$F12</f>
        <v>2809397.32322523</v>
      </c>
      <c r="T46" s="50" t="n">
        <f aca="false">Dashboard!$F6*(1+Dashboard!$F7)^(43-1)*12</f>
        <v>103820.876805955</v>
      </c>
      <c r="U46" s="50" t="n">
        <f aca="false">Dashboard!$F8*12</f>
        <v>240</v>
      </c>
    </row>
    <row r="47" customFormat="false" ht="15" hidden="false" customHeight="true" outlineLevel="0" collapsed="false">
      <c r="A47" s="51" t="n">
        <v>44</v>
      </c>
      <c r="B47" s="52" t="n">
        <f aca="false">B46*(1+Dashboard!$C21)</f>
        <v>2271670.79774689</v>
      </c>
      <c r="C47" s="52" t="n">
        <f aca="false">MAX((Dashboard!$C6-Dashboard!$C8)*(1+Dashboard!$C10/12)^(44*12)-Dashboard!$C26*((1+Dashboard!$C10/12)^(44*12)-1)/(Dashboard!$C10/12),0)</f>
        <v>8625825.9258023</v>
      </c>
      <c r="D47" s="52" t="n">
        <f aca="false">I47+J47+K47+L47+M47</f>
        <v>51776.7575504316</v>
      </c>
      <c r="E47" s="52" t="n">
        <f aca="false">E46+(D47-(C46-C47))</f>
        <v>9457624.32765078</v>
      </c>
      <c r="F47" s="52" t="n">
        <f aca="false">(Dashboard!$C6-Dashboard!$C8)-C47</f>
        <v>-8225825.9258023</v>
      </c>
      <c r="G47" s="52" t="n">
        <f aca="false">G46+D47</f>
        <v>1346798.40184848</v>
      </c>
      <c r="H47" s="47" t="n">
        <f aca="false">B47*(1-Dashboard!$C20)-C47</f>
        <v>-6490455.37592022</v>
      </c>
      <c r="I47" s="52" t="n">
        <f aca="false">IF(C46&gt;0,Dashboard!$C26*12,0)</f>
        <v>0</v>
      </c>
      <c r="J47" s="52" t="n">
        <f aca="false">B47*Dashboard!$C13</f>
        <v>27260.0495729627</v>
      </c>
      <c r="K47" s="52" t="n">
        <f aca="false">Dashboard!$C14*12</f>
        <v>1800</v>
      </c>
      <c r="L47" s="52" t="n">
        <f aca="false">B47*Dashboard!$C16</f>
        <v>22716.7079774689</v>
      </c>
      <c r="M47" s="52" t="n">
        <f aca="false">IF(Dashboard!$C7&lt;0.2,C47*Dashboard!$C17,0)</f>
        <v>0</v>
      </c>
      <c r="N47" s="42"/>
      <c r="O47" s="52" t="n">
        <f aca="false">O46+T47</f>
        <v>2671452.27344791</v>
      </c>
      <c r="P47" s="52" t="n">
        <f aca="false">T47+U47</f>
        <v>107175.503110133</v>
      </c>
      <c r="Q47" s="52" t="n">
        <f aca="false">Q46*(1+Dashboard!$F11)+Dashboard!$F28*12</f>
        <v>3546716.59892147</v>
      </c>
      <c r="R47" s="52" t="n">
        <f aca="false">Dashboard!$F6*Dashboard!$F9+O47+U47*44</f>
        <v>2687012.27344791</v>
      </c>
      <c r="S47" s="48" t="n">
        <f aca="false">Q47-MAX(Q47-(Dashboard!$C8+Dashboard!$C6*Dashboard!$C19+Dashboard!$F6*Dashboard!$F9),0)*Dashboard!$F12</f>
        <v>3032709.10908325</v>
      </c>
      <c r="T47" s="52" t="n">
        <f aca="false">Dashboard!$F6*(1+Dashboard!$F7)^(44-1)*12</f>
        <v>106935.503110133</v>
      </c>
      <c r="U47" s="52" t="n">
        <f aca="false">Dashboard!$F8*12</f>
        <v>240</v>
      </c>
    </row>
    <row r="48" customFormat="false" ht="15" hidden="false" customHeight="true" outlineLevel="0" collapsed="false">
      <c r="A48" s="49" t="n">
        <v>45</v>
      </c>
      <c r="B48" s="50" t="n">
        <f aca="false">B47*(1+Dashboard!$C21)</f>
        <v>2351179.27566803</v>
      </c>
      <c r="C48" s="50" t="n">
        <f aca="false">MAX((Dashboard!$C6-Dashboard!$C8)*(1+Dashboard!$C10/12)^(45*12)-Dashboard!$C26*((1+Dashboard!$C10/12)^(45*12)-1)/(Dashboard!$C10/12),0)</f>
        <v>9249387.57943036</v>
      </c>
      <c r="D48" s="50" t="n">
        <f aca="false">I48+J48+K48+L48+M48</f>
        <v>53525.9440646967</v>
      </c>
      <c r="E48" s="50" t="n">
        <f aca="false">E47+(D48-(C47-C48))</f>
        <v>10134711.9253435</v>
      </c>
      <c r="F48" s="50" t="n">
        <f aca="false">(Dashboard!$C6-Dashboard!$C8)-C48</f>
        <v>-8849387.57943036</v>
      </c>
      <c r="G48" s="50" t="n">
        <f aca="false">G47+D48</f>
        <v>1400324.34591318</v>
      </c>
      <c r="H48" s="47" t="n">
        <f aca="false">B48*(1-Dashboard!$C20)-C48</f>
        <v>-7039279.06030241</v>
      </c>
      <c r="I48" s="50" t="n">
        <f aca="false">IF(C47&gt;0,Dashboard!$C26*12,0)</f>
        <v>0</v>
      </c>
      <c r="J48" s="50" t="n">
        <f aca="false">B48*Dashboard!$C13</f>
        <v>28214.1513080164</v>
      </c>
      <c r="K48" s="50" t="n">
        <f aca="false">Dashboard!$C14*12</f>
        <v>1800</v>
      </c>
      <c r="L48" s="50" t="n">
        <f aca="false">B48*Dashboard!$C16</f>
        <v>23511.7927566803</v>
      </c>
      <c r="M48" s="50" t="n">
        <f aca="false">IF(Dashboard!$C7&lt;0.2,C48*Dashboard!$C17,0)</f>
        <v>0</v>
      </c>
      <c r="N48" s="42"/>
      <c r="O48" s="50" t="n">
        <f aca="false">O47+T48</f>
        <v>2781595.84165134</v>
      </c>
      <c r="P48" s="50" t="n">
        <f aca="false">T48+U48</f>
        <v>110383.568203437</v>
      </c>
      <c r="Q48" s="50" t="n">
        <f aca="false">Q47*(1+Dashboard!$F11)+Dashboard!$F28*12</f>
        <v>3830453.92683519</v>
      </c>
      <c r="R48" s="50" t="n">
        <f aca="false">Dashboard!$F6*Dashboard!$F9+O48+U48*45</f>
        <v>2797395.84165134</v>
      </c>
      <c r="S48" s="48" t="n">
        <f aca="false">Q48-MAX(Q48-(Dashboard!$C8+Dashboard!$C6*Dashboard!$C19+Dashboard!$F6*Dashboard!$F9),0)*Dashboard!$F12</f>
        <v>3273885.83780991</v>
      </c>
      <c r="T48" s="50" t="n">
        <f aca="false">Dashboard!$F6*(1+Dashboard!$F7)^(45-1)*12</f>
        <v>110143.568203437</v>
      </c>
      <c r="U48" s="50" t="n">
        <f aca="false">Dashboard!$F8*12</f>
        <v>240</v>
      </c>
    </row>
    <row r="49" customFormat="false" ht="15" hidden="false" customHeight="true" outlineLevel="0" collapsed="false">
      <c r="A49" s="51" t="n">
        <v>46</v>
      </c>
      <c r="B49" s="52" t="n">
        <f aca="false">B48*(1+Dashboard!$C21)</f>
        <v>2433470.55031641</v>
      </c>
      <c r="C49" s="52" t="n">
        <f aca="false">MAX((Dashboard!$C6-Dashboard!$C8)*(1+Dashboard!$C10/12)^(46*12)-Dashboard!$C26*((1+Dashboard!$C10/12)^(46*12)-1)/(Dashboard!$C10/12),0)</f>
        <v>9918026.55541805</v>
      </c>
      <c r="D49" s="52" t="n">
        <f aca="false">I49+J49+K49+L49+M49</f>
        <v>55336.3521069611</v>
      </c>
      <c r="E49" s="52" t="n">
        <f aca="false">E48+(D49-(C48-C49))</f>
        <v>10858687.2534382</v>
      </c>
      <c r="F49" s="52" t="n">
        <f aca="false">(Dashboard!$C6-Dashboard!$C8)-C49</f>
        <v>-9518026.55541805</v>
      </c>
      <c r="G49" s="52" t="n">
        <f aca="false">G48+D49</f>
        <v>1455660.69802014</v>
      </c>
      <c r="H49" s="47" t="n">
        <f aca="false">B49*(1-Dashboard!$C20)-C49</f>
        <v>-7630564.23812062</v>
      </c>
      <c r="I49" s="52" t="n">
        <f aca="false">IF(C48&gt;0,Dashboard!$C26*12,0)</f>
        <v>0</v>
      </c>
      <c r="J49" s="52" t="n">
        <f aca="false">B49*Dashboard!$C13</f>
        <v>29201.646603797</v>
      </c>
      <c r="K49" s="52" t="n">
        <f aca="false">Dashboard!$C14*12</f>
        <v>1800</v>
      </c>
      <c r="L49" s="52" t="n">
        <f aca="false">B49*Dashboard!$C16</f>
        <v>24334.7055031641</v>
      </c>
      <c r="M49" s="52" t="n">
        <f aca="false">IF(Dashboard!$C7&lt;0.2,C49*Dashboard!$C17,0)</f>
        <v>0</v>
      </c>
      <c r="N49" s="42"/>
      <c r="O49" s="52" t="n">
        <f aca="false">O48+T49</f>
        <v>2895043.71690088</v>
      </c>
      <c r="P49" s="52" t="n">
        <f aca="false">T49+U49</f>
        <v>113687.87524954</v>
      </c>
      <c r="Q49" s="52" t="n">
        <f aca="false">Q48*(1+Dashboard!$F11)+Dashboard!$F28*12</f>
        <v>4136890.24098201</v>
      </c>
      <c r="R49" s="52" t="n">
        <f aca="false">Dashboard!$F6*Dashboard!$F9+O49+U49*46</f>
        <v>2911083.71690088</v>
      </c>
      <c r="S49" s="48" t="n">
        <f aca="false">Q49-MAX(Q49-(Dashboard!$C8+Dashboard!$C6*Dashboard!$C19+Dashboard!$F6*Dashboard!$F9),0)*Dashboard!$F12</f>
        <v>3534356.70483471</v>
      </c>
      <c r="T49" s="52" t="n">
        <f aca="false">Dashboard!$F6*(1+Dashboard!$F7)^(46-1)*12</f>
        <v>113447.87524954</v>
      </c>
      <c r="U49" s="52" t="n">
        <f aca="false">Dashboard!$F8*12</f>
        <v>240</v>
      </c>
    </row>
    <row r="50" customFormat="false" ht="15" hidden="false" customHeight="true" outlineLevel="0" collapsed="false">
      <c r="A50" s="49" t="n">
        <v>47</v>
      </c>
      <c r="B50" s="50" t="n">
        <f aca="false">B49*(1+Dashboard!$C21)</f>
        <v>2518642.01957749</v>
      </c>
      <c r="C50" s="50" t="n">
        <f aca="false">MAX((Dashboard!$C6-Dashboard!$C8)*(1+Dashboard!$C10/12)^(47*12)-Dashboard!$C26*((1+Dashboard!$C10/12)^(47*12)-1)/(Dashboard!$C10/12),0)</f>
        <v>10635001.4970435</v>
      </c>
      <c r="D50" s="50" t="n">
        <f aca="false">I50+J50+K50+L50+M50</f>
        <v>57210.1244307048</v>
      </c>
      <c r="E50" s="50" t="n">
        <f aca="false">E49+(D50-(C49-C50))</f>
        <v>11632872.3194944</v>
      </c>
      <c r="F50" s="50" t="n">
        <f aca="false">(Dashboard!$C6-Dashboard!$C8)-C50</f>
        <v>-10235001.4970435</v>
      </c>
      <c r="G50" s="50" t="n">
        <f aca="false">G49+D50</f>
        <v>1512870.82245084</v>
      </c>
      <c r="H50" s="47" t="n">
        <f aca="false">B50*(1-Dashboard!$C20)-C50</f>
        <v>-8267477.99864068</v>
      </c>
      <c r="I50" s="50" t="n">
        <f aca="false">IF(C49&gt;0,Dashboard!$C26*12,0)</f>
        <v>0</v>
      </c>
      <c r="J50" s="50" t="n">
        <f aca="false">B50*Dashboard!$C13</f>
        <v>30223.7042349299</v>
      </c>
      <c r="K50" s="50" t="n">
        <f aca="false">Dashboard!$C14*12</f>
        <v>1800</v>
      </c>
      <c r="L50" s="50" t="n">
        <f aca="false">B50*Dashboard!$C16</f>
        <v>25186.4201957749</v>
      </c>
      <c r="M50" s="50" t="n">
        <f aca="false">IF(Dashboard!$C7&lt;0.2,C50*Dashboard!$C17,0)</f>
        <v>0</v>
      </c>
      <c r="N50" s="42"/>
      <c r="O50" s="50" t="n">
        <f aca="false">O49+T50</f>
        <v>3011895.02840791</v>
      </c>
      <c r="P50" s="50" t="n">
        <f aca="false">T50+U50</f>
        <v>117091.311507027</v>
      </c>
      <c r="Q50" s="50" t="n">
        <f aca="false">Q49*(1+Dashboard!$F11)+Dashboard!$F28*12</f>
        <v>4467841.46026057</v>
      </c>
      <c r="R50" s="50" t="n">
        <f aca="false">Dashboard!$F6*Dashboard!$F9+O50+U50*47</f>
        <v>3028175.02840791</v>
      </c>
      <c r="S50" s="48" t="n">
        <f aca="false">Q50-MAX(Q50-(Dashboard!$C8+Dashboard!$C6*Dashboard!$C19+Dashboard!$F6*Dashboard!$F9),0)*Dashboard!$F12</f>
        <v>3815665.24122148</v>
      </c>
      <c r="T50" s="50" t="n">
        <f aca="false">Dashboard!$F6*(1+Dashboard!$F7)^(47-1)*12</f>
        <v>116851.311507027</v>
      </c>
      <c r="U50" s="50" t="n">
        <f aca="false">Dashboard!$F8*12</f>
        <v>240</v>
      </c>
    </row>
    <row r="51" customFormat="false" ht="15" hidden="false" customHeight="true" outlineLevel="0" collapsed="false">
      <c r="A51" s="51" t="n">
        <v>48</v>
      </c>
      <c r="B51" s="52" t="n">
        <f aca="false">B50*(1+Dashboard!$C21)</f>
        <v>2606794.4902627</v>
      </c>
      <c r="C51" s="52" t="n">
        <f aca="false">MAX((Dashboard!$C6-Dashboard!$C8)*(1+Dashboard!$C10/12)^(48*12)-Dashboard!$C26*((1+Dashboard!$C10/12)^(48*12)-1)/(Dashboard!$C10/12),0)</f>
        <v>11403806.615171</v>
      </c>
      <c r="D51" s="52" t="n">
        <f aca="false">I51+J51+K51+L51+M51</f>
        <v>59149.4787857794</v>
      </c>
      <c r="E51" s="52" t="n">
        <f aca="false">E50+(D51-(C50-C51))</f>
        <v>12460826.9164076</v>
      </c>
      <c r="F51" s="52" t="n">
        <f aca="false">(Dashboard!$C6-Dashboard!$C8)-C51</f>
        <v>-11003806.615171</v>
      </c>
      <c r="G51" s="52" t="n">
        <f aca="false">G50+D51</f>
        <v>1572020.30123662</v>
      </c>
      <c r="H51" s="47" t="n">
        <f aca="false">B51*(1-Dashboard!$C20)-C51</f>
        <v>-8953419.79432404</v>
      </c>
      <c r="I51" s="52" t="n">
        <f aca="false">IF(C50&gt;0,Dashboard!$C26*12,0)</f>
        <v>0</v>
      </c>
      <c r="J51" s="52" t="n">
        <f aca="false">B51*Dashboard!$C13</f>
        <v>31281.5338831524</v>
      </c>
      <c r="K51" s="52" t="n">
        <f aca="false">Dashboard!$C14*12</f>
        <v>1800</v>
      </c>
      <c r="L51" s="52" t="n">
        <f aca="false">B51*Dashboard!$C16</f>
        <v>26067.944902627</v>
      </c>
      <c r="M51" s="52" t="n">
        <f aca="false">IF(Dashboard!$C7&lt;0.2,C51*Dashboard!$C17,0)</f>
        <v>0</v>
      </c>
      <c r="N51" s="42"/>
      <c r="O51" s="52" t="n">
        <f aca="false">O50+T51</f>
        <v>3132251.87926015</v>
      </c>
      <c r="P51" s="52" t="n">
        <f aca="false">T51+U51</f>
        <v>120596.850852237</v>
      </c>
      <c r="Q51" s="52" t="n">
        <f aca="false">Q50*(1+Dashboard!$F11)+Dashboard!$F28*12</f>
        <v>4825268.77708141</v>
      </c>
      <c r="R51" s="52" t="n">
        <f aca="false">Dashboard!$F6*Dashboard!$F9+O51+U51*48</f>
        <v>3148771.87926015</v>
      </c>
      <c r="S51" s="48" t="n">
        <f aca="false">Q51-MAX(Q51-(Dashboard!$C8+Dashboard!$C6*Dashboard!$C19+Dashboard!$F6*Dashboard!$F9),0)*Dashboard!$F12</f>
        <v>4119478.4605192</v>
      </c>
      <c r="T51" s="52" t="n">
        <f aca="false">Dashboard!$F6*(1+Dashboard!$F7)^(48-1)*12</f>
        <v>120356.850852237</v>
      </c>
      <c r="U51" s="52" t="n">
        <f aca="false">Dashboard!$F8*12</f>
        <v>240</v>
      </c>
    </row>
    <row r="52" customFormat="false" ht="15" hidden="false" customHeight="true" outlineLevel="0" collapsed="false">
      <c r="A52" s="49" t="n">
        <v>49</v>
      </c>
      <c r="B52" s="50" t="n">
        <f aca="false">B51*(1+Dashboard!$C21)</f>
        <v>2698032.2974219</v>
      </c>
      <c r="C52" s="50" t="n">
        <f aca="false">MAX((Dashboard!$C6-Dashboard!$C8)*(1+Dashboard!$C10/12)^(49*12)-Dashboard!$C26*((1+Dashboard!$C10/12)^(49*12)-1)/(Dashboard!$C10/12),0)</f>
        <v>12228188.7174506</v>
      </c>
      <c r="D52" s="50" t="n">
        <f aca="false">I52+J52+K52+L52+M52</f>
        <v>61156.7105432817</v>
      </c>
      <c r="E52" s="50" t="n">
        <f aca="false">E51+(D52-(C51-C52))</f>
        <v>13346365.7292305</v>
      </c>
      <c r="F52" s="50" t="n">
        <f aca="false">(Dashboard!$C6-Dashboard!$C8)-C52</f>
        <v>-11828188.7174506</v>
      </c>
      <c r="G52" s="50" t="n">
        <f aca="false">G51+D52</f>
        <v>1633177.0117799</v>
      </c>
      <c r="H52" s="47" t="n">
        <f aca="false">B52*(1-Dashboard!$C20)-C52</f>
        <v>-9692038.35787399</v>
      </c>
      <c r="I52" s="50" t="n">
        <f aca="false">IF(C51&gt;0,Dashboard!$C26*12,0)</f>
        <v>0</v>
      </c>
      <c r="J52" s="50" t="n">
        <f aca="false">B52*Dashboard!$C13</f>
        <v>32376.3875690627</v>
      </c>
      <c r="K52" s="50" t="n">
        <f aca="false">Dashboard!$C14*12</f>
        <v>1800</v>
      </c>
      <c r="L52" s="50" t="n">
        <f aca="false">B52*Dashboard!$C16</f>
        <v>26980.322974219</v>
      </c>
      <c r="M52" s="50" t="n">
        <f aca="false">IF(Dashboard!$C7&lt;0.2,C52*Dashboard!$C17,0)</f>
        <v>0</v>
      </c>
      <c r="N52" s="42"/>
      <c r="O52" s="50" t="n">
        <f aca="false">O51+T52</f>
        <v>3256219.43563795</v>
      </c>
      <c r="P52" s="50" t="n">
        <f aca="false">T52+U52</f>
        <v>124207.556377805</v>
      </c>
      <c r="Q52" s="50" t="n">
        <f aca="false">Q51*(1+Dashboard!$F11)+Dashboard!$F28*12</f>
        <v>5211290.27924793</v>
      </c>
      <c r="R52" s="50" t="n">
        <f aca="false">Dashboard!$F6*Dashboard!$F9+O52+U52*49</f>
        <v>3272979.43563795</v>
      </c>
      <c r="S52" s="48" t="n">
        <f aca="false">Q52-MAX(Q52-(Dashboard!$C8+Dashboard!$C6*Dashboard!$C19+Dashboard!$F6*Dashboard!$F9),0)*Dashboard!$F12</f>
        <v>4447596.73736074</v>
      </c>
      <c r="T52" s="50" t="n">
        <f aca="false">Dashboard!$F6*(1+Dashboard!$F7)^(49-1)*12</f>
        <v>123967.556377805</v>
      </c>
      <c r="U52" s="50" t="n">
        <f aca="false">Dashboard!$F8*12</f>
        <v>240</v>
      </c>
    </row>
    <row r="53" customFormat="false" ht="15" hidden="false" customHeight="true" outlineLevel="0" collapsed="false">
      <c r="A53" s="51" t="n">
        <v>50</v>
      </c>
      <c r="B53" s="52" t="n">
        <f aca="false">B52*(1+Dashboard!$C21)</f>
        <v>2792463.42783166</v>
      </c>
      <c r="C53" s="52" t="n">
        <f aca="false">MAX((Dashboard!$C6-Dashboard!$C8)*(1+Dashboard!$C10/12)^(50*12)-Dashboard!$C26*((1+Dashboard!$C10/12)^(50*12)-1)/(Dashboard!$C10/12),0)</f>
        <v>13112165.4685604</v>
      </c>
      <c r="D53" s="52" t="n">
        <f aca="false">I53+J53+K53+L53+M53</f>
        <v>63234.1954122965</v>
      </c>
      <c r="E53" s="52" t="n">
        <f aca="false">E52+(D53-(C52-C53))</f>
        <v>14293576.6757526</v>
      </c>
      <c r="F53" s="52" t="n">
        <f aca="false">(Dashboard!$C6-Dashboard!$C8)-C53</f>
        <v>-12712165.4685604</v>
      </c>
      <c r="G53" s="52" t="n">
        <f aca="false">G52+D53</f>
        <v>1696411.2071922</v>
      </c>
      <c r="H53" s="47" t="n">
        <f aca="false">B53*(1-Dashboard!$C20)-C53</f>
        <v>-10487249.8463986</v>
      </c>
      <c r="I53" s="52" t="n">
        <f aca="false">IF(C52&gt;0,Dashboard!$C26*12,0)</f>
        <v>0</v>
      </c>
      <c r="J53" s="52" t="n">
        <f aca="false">B53*Dashboard!$C13</f>
        <v>33509.5611339799</v>
      </c>
      <c r="K53" s="52" t="n">
        <f aca="false">Dashboard!$C14*12</f>
        <v>1800</v>
      </c>
      <c r="L53" s="52" t="n">
        <f aca="false">B53*Dashboard!$C16</f>
        <v>27924.6342783166</v>
      </c>
      <c r="M53" s="52" t="n">
        <f aca="false">IF(Dashboard!$C7&lt;0.2,C53*Dashboard!$C17,0)</f>
        <v>0</v>
      </c>
      <c r="N53" s="42"/>
      <c r="O53" s="52" t="n">
        <f aca="false">O52+T53</f>
        <v>3383906.01870709</v>
      </c>
      <c r="P53" s="52" t="n">
        <f aca="false">T53+U53</f>
        <v>127926.583069139</v>
      </c>
      <c r="Q53" s="52" t="n">
        <f aca="false">Q52*(1+Dashboard!$F11)+Dashboard!$F28*12</f>
        <v>5628193.50158776</v>
      </c>
      <c r="R53" s="52" t="n">
        <f aca="false">Dashboard!$F6*Dashboard!$F9+O53+U53*50</f>
        <v>3400906.01870709</v>
      </c>
      <c r="S53" s="48" t="n">
        <f aca="false">Q53-MAX(Q53-(Dashboard!$C8+Dashboard!$C6*Dashboard!$C19+Dashboard!$F6*Dashboard!$F9),0)*Dashboard!$F12</f>
        <v>4801964.4763496</v>
      </c>
      <c r="T53" s="52" t="n">
        <f aca="false">Dashboard!$F6*(1+Dashboard!$F7)^(50-1)*12</f>
        <v>127686.583069139</v>
      </c>
      <c r="U53" s="52" t="n">
        <f aca="false">Dashboard!$F8*12</f>
        <v>240</v>
      </c>
    </row>
    <row r="54" customFormat="false" ht="15" hidden="false" customHeight="true" outlineLevel="0" collapsed="false">
      <c r="A54" s="49" t="n">
        <v>51</v>
      </c>
      <c r="B54" s="50" t="n">
        <f aca="false">B53*(1+Dashboard!$C21)</f>
        <v>2890199.64780577</v>
      </c>
      <c r="C54" s="50" t="n">
        <f aca="false">MAX((Dashboard!$C6-Dashboard!$C8)*(1+Dashboard!$C10/12)^(51*12)-Dashboard!$C26*((1+Dashboard!$C10/12)^(51*12)-1)/(Dashboard!$C10/12),0)</f>
        <v>14060044.970483</v>
      </c>
      <c r="D54" s="50" t="n">
        <f aca="false">I54+J54+K54+L54+M54</f>
        <v>65384.3922517269</v>
      </c>
      <c r="E54" s="50" t="n">
        <f aca="false">E53+(D54-(C53-C54))</f>
        <v>15306840.5699269</v>
      </c>
      <c r="F54" s="50" t="n">
        <f aca="false">(Dashboard!$C6-Dashboard!$C8)-C54</f>
        <v>-13660044.970483</v>
      </c>
      <c r="G54" s="50" t="n">
        <f aca="false">G53+D54</f>
        <v>1761795.59944393</v>
      </c>
      <c r="H54" s="47" t="n">
        <f aca="false">B54*(1-Dashboard!$C20)-C54</f>
        <v>-11343257.3015455</v>
      </c>
      <c r="I54" s="50" t="n">
        <f aca="false">IF(C53&gt;0,Dashboard!$C26*12,0)</f>
        <v>0</v>
      </c>
      <c r="J54" s="50" t="n">
        <f aca="false">B54*Dashboard!$C13</f>
        <v>34682.3957736692</v>
      </c>
      <c r="K54" s="50" t="n">
        <f aca="false">Dashboard!$C14*12</f>
        <v>1800</v>
      </c>
      <c r="L54" s="50" t="n">
        <f aca="false">B54*Dashboard!$C16</f>
        <v>28901.9964780577</v>
      </c>
      <c r="M54" s="50" t="n">
        <f aca="false">IF(Dashboard!$C7&lt;0.2,C54*Dashboard!$C17,0)</f>
        <v>0</v>
      </c>
      <c r="N54" s="42"/>
      <c r="O54" s="50" t="n">
        <f aca="false">O53+T54</f>
        <v>3515423.1992683</v>
      </c>
      <c r="P54" s="50" t="n">
        <f aca="false">T54+U54</f>
        <v>131757.180561213</v>
      </c>
      <c r="Q54" s="50" t="n">
        <f aca="false">Q53*(1+Dashboard!$F11)+Dashboard!$F28*12</f>
        <v>6078448.98171478</v>
      </c>
      <c r="R54" s="50" t="n">
        <f aca="false">Dashboard!$F6*Dashboard!$F9+O54+U54*51</f>
        <v>3532663.1992683</v>
      </c>
      <c r="S54" s="48" t="n">
        <f aca="false">Q54-MAX(Q54-(Dashboard!$C8+Dashboard!$C6*Dashboard!$C19+Dashboard!$F6*Dashboard!$F9),0)*Dashboard!$F12</f>
        <v>5184681.63445757</v>
      </c>
      <c r="T54" s="50" t="n">
        <f aca="false">Dashboard!$F6*(1+Dashboard!$F7)^(51-1)*12</f>
        <v>131517.180561213</v>
      </c>
      <c r="U54" s="50" t="n">
        <f aca="false">Dashboard!$F8*12</f>
        <v>240</v>
      </c>
    </row>
    <row r="55" customFormat="false" ht="15" hidden="false" customHeight="true" outlineLevel="0" collapsed="false">
      <c r="A55" s="51" t="n">
        <v>52</v>
      </c>
      <c r="B55" s="52" t="n">
        <f aca="false">B54*(1+Dashboard!$C21)</f>
        <v>2991356.63547897</v>
      </c>
      <c r="C55" s="52" t="n">
        <f aca="false">MAX((Dashboard!$C6-Dashboard!$C8)*(1+Dashboard!$C10/12)^(52*12)-Dashboard!$C26*((1+Dashboard!$C10/12)^(52*12)-1)/(Dashboard!$C10/12),0)</f>
        <v>15076446.7582415</v>
      </c>
      <c r="D55" s="52" t="n">
        <f aca="false">I55+J55+K55+L55+M55</f>
        <v>67609.8459805374</v>
      </c>
      <c r="E55" s="52" t="n">
        <f aca="false">E54+(D55-(C54-C55))</f>
        <v>16390852.203666</v>
      </c>
      <c r="F55" s="52" t="n">
        <f aca="false">(Dashboard!$C6-Dashboard!$C8)-C55</f>
        <v>-14676446.7582415</v>
      </c>
      <c r="G55" s="52" t="n">
        <f aca="false">G54+D55</f>
        <v>1829405.44542447</v>
      </c>
      <c r="H55" s="47" t="n">
        <f aca="false">B55*(1-Dashboard!$C20)-C55</f>
        <v>-12264571.5208913</v>
      </c>
      <c r="I55" s="52" t="n">
        <f aca="false">IF(C54&gt;0,Dashboard!$C26*12,0)</f>
        <v>0</v>
      </c>
      <c r="J55" s="52" t="n">
        <f aca="false">B55*Dashboard!$C13</f>
        <v>35896.2796257477</v>
      </c>
      <c r="K55" s="52" t="n">
        <f aca="false">Dashboard!$C14*12</f>
        <v>1800</v>
      </c>
      <c r="L55" s="52" t="n">
        <f aca="false">B55*Dashboard!$C16</f>
        <v>29913.5663547897</v>
      </c>
      <c r="M55" s="52" t="n">
        <f aca="false">IF(Dashboard!$C7&lt;0.2,C55*Dashboard!$C17,0)</f>
        <v>0</v>
      </c>
      <c r="N55" s="42"/>
      <c r="O55" s="52" t="n">
        <f aca="false">O54+T55</f>
        <v>3650885.89524635</v>
      </c>
      <c r="P55" s="52" t="n">
        <f aca="false">T55+U55</f>
        <v>135702.695978049</v>
      </c>
      <c r="Q55" s="52" t="n">
        <f aca="false">Q54*(1+Dashboard!$F11)+Dashboard!$F28*12</f>
        <v>6564724.90025197</v>
      </c>
      <c r="R55" s="52" t="n">
        <f aca="false">Dashboard!$F6*Dashboard!$F9+O55+U55*52</f>
        <v>3668365.89524635</v>
      </c>
      <c r="S55" s="48" t="n">
        <f aca="false">Q55-MAX(Q55-(Dashboard!$C8+Dashboard!$C6*Dashboard!$C19+Dashboard!$F6*Dashboard!$F9),0)*Dashboard!$F12</f>
        <v>5598016.16521417</v>
      </c>
      <c r="T55" s="52" t="n">
        <f aca="false">Dashboard!$F6*(1+Dashboard!$F7)^(52-1)*12</f>
        <v>135462.695978049</v>
      </c>
      <c r="U55" s="52" t="n">
        <f aca="false">Dashboard!$F8*12</f>
        <v>240</v>
      </c>
    </row>
    <row r="56" customFormat="false" ht="15" hidden="false" customHeight="true" outlineLevel="0" collapsed="false">
      <c r="A56" s="49" t="n">
        <v>53</v>
      </c>
      <c r="B56" s="50" t="n">
        <f aca="false">B55*(1+Dashboard!$C21)</f>
        <v>3096054.11772073</v>
      </c>
      <c r="C56" s="50" t="n">
        <f aca="false">MAX((Dashboard!$C6-Dashboard!$C8)*(1+Dashboard!$C10/12)^(53*12)-Dashboard!$C26*((1+Dashboard!$C10/12)^(53*12)-1)/(Dashboard!$C10/12),0)</f>
        <v>16166324.3134195</v>
      </c>
      <c r="D56" s="50" t="n">
        <f aca="false">I56+J56+K56+L56+M56</f>
        <v>69913.1905898562</v>
      </c>
      <c r="E56" s="50" t="n">
        <f aca="false">E55+(D56-(C55-C56))</f>
        <v>17550642.9494338</v>
      </c>
      <c r="F56" s="50" t="n">
        <f aca="false">(Dashboard!$C6-Dashboard!$C8)-C56</f>
        <v>-15766324.3134195</v>
      </c>
      <c r="G56" s="50" t="n">
        <f aca="false">G55+D56</f>
        <v>1899318.63601432</v>
      </c>
      <c r="H56" s="47" t="n">
        <f aca="false">B56*(1-Dashboard!$C20)-C56</f>
        <v>-13256033.442762</v>
      </c>
      <c r="I56" s="50" t="n">
        <f aca="false">IF(C55&gt;0,Dashboard!$C26*12,0)</f>
        <v>0</v>
      </c>
      <c r="J56" s="50" t="n">
        <f aca="false">B56*Dashboard!$C13</f>
        <v>37152.6494126488</v>
      </c>
      <c r="K56" s="50" t="n">
        <f aca="false">Dashboard!$C14*12</f>
        <v>1800</v>
      </c>
      <c r="L56" s="50" t="n">
        <f aca="false">B56*Dashboard!$C16</f>
        <v>30960.5411772073</v>
      </c>
      <c r="M56" s="50" t="n">
        <f aca="false">IF(Dashboard!$C7&lt;0.2,C56*Dashboard!$C17,0)</f>
        <v>0</v>
      </c>
      <c r="N56" s="42"/>
      <c r="O56" s="50" t="n">
        <f aca="false">O55+T56</f>
        <v>3790412.47210374</v>
      </c>
      <c r="P56" s="50" t="n">
        <f aca="false">T56+U56</f>
        <v>139766.576857391</v>
      </c>
      <c r="Q56" s="50" t="n">
        <f aca="false">Q55*(1+Dashboard!$F11)+Dashboard!$F28*12</f>
        <v>7089902.89227213</v>
      </c>
      <c r="R56" s="50" t="n">
        <f aca="false">Dashboard!$F6*Dashboard!$F9+O56+U56*53</f>
        <v>3808132.47210374</v>
      </c>
      <c r="S56" s="48" t="n">
        <f aca="false">Q56-MAX(Q56-(Dashboard!$C8+Dashboard!$C6*Dashboard!$C19+Dashboard!$F6*Dashboard!$F9),0)*Dashboard!$F12</f>
        <v>6044417.45843131</v>
      </c>
      <c r="T56" s="50" t="n">
        <f aca="false">Dashboard!$F6*(1+Dashboard!$F7)^(53-1)*12</f>
        <v>139526.576857391</v>
      </c>
      <c r="U56" s="50" t="n">
        <f aca="false">Dashboard!$F8*12</f>
        <v>240</v>
      </c>
    </row>
    <row r="57" customFormat="false" ht="15" hidden="false" customHeight="true" outlineLevel="0" collapsed="false">
      <c r="A57" s="51" t="n">
        <v>54</v>
      </c>
      <c r="B57" s="52" t="n">
        <f aca="false">B56*(1+Dashboard!$C21)</f>
        <v>3204416.01184096</v>
      </c>
      <c r="C57" s="52" t="n">
        <f aca="false">MAX((Dashboard!$C6-Dashboard!$C8)*(1+Dashboard!$C10/12)^(54*12)-Dashboard!$C26*((1+Dashboard!$C10/12)^(54*12)-1)/(Dashboard!$C10/12),0)</f>
        <v>17334989.2051847</v>
      </c>
      <c r="D57" s="52" t="n">
        <f aca="false">I57+J57+K57+L57+M57</f>
        <v>72297.1522605011</v>
      </c>
      <c r="E57" s="52" t="n">
        <f aca="false">E56+(D57-(C56-C57))</f>
        <v>18791604.9934596</v>
      </c>
      <c r="F57" s="52" t="n">
        <f aca="false">(Dashboard!$C6-Dashboard!$C8)-C57</f>
        <v>-16934989.2051847</v>
      </c>
      <c r="G57" s="52" t="n">
        <f aca="false">G56+D57</f>
        <v>1971615.78827482</v>
      </c>
      <c r="H57" s="47" t="n">
        <f aca="false">B57*(1-Dashboard!$C20)-C57</f>
        <v>-14322838.1540542</v>
      </c>
      <c r="I57" s="52" t="n">
        <f aca="false">IF(C56&gt;0,Dashboard!$C26*12,0)</f>
        <v>0</v>
      </c>
      <c r="J57" s="52" t="n">
        <f aca="false">B57*Dashboard!$C13</f>
        <v>38452.9921420915</v>
      </c>
      <c r="K57" s="52" t="n">
        <f aca="false">Dashboard!$C14*12</f>
        <v>1800</v>
      </c>
      <c r="L57" s="52" t="n">
        <f aca="false">B57*Dashboard!$C16</f>
        <v>32044.1601184096</v>
      </c>
      <c r="M57" s="52" t="n">
        <f aca="false">IF(Dashboard!$C7&lt;0.2,C57*Dashboard!$C17,0)</f>
        <v>0</v>
      </c>
      <c r="N57" s="42"/>
      <c r="O57" s="52" t="n">
        <f aca="false">O56+T57</f>
        <v>3934124.84626686</v>
      </c>
      <c r="P57" s="52" t="n">
        <f aca="false">T57+U57</f>
        <v>143952.374163112</v>
      </c>
      <c r="Q57" s="52" t="n">
        <f aca="false">Q56*(1+Dashboard!$F11)+Dashboard!$F28*12</f>
        <v>7657095.1236539</v>
      </c>
      <c r="R57" s="52" t="n">
        <f aca="false">Dashboard!$F6*Dashboard!$F9+O57+U57*54</f>
        <v>3952084.84626686</v>
      </c>
      <c r="S57" s="48" t="n">
        <f aca="false">Q57-MAX(Q57-(Dashboard!$C8+Dashboard!$C6*Dashboard!$C19+Dashboard!$F6*Dashboard!$F9),0)*Dashboard!$F12</f>
        <v>6526530.85510581</v>
      </c>
      <c r="T57" s="52" t="n">
        <f aca="false">Dashboard!$F6*(1+Dashboard!$F7)^(54-1)*12</f>
        <v>143712.374163112</v>
      </c>
      <c r="U57" s="52" t="n">
        <f aca="false">Dashboard!$F8*12</f>
        <v>240</v>
      </c>
    </row>
    <row r="58" customFormat="false" ht="15" hidden="false" customHeight="true" outlineLevel="0" collapsed="false">
      <c r="A58" s="49" t="n">
        <v>55</v>
      </c>
      <c r="B58" s="50" t="n">
        <f aca="false">B57*(1+Dashboard!$C21)</f>
        <v>3316570.57225539</v>
      </c>
      <c r="C58" s="50" t="n">
        <f aca="false">MAX((Dashboard!$C6-Dashboard!$C8)*(1+Dashboard!$C10/12)^(55*12)-Dashboard!$C26*((1+Dashboard!$C10/12)^(55*12)-1)/(Dashboard!$C10/12),0)</f>
        <v>18588136.9764695</v>
      </c>
      <c r="D58" s="50" t="n">
        <f aca="false">I58+J58+K58+L58+M58</f>
        <v>74764.5525896187</v>
      </c>
      <c r="E58" s="50" t="n">
        <f aca="false">E57+(D58-(C57-C58))</f>
        <v>20119517.317334</v>
      </c>
      <c r="F58" s="50" t="n">
        <f aca="false">(Dashboard!$C6-Dashboard!$C8)-C58</f>
        <v>-18188136.9764695</v>
      </c>
      <c r="G58" s="50" t="n">
        <f aca="false">G57+D58</f>
        <v>2046380.34086444</v>
      </c>
      <c r="H58" s="47" t="n">
        <f aca="false">B58*(1-Dashboard!$C20)-C58</f>
        <v>-15470560.6385494</v>
      </c>
      <c r="I58" s="50" t="n">
        <f aca="false">IF(C57&gt;0,Dashboard!$C26*12,0)</f>
        <v>0</v>
      </c>
      <c r="J58" s="50" t="n">
        <f aca="false">B58*Dashboard!$C13</f>
        <v>39798.8468670647</v>
      </c>
      <c r="K58" s="50" t="n">
        <f aca="false">Dashboard!$C14*12</f>
        <v>1800</v>
      </c>
      <c r="L58" s="50" t="n">
        <f aca="false">B58*Dashboard!$C16</f>
        <v>33165.7057225539</v>
      </c>
      <c r="M58" s="50" t="n">
        <f aca="false">IF(Dashboard!$C7&lt;0.2,C58*Dashboard!$C17,0)</f>
        <v>0</v>
      </c>
      <c r="N58" s="42"/>
      <c r="O58" s="50" t="n">
        <f aca="false">O57+T58</f>
        <v>4082148.59165486</v>
      </c>
      <c r="P58" s="50" t="n">
        <f aca="false">T58+U58</f>
        <v>148263.745388006</v>
      </c>
      <c r="Q58" s="50" t="n">
        <f aca="false">Q57*(1+Dashboard!$F11)+Dashboard!$F28*12</f>
        <v>8269662.73354621</v>
      </c>
      <c r="R58" s="50" t="n">
        <f aca="false">Dashboard!$F6*Dashboard!$F9+O58+U58*55</f>
        <v>4100348.59165486</v>
      </c>
      <c r="S58" s="48" t="n">
        <f aca="false">Q58-MAX(Q58-(Dashboard!$C8+Dashboard!$C6*Dashboard!$C19+Dashboard!$F6*Dashboard!$F9),0)*Dashboard!$F12</f>
        <v>7047213.32351428</v>
      </c>
      <c r="T58" s="50" t="n">
        <f aca="false">Dashboard!$F6*(1+Dashboard!$F7)^(55-1)*12</f>
        <v>148023.745388006</v>
      </c>
      <c r="U58" s="50" t="n">
        <f aca="false">Dashboard!$F8*12</f>
        <v>240</v>
      </c>
    </row>
    <row r="59" customFormat="false" ht="15" hidden="false" customHeight="true" outlineLevel="0" collapsed="false">
      <c r="A59" s="51" t="n">
        <v>56</v>
      </c>
      <c r="B59" s="52" t="n">
        <f aca="false">B58*(1+Dashboard!$C21)</f>
        <v>3432650.54228433</v>
      </c>
      <c r="C59" s="52" t="n">
        <f aca="false">MAX((Dashboard!$C6-Dashboard!$C8)*(1+Dashboard!$C10/12)^(56*12)-Dashboard!$C26*((1+Dashboard!$C10/12)^(56*12)-1)/(Dashboard!$C10/12),0)</f>
        <v>19931874.9014653</v>
      </c>
      <c r="D59" s="52" t="n">
        <f aca="false">I59+J59+K59+L59+M59</f>
        <v>77318.3119302553</v>
      </c>
      <c r="E59" s="52" t="n">
        <f aca="false">E58+(D59-(C58-C59))</f>
        <v>21540573.55426</v>
      </c>
      <c r="F59" s="52" t="n">
        <f aca="false">(Dashboard!$C6-Dashboard!$C8)-C59</f>
        <v>-19531874.9014653</v>
      </c>
      <c r="G59" s="52" t="n">
        <f aca="false">G58+D59</f>
        <v>2123698.6527947</v>
      </c>
      <c r="H59" s="47" t="n">
        <f aca="false">B59*(1-Dashboard!$C20)-C59</f>
        <v>-16705183.391718</v>
      </c>
      <c r="I59" s="52" t="n">
        <f aca="false">IF(C58&gt;0,Dashboard!$C26*12,0)</f>
        <v>0</v>
      </c>
      <c r="J59" s="52" t="n">
        <f aca="false">B59*Dashboard!$C13</f>
        <v>41191.806507412</v>
      </c>
      <c r="K59" s="52" t="n">
        <f aca="false">Dashboard!$C14*12</f>
        <v>1800</v>
      </c>
      <c r="L59" s="52" t="n">
        <f aca="false">B59*Dashboard!$C16</f>
        <v>34326.5054228433</v>
      </c>
      <c r="M59" s="52" t="n">
        <f aca="false">IF(Dashboard!$C7&lt;0.2,C59*Dashboard!$C17,0)</f>
        <v>0</v>
      </c>
      <c r="N59" s="42"/>
      <c r="O59" s="52" t="n">
        <f aca="false">O58+T59</f>
        <v>4234613.04940451</v>
      </c>
      <c r="P59" s="52" t="n">
        <f aca="false">T59+U59</f>
        <v>152704.457749646</v>
      </c>
      <c r="Q59" s="52" t="n">
        <f aca="false">Q58*(1+Dashboard!$F11)+Dashboard!$F28*12</f>
        <v>8931235.75222991</v>
      </c>
      <c r="R59" s="52" t="n">
        <f aca="false">Dashboard!$F6*Dashboard!$F9+O59+U59*56</f>
        <v>4253053.04940451</v>
      </c>
      <c r="S59" s="48" t="n">
        <f aca="false">Q59-MAX(Q59-(Dashboard!$C8+Dashboard!$C6*Dashboard!$C19+Dashboard!$F6*Dashboard!$F9),0)*Dashboard!$F12</f>
        <v>7609550.38939542</v>
      </c>
      <c r="T59" s="52" t="n">
        <f aca="false">Dashboard!$F6*(1+Dashboard!$F7)^(56-1)*12</f>
        <v>152464.457749646</v>
      </c>
      <c r="U59" s="52" t="n">
        <f aca="false">Dashboard!$F8*12</f>
        <v>240</v>
      </c>
    </row>
    <row r="60" customFormat="false" ht="15" hidden="false" customHeight="true" outlineLevel="0" collapsed="false">
      <c r="A60" s="49" t="n">
        <v>57</v>
      </c>
      <c r="B60" s="50" t="n">
        <f aca="false">B59*(1+Dashboard!$C21)</f>
        <v>3552793.31126428</v>
      </c>
      <c r="C60" s="50" t="n">
        <f aca="false">MAX((Dashboard!$C6-Dashboard!$C8)*(1+Dashboard!$C10/12)^(57*12)-Dashboard!$C26*((1+Dashboard!$C10/12)^(57*12)-1)/(Dashboard!$C10/12),0)</f>
        <v>21372751.7497086</v>
      </c>
      <c r="D60" s="50" t="n">
        <f aca="false">I60+J60+K60+L60+M60</f>
        <v>79961.4528478143</v>
      </c>
      <c r="E60" s="50" t="n">
        <f aca="false">E59+(D60-(C59-C60))</f>
        <v>23061411.8553511</v>
      </c>
      <c r="F60" s="50" t="n">
        <f aca="false">(Dashboard!$C6-Dashboard!$C8)-C60</f>
        <v>-20972751.7497086</v>
      </c>
      <c r="G60" s="50" t="n">
        <f aca="false">G59+D60</f>
        <v>2203660.10564251</v>
      </c>
      <c r="H60" s="47" t="n">
        <f aca="false">B60*(1-Dashboard!$C20)-C60</f>
        <v>-18033126.0371202</v>
      </c>
      <c r="I60" s="50" t="n">
        <f aca="false">IF(C59&gt;0,Dashboard!$C26*12,0)</f>
        <v>0</v>
      </c>
      <c r="J60" s="50" t="n">
        <f aca="false">B60*Dashboard!$C13</f>
        <v>42633.5197351714</v>
      </c>
      <c r="K60" s="50" t="n">
        <f aca="false">Dashboard!$C14*12</f>
        <v>1800</v>
      </c>
      <c r="L60" s="50" t="n">
        <f aca="false">B60*Dashboard!$C16</f>
        <v>35527.9331126428</v>
      </c>
      <c r="M60" s="50" t="n">
        <f aca="false">IF(Dashboard!$C7&lt;0.2,C60*Dashboard!$C17,0)</f>
        <v>0</v>
      </c>
      <c r="N60" s="42"/>
      <c r="O60" s="50" t="n">
        <f aca="false">O59+T60</f>
        <v>4391651.44088665</v>
      </c>
      <c r="P60" s="50" t="n">
        <f aca="false">T60+U60</f>
        <v>157278.391482135</v>
      </c>
      <c r="Q60" s="50" t="n">
        <f aca="false">Q59*(1+Dashboard!$F11)+Dashboard!$F28*12</f>
        <v>9645734.6124083</v>
      </c>
      <c r="R60" s="50" t="n">
        <f aca="false">Dashboard!$F6*Dashboard!$F9+O60+U60*57</f>
        <v>4410331.44088665</v>
      </c>
      <c r="S60" s="48" t="n">
        <f aca="false">Q60-MAX(Q60-(Dashboard!$C8+Dashboard!$C6*Dashboard!$C19+Dashboard!$F6*Dashboard!$F9),0)*Dashboard!$F12</f>
        <v>8216874.42054705</v>
      </c>
      <c r="T60" s="50" t="n">
        <f aca="false">Dashboard!$F6*(1+Dashboard!$F7)^(57-1)*12</f>
        <v>157038.391482135</v>
      </c>
      <c r="U60" s="50" t="n">
        <f aca="false">Dashboard!$F8*12</f>
        <v>240</v>
      </c>
    </row>
    <row r="61" customFormat="false" ht="15" hidden="false" customHeight="true" outlineLevel="0" collapsed="false">
      <c r="A61" s="51" t="n">
        <v>58</v>
      </c>
      <c r="B61" s="52" t="n">
        <f aca="false">B60*(1+Dashboard!$C21)</f>
        <v>3677141.07715853</v>
      </c>
      <c r="C61" s="52" t="n">
        <f aca="false">MAX((Dashboard!$C6-Dashboard!$C8)*(1+Dashboard!$C10/12)^(58*12)-Dashboard!$C26*((1+Dashboard!$C10/12)^(58*12)-1)/(Dashboard!$C10/12),0)</f>
        <v>22917789.7018153</v>
      </c>
      <c r="D61" s="52" t="n">
        <f aca="false">I61+J61+K61+L61+M61</f>
        <v>82697.1036974877</v>
      </c>
      <c r="E61" s="52" t="n">
        <f aca="false">E60+(D61-(C60-C61))</f>
        <v>24689146.9111553</v>
      </c>
      <c r="F61" s="52" t="n">
        <f aca="false">(Dashboard!$C6-Dashboard!$C8)-C61</f>
        <v>-22517789.7018153</v>
      </c>
      <c r="G61" s="52" t="n">
        <f aca="false">G60+D61</f>
        <v>2286357.20934</v>
      </c>
      <c r="H61" s="47" t="n">
        <f aca="false">B61*(1-Dashboard!$C20)-C61</f>
        <v>-19461277.0892863</v>
      </c>
      <c r="I61" s="52" t="n">
        <f aca="false">IF(C60&gt;0,Dashboard!$C26*12,0)</f>
        <v>0</v>
      </c>
      <c r="J61" s="52" t="n">
        <f aca="false">B61*Dashboard!$C13</f>
        <v>44125.6929259024</v>
      </c>
      <c r="K61" s="52" t="n">
        <f aca="false">Dashboard!$C14*12</f>
        <v>1800</v>
      </c>
      <c r="L61" s="52" t="n">
        <f aca="false">B61*Dashboard!$C16</f>
        <v>36771.4107715853</v>
      </c>
      <c r="M61" s="52" t="n">
        <f aca="false">IF(Dashboard!$C7&lt;0.2,C61*Dashboard!$C17,0)</f>
        <v>0</v>
      </c>
      <c r="N61" s="42"/>
      <c r="O61" s="52" t="n">
        <f aca="false">O60+T61</f>
        <v>4553400.98411324</v>
      </c>
      <c r="P61" s="52" t="n">
        <f aca="false">T61+U61</f>
        <v>161989.5432266</v>
      </c>
      <c r="Q61" s="52" t="n">
        <f aca="false">Q60*(1+Dashboard!$F11)+Dashboard!$F28*12</f>
        <v>10417393.381401</v>
      </c>
      <c r="R61" s="52" t="n">
        <f aca="false">Dashboard!$F6*Dashboard!$F9+O61+U61*58</f>
        <v>4572320.98411324</v>
      </c>
      <c r="S61" s="48" t="n">
        <f aca="false">Q61-MAX(Q61-(Dashboard!$C8+Dashboard!$C6*Dashboard!$C19+Dashboard!$F6*Dashboard!$F9),0)*Dashboard!$F12</f>
        <v>8872784.37419082</v>
      </c>
      <c r="T61" s="52" t="n">
        <f aca="false">Dashboard!$F6*(1+Dashboard!$F7)^(58-1)*12</f>
        <v>161749.5432266</v>
      </c>
      <c r="U61" s="52" t="n">
        <f aca="false">Dashboard!$F8*12</f>
        <v>240</v>
      </c>
    </row>
    <row r="62" customFormat="false" ht="15" hidden="false" customHeight="true" outlineLevel="0" collapsed="false">
      <c r="A62" s="49" t="n">
        <v>59</v>
      </c>
      <c r="B62" s="50" t="n">
        <f aca="false">B61*(1+Dashboard!$C21)</f>
        <v>3805841.01485908</v>
      </c>
      <c r="C62" s="50" t="n">
        <f aca="false">MAX((Dashboard!$C6-Dashboard!$C8)*(1+Dashboard!$C10/12)^(59*12)-Dashboard!$C26*((1+Dashboard!$C10/12)^(59*12)-1)/(Dashboard!$C10/12),0)</f>
        <v>24574518.5724057</v>
      </c>
      <c r="D62" s="50" t="n">
        <f aca="false">I62+J62+K62+L62+M62</f>
        <v>85528.5023268998</v>
      </c>
      <c r="E62" s="50" t="n">
        <f aca="false">E61+(D62-(C61-C62))</f>
        <v>26431404.2840726</v>
      </c>
      <c r="F62" s="50" t="n">
        <f aca="false">(Dashboard!$C6-Dashboard!$C8)-C62</f>
        <v>-24174518.5724057</v>
      </c>
      <c r="G62" s="50" t="n">
        <f aca="false">G61+D62</f>
        <v>2371885.7116669</v>
      </c>
      <c r="H62" s="47" t="n">
        <f aca="false">B62*(1-Dashboard!$C20)-C62</f>
        <v>-20997028.0184382</v>
      </c>
      <c r="I62" s="50" t="n">
        <f aca="false">IF(C61&gt;0,Dashboard!$C26*12,0)</f>
        <v>0</v>
      </c>
      <c r="J62" s="50" t="n">
        <f aca="false">B62*Dashboard!$C13</f>
        <v>45670.092178309</v>
      </c>
      <c r="K62" s="50" t="n">
        <f aca="false">Dashboard!$C14*12</f>
        <v>1800</v>
      </c>
      <c r="L62" s="50" t="n">
        <f aca="false">B62*Dashboard!$C16</f>
        <v>38058.4101485908</v>
      </c>
      <c r="M62" s="50" t="n">
        <f aca="false">IF(Dashboard!$C7&lt;0.2,C62*Dashboard!$C17,0)</f>
        <v>0</v>
      </c>
      <c r="N62" s="42"/>
      <c r="O62" s="50" t="n">
        <f aca="false">O61+T62</f>
        <v>4720003.01363664</v>
      </c>
      <c r="P62" s="50" t="n">
        <f aca="false">T62+U62</f>
        <v>166842.029523397</v>
      </c>
      <c r="Q62" s="50" t="n">
        <f aca="false">Q61*(1+Dashboard!$F11)+Dashboard!$F28*12</f>
        <v>11250784.851913</v>
      </c>
      <c r="R62" s="50" t="n">
        <f aca="false">Dashboard!$F6*Dashboard!$F9+O62+U62*59</f>
        <v>4739163.01363664</v>
      </c>
      <c r="S62" s="48" t="n">
        <f aca="false">Q62-MAX(Q62-(Dashboard!$C8+Dashboard!$C6*Dashboard!$C19+Dashboard!$F6*Dashboard!$F9),0)*Dashboard!$F12</f>
        <v>9581167.12412608</v>
      </c>
      <c r="T62" s="50" t="n">
        <f aca="false">Dashboard!$F6*(1+Dashboard!$F7)^(59-1)*12</f>
        <v>166602.029523397</v>
      </c>
      <c r="U62" s="50" t="n">
        <f aca="false">Dashboard!$F8*12</f>
        <v>240</v>
      </c>
    </row>
    <row r="63" customFormat="false" ht="15" hidden="false" customHeight="true" outlineLevel="0" collapsed="false">
      <c r="A63" s="51" t="n">
        <v>60</v>
      </c>
      <c r="B63" s="52" t="n">
        <f aca="false">B62*(1+Dashboard!$C21)</f>
        <v>3939045.45037915</v>
      </c>
      <c r="C63" s="52" t="n">
        <f aca="false">MAX((Dashboard!$C6-Dashboard!$C8)*(1+Dashboard!$C10/12)^(60*12)-Dashboard!$C26*((1+Dashboard!$C10/12)^(60*12)-1)/(Dashboard!$C10/12),0)</f>
        <v>26351012.507008</v>
      </c>
      <c r="D63" s="52" t="n">
        <f aca="false">I63+J63+K63+L63+M63</f>
        <v>88458.9999083413</v>
      </c>
      <c r="E63" s="52" t="n">
        <f aca="false">E62+(D63-(C62-C63))</f>
        <v>28296357.2185832</v>
      </c>
      <c r="F63" s="52" t="n">
        <f aca="false">(Dashboard!$C6-Dashboard!$C8)-C63</f>
        <v>-25951012.507008</v>
      </c>
      <c r="G63" s="52" t="n">
        <f aca="false">G62+D63</f>
        <v>2460344.71157524</v>
      </c>
      <c r="H63" s="47" t="n">
        <f aca="false">B63*(1-Dashboard!$C20)-C63</f>
        <v>-22648309.7836516</v>
      </c>
      <c r="I63" s="52" t="n">
        <f aca="false">IF(C62&gt;0,Dashboard!$C26*12,0)</f>
        <v>0</v>
      </c>
      <c r="J63" s="52" t="n">
        <f aca="false">B63*Dashboard!$C13</f>
        <v>47268.5454045498</v>
      </c>
      <c r="K63" s="52" t="n">
        <f aca="false">Dashboard!$C14*12</f>
        <v>1800</v>
      </c>
      <c r="L63" s="52" t="n">
        <f aca="false">B63*Dashboard!$C16</f>
        <v>39390.4545037915</v>
      </c>
      <c r="M63" s="52" t="n">
        <f aca="false">IF(Dashboard!$C7&lt;0.2,C63*Dashboard!$C17,0)</f>
        <v>0</v>
      </c>
      <c r="N63" s="42"/>
      <c r="O63" s="52" t="n">
        <f aca="false">O62+T63</f>
        <v>4891603.10404574</v>
      </c>
      <c r="P63" s="52" t="n">
        <f aca="false">T63+U63</f>
        <v>171840.090409099</v>
      </c>
      <c r="Q63" s="52" t="n">
        <f aca="false">Q62*(1+Dashboard!$F11)+Dashboard!$F28*12</f>
        <v>12150847.6400661</v>
      </c>
      <c r="R63" s="52" t="n">
        <f aca="false">Dashboard!$F6*Dashboard!$F9+O63+U63*60</f>
        <v>4911003.10404574</v>
      </c>
      <c r="S63" s="48" t="n">
        <f aca="false">Q63-MAX(Q63-(Dashboard!$C8+Dashboard!$C6*Dashboard!$C19+Dashboard!$F6*Dashboard!$F9),0)*Dashboard!$F12</f>
        <v>10346220.4940562</v>
      </c>
      <c r="T63" s="52" t="n">
        <f aca="false">Dashboard!$F6*(1+Dashboard!$F7)^(60-1)*12</f>
        <v>171600.090409099</v>
      </c>
      <c r="U63" s="52" t="n">
        <f aca="false">Dashboard!$F8*12</f>
        <v>240</v>
      </c>
    </row>
    <row r="64" customFormat="false" ht="15" hidden="false" customHeight="true" outlineLevel="0" collapsed="false">
      <c r="A64" s="49" t="n">
        <v>61</v>
      </c>
      <c r="B64" s="50" t="n">
        <f aca="false">B63*(1+Dashboard!$C21)</f>
        <v>4076912.04114242</v>
      </c>
      <c r="C64" s="50" t="n">
        <f aca="false">MAX((Dashboard!$C6-Dashboard!$C8)*(1+Dashboard!$C10/12)^(61*12)-Dashboard!$C26*((1+Dashboard!$C10/12)^(61*12)-1)/(Dashboard!$C10/12),0)</f>
        <v>28255929.3317833</v>
      </c>
      <c r="D64" s="50" t="n">
        <f aca="false">I64+J64+K64+L64+M64</f>
        <v>91492.0649051332</v>
      </c>
      <c r="E64" s="50" t="n">
        <f aca="false">E63+(D64-(C63-C64))</f>
        <v>30292766.1082637</v>
      </c>
      <c r="F64" s="50" t="n">
        <f aca="false">(Dashboard!$C6-Dashboard!$C8)-C64</f>
        <v>-27855929.3317833</v>
      </c>
      <c r="G64" s="50" t="n">
        <f aca="false">G63+D64</f>
        <v>2551836.77648037</v>
      </c>
      <c r="H64" s="47" t="n">
        <f aca="false">B64*(1-Dashboard!$C20)-C64</f>
        <v>-24423632.0131094</v>
      </c>
      <c r="I64" s="50" t="n">
        <f aca="false">IF(C63&gt;0,Dashboard!$C26*12,0)</f>
        <v>0</v>
      </c>
      <c r="J64" s="50" t="n">
        <f aca="false">B64*Dashboard!$C13</f>
        <v>48922.944493709</v>
      </c>
      <c r="K64" s="50" t="n">
        <f aca="false">Dashboard!$C14*12</f>
        <v>1800</v>
      </c>
      <c r="L64" s="50" t="n">
        <f aca="false">B64*Dashboard!$C16</f>
        <v>40769.1204114242</v>
      </c>
      <c r="M64" s="50" t="n">
        <f aca="false">IF(Dashboard!$C7&lt;0.2,C64*Dashboard!$C17,0)</f>
        <v>0</v>
      </c>
      <c r="N64" s="42"/>
      <c r="O64" s="50" t="n">
        <f aca="false">O63+T64</f>
        <v>5068351.19716711</v>
      </c>
      <c r="P64" s="50" t="n">
        <f aca="false">T64+U64</f>
        <v>176988.093121372</v>
      </c>
      <c r="Q64" s="50" t="n">
        <f aca="false">Q63*(1+Dashboard!$F11)+Dashboard!$F28*12</f>
        <v>13122915.4512714</v>
      </c>
      <c r="R64" s="50" t="n">
        <f aca="false">Dashboard!$F6*Dashboard!$F9+O64+U64*61</f>
        <v>5087991.19716711</v>
      </c>
      <c r="S64" s="48" t="n">
        <f aca="false">Q64-MAX(Q64-(Dashboard!$C8+Dashboard!$C6*Dashboard!$C19+Dashboard!$F6*Dashboard!$F9),0)*Dashboard!$F12</f>
        <v>11172478.1335807</v>
      </c>
      <c r="T64" s="50" t="n">
        <f aca="false">Dashboard!$F6*(1+Dashboard!$F7)^(61-1)*12</f>
        <v>176748.093121372</v>
      </c>
      <c r="U64" s="50" t="n">
        <f aca="false">Dashboard!$F8*12</f>
        <v>240</v>
      </c>
    </row>
    <row r="65" customFormat="false" ht="15" hidden="false" customHeight="true" outlineLevel="0" collapsed="false">
      <c r="A65" s="51" t="n">
        <v>62</v>
      </c>
      <c r="B65" s="52" t="n">
        <f aca="false">B64*(1+Dashboard!$C21)</f>
        <v>4219603.9625824</v>
      </c>
      <c r="C65" s="52" t="n">
        <f aca="false">MAX((Dashboard!$C6-Dashboard!$C8)*(1+Dashboard!$C10/12)^(62*12)-Dashboard!$C26*((1+Dashboard!$C10/12)^(62*12)-1)/(Dashboard!$C10/12),0)</f>
        <v>30298552.747846</v>
      </c>
      <c r="D65" s="52" t="n">
        <f aca="false">I65+J65+K65+L65+M65</f>
        <v>94631.2871768129</v>
      </c>
      <c r="E65" s="52" t="n">
        <f aca="false">E64+(D65-(C64-C65))</f>
        <v>32430020.8115032</v>
      </c>
      <c r="F65" s="52" t="n">
        <f aca="false">(Dashboard!$C6-Dashboard!$C8)-C65</f>
        <v>-29898552.747846</v>
      </c>
      <c r="G65" s="52" t="n">
        <f aca="false">G64+D65</f>
        <v>2646468.06365719</v>
      </c>
      <c r="H65" s="47" t="n">
        <f aca="false">B65*(1-Dashboard!$C20)-C65</f>
        <v>-26332125.0230185</v>
      </c>
      <c r="I65" s="52" t="n">
        <f aca="false">IF(C64&gt;0,Dashboard!$C26*12,0)</f>
        <v>0</v>
      </c>
      <c r="J65" s="52" t="n">
        <f aca="false">B65*Dashboard!$C13</f>
        <v>50635.2475509888</v>
      </c>
      <c r="K65" s="52" t="n">
        <f aca="false">Dashboard!$C14*12</f>
        <v>1800</v>
      </c>
      <c r="L65" s="52" t="n">
        <f aca="false">B65*Dashboard!$C16</f>
        <v>42196.039625824</v>
      </c>
      <c r="M65" s="52" t="n">
        <f aca="false">IF(Dashboard!$C7&lt;0.2,C65*Dashboard!$C17,0)</f>
        <v>0</v>
      </c>
      <c r="N65" s="42"/>
      <c r="O65" s="52" t="n">
        <f aca="false">O64+T65</f>
        <v>5250401.73308213</v>
      </c>
      <c r="P65" s="52" t="n">
        <f aca="false">T65+U65</f>
        <v>182290.535915014</v>
      </c>
      <c r="Q65" s="52" t="n">
        <f aca="false">Q64*(1+Dashboard!$F11)+Dashboard!$F28*12</f>
        <v>14172748.6873731</v>
      </c>
      <c r="R65" s="52" t="n">
        <f aca="false">Dashboard!$F6*Dashboard!$F9+O65+U65*62</f>
        <v>5270281.73308213</v>
      </c>
      <c r="S65" s="48" t="n">
        <f aca="false">Q65-MAX(Q65-(Dashboard!$C8+Dashboard!$C6*Dashboard!$C19+Dashboard!$F6*Dashboard!$F9),0)*Dashboard!$F12</f>
        <v>12064836.3842671</v>
      </c>
      <c r="T65" s="52" t="n">
        <f aca="false">Dashboard!$F6*(1+Dashboard!$F7)^(62-1)*12</f>
        <v>182050.535915014</v>
      </c>
      <c r="U65" s="52" t="n">
        <f aca="false">Dashboard!$F8*12</f>
        <v>240</v>
      </c>
    </row>
    <row r="66" customFormat="false" ht="15" hidden="false" customHeight="true" outlineLevel="0" collapsed="false">
      <c r="A66" s="49" t="n">
        <v>63</v>
      </c>
      <c r="B66" s="50" t="n">
        <f aca="false">B65*(1+Dashboard!$C21)</f>
        <v>4367290.10127279</v>
      </c>
      <c r="C66" s="50" t="n">
        <f aca="false">MAX((Dashboard!$C6-Dashboard!$C8)*(1+Dashboard!$C10/12)^(63*12)-Dashboard!$C26*((1+Dashboard!$C10/12)^(63*12)-1)/(Dashboard!$C10/12),0)</f>
        <v>32488837.5758147</v>
      </c>
      <c r="D66" s="50" t="n">
        <f aca="false">I66+J66+K66+L66+M66</f>
        <v>97880.3822280013</v>
      </c>
      <c r="E66" s="50" t="n">
        <f aca="false">E65+(D66-(C65-C66))</f>
        <v>34718186.0216999</v>
      </c>
      <c r="F66" s="50" t="n">
        <f aca="false">(Dashboard!$C6-Dashboard!$C8)-C66</f>
        <v>-32088837.5758147</v>
      </c>
      <c r="G66" s="50" t="n">
        <f aca="false">G65+D66</f>
        <v>2744348.44588519</v>
      </c>
      <c r="H66" s="47" t="n">
        <f aca="false">B66*(1-Dashboard!$C20)-C66</f>
        <v>-28383584.8806183</v>
      </c>
      <c r="I66" s="50" t="n">
        <f aca="false">IF(C65&gt;0,Dashboard!$C26*12,0)</f>
        <v>0</v>
      </c>
      <c r="J66" s="50" t="n">
        <f aca="false">B66*Dashboard!$C13</f>
        <v>52407.4812152734</v>
      </c>
      <c r="K66" s="50" t="n">
        <f aca="false">Dashboard!$C14*12</f>
        <v>1800</v>
      </c>
      <c r="L66" s="50" t="n">
        <f aca="false">B66*Dashboard!$C16</f>
        <v>43672.9010127279</v>
      </c>
      <c r="M66" s="50" t="n">
        <f aca="false">IF(Dashboard!$C7&lt;0.2,C66*Dashboard!$C17,0)</f>
        <v>0</v>
      </c>
      <c r="N66" s="42"/>
      <c r="O66" s="50" t="n">
        <f aca="false">O65+T66</f>
        <v>5437913.78507459</v>
      </c>
      <c r="P66" s="50" t="n">
        <f aca="false">T66+U66</f>
        <v>187752.051992464</v>
      </c>
      <c r="Q66" s="50" t="n">
        <f aca="false">Q65*(1+Dashboard!$F11)+Dashboard!$F28*12</f>
        <v>15306568.5823629</v>
      </c>
      <c r="R66" s="50" t="n">
        <f aca="false">Dashboard!$F6*Dashboard!$F9+O66+U66*63</f>
        <v>5458033.78507459</v>
      </c>
      <c r="S66" s="48" t="n">
        <f aca="false">Q66-MAX(Q66-(Dashboard!$C8+Dashboard!$C6*Dashboard!$C19+Dashboard!$F6*Dashboard!$F9),0)*Dashboard!$F12</f>
        <v>13028583.2950085</v>
      </c>
      <c r="T66" s="50" t="n">
        <f aca="false">Dashboard!$F6*(1+Dashboard!$F7)^(63-1)*12</f>
        <v>187512.051992464</v>
      </c>
      <c r="U66" s="50" t="n">
        <f aca="false">Dashboard!$F8*12</f>
        <v>240</v>
      </c>
    </row>
    <row r="67" customFormat="false" ht="15" hidden="false" customHeight="true" outlineLevel="0" collapsed="false">
      <c r="A67" s="51" t="n">
        <v>64</v>
      </c>
      <c r="B67" s="52" t="n">
        <f aca="false">B66*(1+Dashboard!$C21)</f>
        <v>4520145.25481733</v>
      </c>
      <c r="C67" s="52" t="n">
        <f aca="false">MAX((Dashboard!$C6-Dashboard!$C8)*(1+Dashboard!$C10/12)^(64*12)-Dashboard!$C26*((1+Dashboard!$C10/12)^(64*12)-1)/(Dashboard!$C10/12),0)</f>
        <v>34837458.2710955</v>
      </c>
      <c r="D67" s="52" t="n">
        <f aca="false">I67+J67+K67+L67+M67</f>
        <v>101243.195605981</v>
      </c>
      <c r="E67" s="52" t="n">
        <f aca="false">E66+(D67-(C66-C67))</f>
        <v>37168049.9125867</v>
      </c>
      <c r="F67" s="52" t="n">
        <f aca="false">(Dashboard!$C6-Dashboard!$C8)-C67</f>
        <v>-34437458.2710955</v>
      </c>
      <c r="G67" s="52" t="n">
        <f aca="false">G66+D67</f>
        <v>2845591.64149117</v>
      </c>
      <c r="H67" s="47" t="n">
        <f aca="false">B67*(1-Dashboard!$C20)-C67</f>
        <v>-30588521.7315672</v>
      </c>
      <c r="I67" s="52" t="n">
        <f aca="false">IF(C66&gt;0,Dashboard!$C26*12,0)</f>
        <v>0</v>
      </c>
      <c r="J67" s="52" t="n">
        <f aca="false">B67*Dashboard!$C13</f>
        <v>54241.743057808</v>
      </c>
      <c r="K67" s="52" t="n">
        <f aca="false">Dashboard!$C14*12</f>
        <v>1800</v>
      </c>
      <c r="L67" s="52" t="n">
        <f aca="false">B67*Dashboard!$C16</f>
        <v>45201.4525481733</v>
      </c>
      <c r="M67" s="52" t="n">
        <f aca="false">IF(Dashboard!$C7&lt;0.2,C67*Dashboard!$C17,0)</f>
        <v>0</v>
      </c>
      <c r="N67" s="42"/>
      <c r="O67" s="52" t="n">
        <f aca="false">O66+T67</f>
        <v>5631051.19862683</v>
      </c>
      <c r="P67" s="52" t="n">
        <f aca="false">T67+U67</f>
        <v>193377.413552238</v>
      </c>
      <c r="Q67" s="52" t="n">
        <f aca="false">Q66*(1+Dashboard!$F11)+Dashboard!$F28*12</f>
        <v>16531094.068952</v>
      </c>
      <c r="R67" s="52" t="n">
        <f aca="false">Dashboard!$F6*Dashboard!$F9+O67+U67*64</f>
        <v>5651411.19862683</v>
      </c>
      <c r="S67" s="48" t="n">
        <f aca="false">Q67-MAX(Q67-(Dashboard!$C8+Dashboard!$C6*Dashboard!$C19+Dashboard!$F6*Dashboard!$F9),0)*Dashboard!$F12</f>
        <v>14069429.9586092</v>
      </c>
      <c r="T67" s="52" t="n">
        <f aca="false">Dashboard!$F6*(1+Dashboard!$F7)^(64-1)*12</f>
        <v>193137.413552238</v>
      </c>
      <c r="U67" s="52" t="n">
        <f aca="false">Dashboard!$F8*12</f>
        <v>240</v>
      </c>
    </row>
    <row r="68" customFormat="false" ht="15" hidden="false" customHeight="true" outlineLevel="0" collapsed="false">
      <c r="A68" s="49" t="n">
        <v>65</v>
      </c>
      <c r="B68" s="50" t="n">
        <f aca="false">B67*(1+Dashboard!$C21)</f>
        <v>4678350.33873594</v>
      </c>
      <c r="C68" s="50" t="n">
        <f aca="false">MAX((Dashboard!$C6-Dashboard!$C8)*(1+Dashboard!$C10/12)^(65*12)-Dashboard!$C26*((1+Dashboard!$C10/12)^(65*12)-1)/(Dashboard!$C10/12),0)</f>
        <v>37355860.9463387</v>
      </c>
      <c r="D68" s="50" t="n">
        <f aca="false">I68+J68+K68+L68+M68</f>
        <v>104723.707452191</v>
      </c>
      <c r="E68" s="50" t="n">
        <f aca="false">E67+(D68-(C67-C68))</f>
        <v>39791176.2952821</v>
      </c>
      <c r="F68" s="50" t="n">
        <f aca="false">(Dashboard!$C6-Dashboard!$C8)-C68</f>
        <v>-36955860.9463387</v>
      </c>
      <c r="G68" s="50" t="n">
        <f aca="false">G67+D68</f>
        <v>2950315.34894336</v>
      </c>
      <c r="H68" s="47" t="n">
        <f aca="false">B68*(1-Dashboard!$C20)-C68</f>
        <v>-32958211.6279269</v>
      </c>
      <c r="I68" s="50" t="n">
        <f aca="false">IF(C67&gt;0,Dashboard!$C26*12,0)</f>
        <v>0</v>
      </c>
      <c r="J68" s="50" t="n">
        <f aca="false">B68*Dashboard!$C13</f>
        <v>56140.2040648313</v>
      </c>
      <c r="K68" s="50" t="n">
        <f aca="false">Dashboard!$C14*12</f>
        <v>1800</v>
      </c>
      <c r="L68" s="50" t="n">
        <f aca="false">B68*Dashboard!$C16</f>
        <v>46783.5033873594</v>
      </c>
      <c r="M68" s="50" t="n">
        <f aca="false">IF(Dashboard!$C7&lt;0.2,C68*Dashboard!$C17,0)</f>
        <v>0</v>
      </c>
      <c r="N68" s="42"/>
      <c r="O68" s="50" t="n">
        <f aca="false">O67+T68</f>
        <v>5829982.73458563</v>
      </c>
      <c r="P68" s="50" t="n">
        <f aca="false">T68+U68</f>
        <v>199171.535958805</v>
      </c>
      <c r="Q68" s="50" t="n">
        <f aca="false">Q67*(1+Dashboard!$F11)+Dashboard!$F28*12</f>
        <v>17853581.5944681</v>
      </c>
      <c r="R68" s="50" t="n">
        <f aca="false">Dashboard!$F6*Dashboard!$F9+O68+U68*65</f>
        <v>5850582.73458563</v>
      </c>
      <c r="S68" s="48" t="n">
        <f aca="false">Q68-MAX(Q68-(Dashboard!$C8+Dashboard!$C6*Dashboard!$C19+Dashboard!$F6*Dashboard!$F9),0)*Dashboard!$F12</f>
        <v>15193544.3552979</v>
      </c>
      <c r="T68" s="50" t="n">
        <f aca="false">Dashboard!$F6*(1+Dashboard!$F7)^(65-1)*12</f>
        <v>198931.535958805</v>
      </c>
      <c r="U68" s="50" t="n">
        <f aca="false">Dashboard!$F8*12</f>
        <v>240</v>
      </c>
    </row>
    <row r="69" customFormat="false" ht="15" hidden="false" customHeight="true" outlineLevel="0" collapsed="false">
      <c r="A69" s="51" t="n">
        <v>66</v>
      </c>
      <c r="B69" s="52" t="n">
        <f aca="false">B68*(1+Dashboard!$C21)</f>
        <v>4842092.6005917</v>
      </c>
      <c r="C69" s="52" t="n">
        <f aca="false">MAX((Dashboard!$C6-Dashboard!$C8)*(1+Dashboard!$C10/12)^(66*12)-Dashboard!$C26*((1+Dashboard!$C10/12)^(66*12)-1)/(Dashboard!$C10/12),0)</f>
        <v>40056319.1546039</v>
      </c>
      <c r="D69" s="52" t="n">
        <f aca="false">I69+J69+K69+L69+M69</f>
        <v>108326.037213017</v>
      </c>
      <c r="E69" s="52" t="n">
        <f aca="false">E68+(D69-(C68-C69))</f>
        <v>42599960.5407602</v>
      </c>
      <c r="F69" s="52" t="n">
        <f aca="false">(Dashboard!$C6-Dashboard!$C8)-C69</f>
        <v>-39656319.1546039</v>
      </c>
      <c r="G69" s="52" t="n">
        <f aca="false">G68+D69</f>
        <v>3058641.38615638</v>
      </c>
      <c r="H69" s="47" t="n">
        <f aca="false">B69*(1-Dashboard!$C20)-C69</f>
        <v>-35504752.1100477</v>
      </c>
      <c r="I69" s="52" t="n">
        <f aca="false">IF(C68&gt;0,Dashboard!$C26*12,0)</f>
        <v>0</v>
      </c>
      <c r="J69" s="52" t="n">
        <f aca="false">B69*Dashboard!$C13</f>
        <v>58105.1112071004</v>
      </c>
      <c r="K69" s="52" t="n">
        <f aca="false">Dashboard!$C14*12</f>
        <v>1800</v>
      </c>
      <c r="L69" s="52" t="n">
        <f aca="false">B69*Dashboard!$C16</f>
        <v>48420.926005917</v>
      </c>
      <c r="M69" s="52" t="n">
        <f aca="false">IF(Dashboard!$C7&lt;0.2,C69*Dashboard!$C17,0)</f>
        <v>0</v>
      </c>
      <c r="N69" s="42"/>
      <c r="O69" s="52" t="n">
        <f aca="false">O68+T69</f>
        <v>6034882.2166232</v>
      </c>
      <c r="P69" s="52" t="n">
        <f aca="false">T69+U69</f>
        <v>205139.482037569</v>
      </c>
      <c r="Q69" s="52" t="n">
        <f aca="false">Q68*(1+Dashboard!$F11)+Dashboard!$F28*12</f>
        <v>19281868.1220256</v>
      </c>
      <c r="R69" s="52" t="n">
        <f aca="false">Dashboard!$F6*Dashboard!$F9+O69+U69*66</f>
        <v>6055722.2166232</v>
      </c>
      <c r="S69" s="48" t="n">
        <f aca="false">Q69-MAX(Q69-(Dashboard!$C8+Dashboard!$C6*Dashboard!$C19+Dashboard!$F6*Dashboard!$F9),0)*Dashboard!$F12</f>
        <v>16407587.9037217</v>
      </c>
      <c r="T69" s="52" t="n">
        <f aca="false">Dashboard!$F6*(1+Dashboard!$F7)^(66-1)*12</f>
        <v>204899.482037569</v>
      </c>
      <c r="U69" s="52" t="n">
        <f aca="false">Dashboard!$F8*12</f>
        <v>240</v>
      </c>
    </row>
    <row r="70" customFormat="false" ht="15" hidden="false" customHeight="true" outlineLevel="0" collapsed="false">
      <c r="A70" s="49" t="n">
        <v>67</v>
      </c>
      <c r="B70" s="50" t="n">
        <f aca="false">B69*(1+Dashboard!$C21)</f>
        <v>5011565.84161241</v>
      </c>
      <c r="C70" s="50" t="n">
        <f aca="false">MAX((Dashboard!$C6-Dashboard!$C8)*(1+Dashboard!$C10/12)^(67*12)-Dashboard!$C26*((1+Dashboard!$C10/12)^(67*12)-1)/(Dashboard!$C10/12),0)</f>
        <v>42951993.7050934</v>
      </c>
      <c r="D70" s="50" t="n">
        <f aca="false">I70+J70+K70+L70+M70</f>
        <v>112054.448515473</v>
      </c>
      <c r="E70" s="50" t="n">
        <f aca="false">E69+(D70-(C69-C70))</f>
        <v>45607689.5397652</v>
      </c>
      <c r="F70" s="50" t="n">
        <f aca="false">(Dashboard!$C6-Dashboard!$C8)-C70</f>
        <v>-42551993.7050934</v>
      </c>
      <c r="G70" s="50" t="n">
        <f aca="false">G69+D70</f>
        <v>3170695.83467185</v>
      </c>
      <c r="H70" s="47" t="n">
        <f aca="false">B70*(1-Dashboard!$C20)-C70</f>
        <v>-38241121.8139777</v>
      </c>
      <c r="I70" s="50" t="n">
        <f aca="false">IF(C69&gt;0,Dashboard!$C26*12,0)</f>
        <v>0</v>
      </c>
      <c r="J70" s="50" t="n">
        <f aca="false">B70*Dashboard!$C13</f>
        <v>60138.7900993489</v>
      </c>
      <c r="K70" s="50" t="n">
        <f aca="false">Dashboard!$C14*12</f>
        <v>1800</v>
      </c>
      <c r="L70" s="50" t="n">
        <f aca="false">B70*Dashboard!$C16</f>
        <v>50115.6584161241</v>
      </c>
      <c r="M70" s="50" t="n">
        <f aca="false">IF(Dashboard!$C7&lt;0.2,C70*Dashboard!$C17,0)</f>
        <v>0</v>
      </c>
      <c r="N70" s="42"/>
      <c r="O70" s="50" t="n">
        <f aca="false">O69+T70</f>
        <v>6245928.6831219</v>
      </c>
      <c r="P70" s="50" t="n">
        <f aca="false">T70+U70</f>
        <v>211286.466498696</v>
      </c>
      <c r="Q70" s="50" t="n">
        <f aca="false">Q69*(1+Dashboard!$F11)+Dashboard!$F28*12</f>
        <v>20824417.5717876</v>
      </c>
      <c r="R70" s="50" t="n">
        <f aca="false">Dashboard!$F6*Dashboard!$F9+O70+U70*67</f>
        <v>6267008.6831219</v>
      </c>
      <c r="S70" s="48" t="n">
        <f aca="false">Q70-MAX(Q70-(Dashboard!$C8+Dashboard!$C6*Dashboard!$C19+Dashboard!$F6*Dashboard!$F9),0)*Dashboard!$F12</f>
        <v>17718754.9360195</v>
      </c>
      <c r="T70" s="50" t="n">
        <f aca="false">Dashboard!$F6*(1+Dashboard!$F7)^(67-1)*12</f>
        <v>211046.466498696</v>
      </c>
      <c r="U70" s="50" t="n">
        <f aca="false">Dashboard!$F8*12</f>
        <v>240</v>
      </c>
    </row>
    <row r="71" customFormat="false" ht="15" hidden="false" customHeight="true" outlineLevel="0" collapsed="false">
      <c r="A71" s="51" t="n">
        <v>68</v>
      </c>
      <c r="B71" s="52" t="n">
        <f aca="false">B70*(1+Dashboard!$C21)</f>
        <v>5186970.64606884</v>
      </c>
      <c r="C71" s="52" t="n">
        <f aca="false">MAX((Dashboard!$C6-Dashboard!$C8)*(1+Dashboard!$C10/12)^(68*12)-Dashboard!$C26*((1+Dashboard!$C10/12)^(68*12)-1)/(Dashboard!$C10/12),0)</f>
        <v>46056996.8029711</v>
      </c>
      <c r="D71" s="52" t="n">
        <f aca="false">I71+J71+K71+L71+M71</f>
        <v>115913.354213515</v>
      </c>
      <c r="E71" s="52" t="n">
        <f aca="false">E70+(D71-(C70-C71))</f>
        <v>48828605.9918565</v>
      </c>
      <c r="F71" s="52" t="n">
        <f aca="false">(Dashboard!$C6-Dashboard!$C8)-C71</f>
        <v>-45656996.8029711</v>
      </c>
      <c r="G71" s="52" t="n">
        <f aca="false">G70+D71</f>
        <v>3286609.18888536</v>
      </c>
      <c r="H71" s="47" t="n">
        <f aca="false">B71*(1-Dashboard!$C20)-C71</f>
        <v>-41181244.3956664</v>
      </c>
      <c r="I71" s="52" t="n">
        <f aca="false">IF(C70&gt;0,Dashboard!$C26*12,0)</f>
        <v>0</v>
      </c>
      <c r="J71" s="52" t="n">
        <f aca="false">B71*Dashboard!$C13</f>
        <v>62243.6477528261</v>
      </c>
      <c r="K71" s="52" t="n">
        <f aca="false">Dashboard!$C14*12</f>
        <v>1800</v>
      </c>
      <c r="L71" s="52" t="n">
        <f aca="false">B71*Dashboard!$C16</f>
        <v>51869.7064606884</v>
      </c>
      <c r="M71" s="52" t="n">
        <f aca="false">IF(Dashboard!$C7&lt;0.2,C71*Dashboard!$C17,0)</f>
        <v>0</v>
      </c>
      <c r="N71" s="42"/>
      <c r="O71" s="52" t="n">
        <f aca="false">O70+T71</f>
        <v>6463306.54361556</v>
      </c>
      <c r="P71" s="52" t="n">
        <f aca="false">T71+U71</f>
        <v>217617.860493657</v>
      </c>
      <c r="Q71" s="52" t="n">
        <f aca="false">Q70*(1+Dashboard!$F11)+Dashboard!$F28*12</f>
        <v>22490370.9775306</v>
      </c>
      <c r="R71" s="52" t="n">
        <f aca="false">Dashboard!$F6*Dashboard!$F9+O71+U71*68</f>
        <v>6484626.54361556</v>
      </c>
      <c r="S71" s="48" t="n">
        <f aca="false">Q71-MAX(Q71-(Dashboard!$C8+Dashboard!$C6*Dashboard!$C19+Dashboard!$F6*Dashboard!$F9),0)*Dashboard!$F12</f>
        <v>19134815.330901</v>
      </c>
      <c r="T71" s="52" t="n">
        <f aca="false">Dashboard!$F6*(1+Dashboard!$F7)^(68-1)*12</f>
        <v>217377.860493657</v>
      </c>
      <c r="U71" s="52" t="n">
        <f aca="false">Dashboard!$F8*12</f>
        <v>240</v>
      </c>
    </row>
    <row r="72" customFormat="false" ht="15" hidden="false" customHeight="true" outlineLevel="0" collapsed="false">
      <c r="A72" s="49" t="n">
        <v>69</v>
      </c>
      <c r="B72" s="50" t="n">
        <f aca="false">B71*(1+Dashboard!$C21)</f>
        <v>5368514.61868125</v>
      </c>
      <c r="C72" s="50" t="n">
        <f aca="false">MAX((Dashboard!$C6-Dashboard!$C8)*(1+Dashboard!$C10/12)^(69*12)-Dashboard!$C26*((1+Dashboard!$C10/12)^(69*12)-1)/(Dashboard!$C10/12),0)</f>
        <v>49386460.8258533</v>
      </c>
      <c r="D72" s="50" t="n">
        <f aca="false">I72+J72+K72+L72+M72</f>
        <v>119907.321610988</v>
      </c>
      <c r="E72" s="50" t="n">
        <f aca="false">E71+(D72-(C71-C72))</f>
        <v>52277977.3363496</v>
      </c>
      <c r="F72" s="50" t="n">
        <f aca="false">(Dashboard!$C6-Dashboard!$C8)-C72</f>
        <v>-48986460.8258533</v>
      </c>
      <c r="G72" s="50" t="n">
        <f aca="false">G71+D72</f>
        <v>3406516.51049635</v>
      </c>
      <c r="H72" s="47" t="n">
        <f aca="false">B72*(1-Dashboard!$C20)-C72</f>
        <v>-44340057.0842929</v>
      </c>
      <c r="I72" s="50" t="n">
        <f aca="false">IF(C71&gt;0,Dashboard!$C26*12,0)</f>
        <v>0</v>
      </c>
      <c r="J72" s="50" t="n">
        <f aca="false">B72*Dashboard!$C13</f>
        <v>64422.175424175</v>
      </c>
      <c r="K72" s="50" t="n">
        <f aca="false">Dashboard!$C14*12</f>
        <v>1800</v>
      </c>
      <c r="L72" s="50" t="n">
        <f aca="false">B72*Dashboard!$C16</f>
        <v>53685.1461868125</v>
      </c>
      <c r="M72" s="50" t="n">
        <f aca="false">IF(Dashboard!$C7&lt;0.2,C72*Dashboard!$C17,0)</f>
        <v>0</v>
      </c>
      <c r="N72" s="42"/>
      <c r="O72" s="50" t="n">
        <f aca="false">O71+T72</f>
        <v>6687205.73992402</v>
      </c>
      <c r="P72" s="50" t="n">
        <f aca="false">T72+U72</f>
        <v>224139.196308467</v>
      </c>
      <c r="Q72" s="50" t="n">
        <f aca="false">Q71*(1+Dashboard!$F11)+Dashboard!$F28*12</f>
        <v>24289600.6557331</v>
      </c>
      <c r="R72" s="50" t="n">
        <f aca="false">Dashboard!$F6*Dashboard!$F9+O72+U72*69</f>
        <v>6708765.73992402</v>
      </c>
      <c r="S72" s="48" t="n">
        <f aca="false">Q72-MAX(Q72-(Dashboard!$C8+Dashboard!$C6*Dashboard!$C19+Dashboard!$F6*Dashboard!$F9),0)*Dashboard!$F12</f>
        <v>20664160.5573731</v>
      </c>
      <c r="T72" s="50" t="n">
        <f aca="false">Dashboard!$F6*(1+Dashboard!$F7)^(69-1)*12</f>
        <v>223899.196308467</v>
      </c>
      <c r="U72" s="50" t="n">
        <f aca="false">Dashboard!$F8*12</f>
        <v>240</v>
      </c>
    </row>
    <row r="73" customFormat="false" ht="15" hidden="false" customHeight="true" outlineLevel="0" collapsed="false">
      <c r="A73" s="51" t="n">
        <v>70</v>
      </c>
      <c r="B73" s="52" t="n">
        <f aca="false">B72*(1+Dashboard!$C21)</f>
        <v>5556412.63033509</v>
      </c>
      <c r="C73" s="52" t="n">
        <f aca="false">MAX((Dashboard!$C6-Dashboard!$C8)*(1+Dashboard!$C10/12)^(70*12)-Dashboard!$C26*((1+Dashboard!$C10/12)^(70*12)-1)/(Dashboard!$C10/12),0)</f>
        <v>52956612.0721576</v>
      </c>
      <c r="D73" s="52" t="n">
        <f aca="false">I73+J73+K73+L73+M73</f>
        <v>124041.077867372</v>
      </c>
      <c r="E73" s="52" t="n">
        <f aca="false">E72+(D73-(C72-C73))</f>
        <v>55972169.6605213</v>
      </c>
      <c r="F73" s="52" t="n">
        <f aca="false">(Dashboard!$C6-Dashboard!$C8)-C73</f>
        <v>-52556612.0721576</v>
      </c>
      <c r="G73" s="52" t="n">
        <f aca="false">G72+D73</f>
        <v>3530557.58836372</v>
      </c>
      <c r="H73" s="47" t="n">
        <f aca="false">B73*(1-Dashboard!$C20)-C73</f>
        <v>-47733584.1996426</v>
      </c>
      <c r="I73" s="52" t="n">
        <f aca="false">IF(C72&gt;0,Dashboard!$C26*12,0)</f>
        <v>0</v>
      </c>
      <c r="J73" s="52" t="n">
        <f aca="false">B73*Dashboard!$C13</f>
        <v>66676.9515640211</v>
      </c>
      <c r="K73" s="52" t="n">
        <f aca="false">Dashboard!$C14*12</f>
        <v>1800</v>
      </c>
      <c r="L73" s="52" t="n">
        <f aca="false">B73*Dashboard!$C16</f>
        <v>55564.1263033509</v>
      </c>
      <c r="M73" s="52" t="n">
        <f aca="false">IF(Dashboard!$C7&lt;0.2,C73*Dashboard!$C17,0)</f>
        <v>0</v>
      </c>
      <c r="N73" s="42"/>
      <c r="O73" s="52" t="n">
        <f aca="false">O72+T73</f>
        <v>6917821.91212174</v>
      </c>
      <c r="P73" s="52" t="n">
        <f aca="false">T73+U73</f>
        <v>230856.172197721</v>
      </c>
      <c r="Q73" s="52" t="n">
        <f aca="false">Q72*(1+Dashboard!$F11)+Dashboard!$F28*12</f>
        <v>26232768.7081917</v>
      </c>
      <c r="R73" s="52" t="n">
        <f aca="false">Dashboard!$F6*Dashboard!$F9+O73+U73*70</f>
        <v>6939621.91212174</v>
      </c>
      <c r="S73" s="48" t="n">
        <f aca="false">Q73-MAX(Q73-(Dashboard!$C8+Dashboard!$C6*Dashboard!$C19+Dashboard!$F6*Dashboard!$F9),0)*Dashboard!$F12</f>
        <v>22315853.401963</v>
      </c>
      <c r="T73" s="52" t="n">
        <f aca="false">Dashboard!$F6*(1+Dashboard!$F7)^(70-1)*12</f>
        <v>230616.172197721</v>
      </c>
      <c r="U73" s="52" t="n">
        <f aca="false">Dashboard!$F8*12</f>
        <v>240</v>
      </c>
    </row>
    <row r="74" customFormat="false" ht="15" hidden="false" customHeight="true" outlineLevel="0" collapsed="false">
      <c r="A74" s="49" t="n">
        <v>71</v>
      </c>
      <c r="B74" s="50" t="n">
        <f aca="false">B73*(1+Dashboard!$C21)</f>
        <v>5750887.07239682</v>
      </c>
      <c r="C74" s="50" t="n">
        <f aca="false">MAX((Dashboard!$C6-Dashboard!$C8)*(1+Dashboard!$C10/12)^(71*12)-Dashboard!$C26*((1+Dashboard!$C10/12)^(71*12)-1)/(Dashboard!$C10/12),0)</f>
        <v>56784849.8407261</v>
      </c>
      <c r="D74" s="50" t="n">
        <f aca="false">I74+J74+K74+L74+M74</f>
        <v>128319.51559273</v>
      </c>
      <c r="E74" s="50" t="n">
        <f aca="false">E73+(D74-(C73-C74))</f>
        <v>59928726.9446826</v>
      </c>
      <c r="F74" s="50" t="n">
        <f aca="false">(Dashboard!$C6-Dashboard!$C8)-C74</f>
        <v>-56384849.8407261</v>
      </c>
      <c r="G74" s="50" t="n">
        <f aca="false">G73+D74</f>
        <v>3658877.10395645</v>
      </c>
      <c r="H74" s="47" t="n">
        <f aca="false">B74*(1-Dashboard!$C20)-C74</f>
        <v>-51379015.9926731</v>
      </c>
      <c r="I74" s="50" t="n">
        <f aca="false">IF(C73&gt;0,Dashboard!$C26*12,0)</f>
        <v>0</v>
      </c>
      <c r="J74" s="50" t="n">
        <f aca="false">B74*Dashboard!$C13</f>
        <v>69010.6448687619</v>
      </c>
      <c r="K74" s="50" t="n">
        <f aca="false">Dashboard!$C14*12</f>
        <v>1800</v>
      </c>
      <c r="L74" s="50" t="n">
        <f aca="false">B74*Dashboard!$C16</f>
        <v>57508.8707239682</v>
      </c>
      <c r="M74" s="50" t="n">
        <f aca="false">IF(Dashboard!$C7&lt;0.2,C74*Dashboard!$C17,0)</f>
        <v>0</v>
      </c>
      <c r="N74" s="42"/>
      <c r="O74" s="50" t="n">
        <f aca="false">O73+T74</f>
        <v>7155356.5694854</v>
      </c>
      <c r="P74" s="50" t="n">
        <f aca="false">T74+U74</f>
        <v>237774.657363653</v>
      </c>
      <c r="Q74" s="50" t="n">
        <f aca="false">Q73*(1+Dashboard!$F11)+Dashboard!$F28*12</f>
        <v>28331390.2048471</v>
      </c>
      <c r="R74" s="50" t="n">
        <f aca="false">Dashboard!$F6*Dashboard!$F9+O74+U74*71</f>
        <v>7177396.5694854</v>
      </c>
      <c r="S74" s="48" t="n">
        <f aca="false">Q74-MAX(Q74-(Dashboard!$C8+Dashboard!$C6*Dashboard!$C19+Dashboard!$F6*Dashboard!$F9),0)*Dashboard!$F12</f>
        <v>24099681.67412</v>
      </c>
      <c r="T74" s="50" t="n">
        <f aca="false">Dashboard!$F6*(1+Dashboard!$F7)^(71-1)*12</f>
        <v>237534.657363653</v>
      </c>
      <c r="U74" s="50" t="n">
        <f aca="false">Dashboard!$F8*12</f>
        <v>240</v>
      </c>
    </row>
    <row r="75" customFormat="false" ht="15" hidden="false" customHeight="true" outlineLevel="0" collapsed="false">
      <c r="A75" s="51" t="n">
        <v>72</v>
      </c>
      <c r="B75" s="52" t="n">
        <f aca="false">B74*(1+Dashboard!$C21)</f>
        <v>5952168.11993071</v>
      </c>
      <c r="C75" s="52" t="n">
        <f aca="false">MAX((Dashboard!$C6-Dashboard!$C8)*(1+Dashboard!$C10/12)^(72*12)-Dashboard!$C26*((1+Dashboard!$C10/12)^(72*12)-1)/(Dashboard!$C10/12),0)</f>
        <v>60889831.2271215</v>
      </c>
      <c r="D75" s="52" t="n">
        <f aca="false">I75+J75+K75+L75+M75</f>
        <v>132747.698638476</v>
      </c>
      <c r="E75" s="52" t="n">
        <f aca="false">E74+(D75-(C74-C75))</f>
        <v>64166456.0297164</v>
      </c>
      <c r="F75" s="52" t="n">
        <f aca="false">(Dashboard!$C6-Dashboard!$C8)-C75</f>
        <v>-60489831.2271215</v>
      </c>
      <c r="G75" s="52" t="n">
        <f aca="false">G74+D75</f>
        <v>3791624.80259493</v>
      </c>
      <c r="H75" s="47" t="n">
        <f aca="false">B75*(1-Dashboard!$C20)-C75</f>
        <v>-55294793.1943866</v>
      </c>
      <c r="I75" s="52" t="n">
        <f aca="false">IF(C74&gt;0,Dashboard!$C26*12,0)</f>
        <v>0</v>
      </c>
      <c r="J75" s="52" t="n">
        <f aca="false">B75*Dashboard!$C13</f>
        <v>71426.0174391685</v>
      </c>
      <c r="K75" s="52" t="n">
        <f aca="false">Dashboard!$C14*12</f>
        <v>1800</v>
      </c>
      <c r="L75" s="52" t="n">
        <f aca="false">B75*Dashboard!$C16</f>
        <v>59521.6811993071</v>
      </c>
      <c r="M75" s="52" t="n">
        <f aca="false">IF(Dashboard!$C7&lt;0.2,C75*Dashboard!$C17,0)</f>
        <v>0</v>
      </c>
      <c r="N75" s="42"/>
      <c r="O75" s="52" t="n">
        <f aca="false">O74+T75</f>
        <v>7400017.26656996</v>
      </c>
      <c r="P75" s="52" t="n">
        <f aca="false">T75+U75</f>
        <v>244900.697084562</v>
      </c>
      <c r="Q75" s="52" t="n">
        <f aca="false">Q74*(1+Dashboard!$F11)+Dashboard!$F28*12</f>
        <v>30597901.4212348</v>
      </c>
      <c r="R75" s="52" t="n">
        <f aca="false">Dashboard!$F6*Dashboard!$F9+O75+U75*72</f>
        <v>7422297.26656996</v>
      </c>
      <c r="S75" s="48" t="n">
        <f aca="false">Q75-MAX(Q75-(Dashboard!$C8+Dashboard!$C6*Dashboard!$C19+Dashboard!$F6*Dashboard!$F9),0)*Dashboard!$F12</f>
        <v>26026216.2080496</v>
      </c>
      <c r="T75" s="52" t="n">
        <f aca="false">Dashboard!$F6*(1+Dashboard!$F7)^(72-1)*12</f>
        <v>244660.697084562</v>
      </c>
      <c r="U75" s="52" t="n">
        <f aca="false">Dashboard!$F8*12</f>
        <v>240</v>
      </c>
    </row>
    <row r="76" customFormat="false" ht="15" hidden="false" customHeight="true" outlineLevel="0" collapsed="false">
      <c r="A76" s="49" t="n">
        <v>73</v>
      </c>
      <c r="B76" s="50" t="n">
        <f aca="false">B75*(1+Dashboard!$C21)</f>
        <v>6160494.00412828</v>
      </c>
      <c r="C76" s="50" t="n">
        <f aca="false">MAX((Dashboard!$C6-Dashboard!$C8)*(1+Dashboard!$C10/12)^(73*12)-Dashboard!$C26*((1+Dashboard!$C10/12)^(73*12)-1)/(Dashboard!$C10/12),0)</f>
        <v>65291562.0498526</v>
      </c>
      <c r="D76" s="50" t="n">
        <f aca="false">I76+J76+K76+L76+M76</f>
        <v>137330.868090822</v>
      </c>
      <c r="E76" s="50" t="n">
        <f aca="false">E75+(D76-(C75-C76))</f>
        <v>68705517.7205384</v>
      </c>
      <c r="F76" s="50" t="n">
        <f aca="false">(Dashboard!$C6-Dashboard!$C8)-C76</f>
        <v>-64891562.0498526</v>
      </c>
      <c r="G76" s="50" t="n">
        <f aca="false">G75+D76</f>
        <v>3928955.67068575</v>
      </c>
      <c r="H76" s="47" t="n">
        <f aca="false">B76*(1-Dashboard!$C20)-C76</f>
        <v>-59500697.685972</v>
      </c>
      <c r="I76" s="50" t="n">
        <f aca="false">IF(C75&gt;0,Dashboard!$C26*12,0)</f>
        <v>0</v>
      </c>
      <c r="J76" s="50" t="n">
        <f aca="false">B76*Dashboard!$C13</f>
        <v>73925.9280495394</v>
      </c>
      <c r="K76" s="50" t="n">
        <f aca="false">Dashboard!$C14*12</f>
        <v>1800</v>
      </c>
      <c r="L76" s="50" t="n">
        <f aca="false">B76*Dashboard!$C16</f>
        <v>61604.9400412828</v>
      </c>
      <c r="M76" s="50" t="n">
        <f aca="false">IF(Dashboard!$C7&lt;0.2,C76*Dashboard!$C17,0)</f>
        <v>0</v>
      </c>
      <c r="N76" s="42"/>
      <c r="O76" s="50" t="n">
        <f aca="false">O75+T76</f>
        <v>7652017.78456706</v>
      </c>
      <c r="P76" s="50" t="n">
        <f aca="false">T76+U76</f>
        <v>252240.517997099</v>
      </c>
      <c r="Q76" s="50" t="n">
        <f aca="false">Q75*(1+Dashboard!$F11)+Dashboard!$F28*12</f>
        <v>33045733.5349336</v>
      </c>
      <c r="R76" s="50" t="n">
        <f aca="false">Dashboard!$F6*Dashboard!$F9+O76+U76*73</f>
        <v>7674537.78456706</v>
      </c>
      <c r="S76" s="48" t="n">
        <f aca="false">Q76-MAX(Q76-(Dashboard!$C8+Dashboard!$C6*Dashboard!$C19+Dashboard!$F6*Dashboard!$F9),0)*Dashboard!$F12</f>
        <v>28106873.5046936</v>
      </c>
      <c r="T76" s="50" t="n">
        <f aca="false">Dashboard!$F6*(1+Dashboard!$F7)^(73-1)*12</f>
        <v>252000.517997099</v>
      </c>
      <c r="U76" s="50" t="n">
        <f aca="false">Dashboard!$F8*12</f>
        <v>240</v>
      </c>
    </row>
    <row r="77" customFormat="false" ht="15" hidden="false" customHeight="true" outlineLevel="0" collapsed="false">
      <c r="A77" s="51" t="n">
        <v>74</v>
      </c>
      <c r="B77" s="52" t="n">
        <f aca="false">B76*(1+Dashboard!$C21)</f>
        <v>6376111.29427277</v>
      </c>
      <c r="C77" s="52" t="n">
        <f aca="false">MAX((Dashboard!$C6-Dashboard!$C8)*(1+Dashboard!$C10/12)^(74*12)-Dashboard!$C26*((1+Dashboard!$C10/12)^(74*12)-1)/(Dashboard!$C10/12),0)</f>
        <v>70011494.3496664</v>
      </c>
      <c r="D77" s="52" t="n">
        <f aca="false">I77+J77+K77+L77+M77</f>
        <v>142074.448474001</v>
      </c>
      <c r="E77" s="52" t="n">
        <f aca="false">E76+(D77-(C76-C77))</f>
        <v>73567524.4688262</v>
      </c>
      <c r="F77" s="52" t="n">
        <f aca="false">(Dashboard!$C6-Dashboard!$C8)-C77</f>
        <v>-69611494.3496664</v>
      </c>
      <c r="G77" s="52" t="n">
        <f aca="false">G76+D77</f>
        <v>4071030.11915975</v>
      </c>
      <c r="H77" s="47" t="n">
        <f aca="false">B77*(1-Dashboard!$C20)-C77</f>
        <v>-64017949.73305</v>
      </c>
      <c r="I77" s="52" t="n">
        <f aca="false">IF(C76&gt;0,Dashboard!$C26*12,0)</f>
        <v>0</v>
      </c>
      <c r="J77" s="52" t="n">
        <f aca="false">B77*Dashboard!$C13</f>
        <v>76513.3355312733</v>
      </c>
      <c r="K77" s="52" t="n">
        <f aca="false">Dashboard!$C14*12</f>
        <v>1800</v>
      </c>
      <c r="L77" s="52" t="n">
        <f aca="false">B77*Dashboard!$C16</f>
        <v>63761.1129427277</v>
      </c>
      <c r="M77" s="52" t="n">
        <f aca="false">IF(Dashboard!$C7&lt;0.2,C77*Dashboard!$C17,0)</f>
        <v>0</v>
      </c>
      <c r="N77" s="42"/>
      <c r="O77" s="52" t="n">
        <f aca="false">O76+T77</f>
        <v>7911578.31810407</v>
      </c>
      <c r="P77" s="52" t="n">
        <f aca="false">T77+U77</f>
        <v>259800.533537012</v>
      </c>
      <c r="Q77" s="52" t="n">
        <f aca="false">Q76*(1+Dashboard!$F11)+Dashboard!$F28*12</f>
        <v>35689392.2177283</v>
      </c>
      <c r="R77" s="52" t="n">
        <f aca="false">Dashboard!$F6*Dashboard!$F9+O77+U77*74</f>
        <v>7934338.31810407</v>
      </c>
      <c r="S77" s="48" t="n">
        <f aca="false">Q77-MAX(Q77-(Dashboard!$C8+Dashboard!$C6*Dashboard!$C19+Dashboard!$F6*Dashboard!$F9),0)*Dashboard!$F12</f>
        <v>30353983.3850691</v>
      </c>
      <c r="T77" s="52" t="n">
        <f aca="false">Dashboard!$F6*(1+Dashboard!$F7)^(74-1)*12</f>
        <v>259560.533537012</v>
      </c>
      <c r="U77" s="52" t="n">
        <f aca="false">Dashboard!$F8*12</f>
        <v>240</v>
      </c>
    </row>
    <row r="78" customFormat="false" ht="15" hidden="false" customHeight="true" outlineLevel="0" collapsed="false">
      <c r="A78" s="49" t="n">
        <v>75</v>
      </c>
      <c r="B78" s="50" t="n">
        <f aca="false">B77*(1+Dashboard!$C21)</f>
        <v>6599275.18957232</v>
      </c>
      <c r="C78" s="50" t="n">
        <f aca="false">MAX((Dashboard!$C6-Dashboard!$C8)*(1+Dashboard!$C10/12)^(75*12)-Dashboard!$C26*((1+Dashboard!$C10/12)^(75*12)-1)/(Dashboard!$C10/12),0)</f>
        <v>75072630.9370697</v>
      </c>
      <c r="D78" s="50" t="n">
        <f aca="false">I78+J78+K78+L78+M78</f>
        <v>146984.054170591</v>
      </c>
      <c r="E78" s="50" t="n">
        <f aca="false">E77+(D78-(C77-C78))</f>
        <v>78775645.1104001</v>
      </c>
      <c r="F78" s="50" t="n">
        <f aca="false">(Dashboard!$C6-Dashboard!$C8)-C78</f>
        <v>-74672630.9370697</v>
      </c>
      <c r="G78" s="50" t="n">
        <f aca="false">G77+D78</f>
        <v>4218014.17333034</v>
      </c>
      <c r="H78" s="47" t="n">
        <f aca="false">B78*(1-Dashboard!$C20)-C78</f>
        <v>-68869312.2588717</v>
      </c>
      <c r="I78" s="50" t="n">
        <f aca="false">IF(C77&gt;0,Dashboard!$C26*12,0)</f>
        <v>0</v>
      </c>
      <c r="J78" s="50" t="n">
        <f aca="false">B78*Dashboard!$C13</f>
        <v>79191.3022748678</v>
      </c>
      <c r="K78" s="50" t="n">
        <f aca="false">Dashboard!$C14*12</f>
        <v>1800</v>
      </c>
      <c r="L78" s="50" t="n">
        <f aca="false">B78*Dashboard!$C16</f>
        <v>65992.7518957232</v>
      </c>
      <c r="M78" s="50" t="n">
        <f aca="false">IF(Dashboard!$C7&lt;0.2,C78*Dashboard!$C17,0)</f>
        <v>0</v>
      </c>
      <c r="N78" s="42"/>
      <c r="O78" s="50" t="n">
        <f aca="false">O77+T78</f>
        <v>8178925.66764719</v>
      </c>
      <c r="P78" s="50" t="n">
        <f aca="false">T78+U78</f>
        <v>267587.349543122</v>
      </c>
      <c r="Q78" s="50" t="n">
        <f aca="false">Q77*(1+Dashboard!$F11)+Dashboard!$F28*12</f>
        <v>38544543.5951466</v>
      </c>
      <c r="R78" s="50" t="n">
        <f aca="false">Dashboard!$F6*Dashboard!$F9+O78+U78*75</f>
        <v>8201925.66764719</v>
      </c>
      <c r="S78" s="48" t="n">
        <f aca="false">Q78-MAX(Q78-(Dashboard!$C8+Dashboard!$C6*Dashboard!$C19+Dashboard!$F6*Dashboard!$F9),0)*Dashboard!$F12</f>
        <v>32780862.0558746</v>
      </c>
      <c r="T78" s="50" t="n">
        <f aca="false">Dashboard!$F6*(1+Dashboard!$F7)^(75-1)*12</f>
        <v>267347.349543122</v>
      </c>
      <c r="U78" s="50" t="n">
        <f aca="false">Dashboard!$F8*12</f>
        <v>240</v>
      </c>
    </row>
    <row r="79" customFormat="false" ht="15" hidden="false" customHeight="true" outlineLevel="0" collapsed="false">
      <c r="A79" s="51" t="n">
        <v>76</v>
      </c>
      <c r="B79" s="52" t="n">
        <f aca="false">B78*(1+Dashboard!$C21)</f>
        <v>6830249.82120735</v>
      </c>
      <c r="C79" s="52" t="n">
        <f aca="false">MAX((Dashboard!$C6-Dashboard!$C8)*(1+Dashboard!$C10/12)^(76*12)-Dashboard!$C26*((1+Dashboard!$C10/12)^(76*12)-1)/(Dashboard!$C10/12),0)</f>
        <v>80499637.4976008</v>
      </c>
      <c r="D79" s="52" t="n">
        <f aca="false">I79+J79+K79+L79+M79</f>
        <v>152065.496066562</v>
      </c>
      <c r="E79" s="52" t="n">
        <f aca="false">E78+(D79-(C78-C79))</f>
        <v>84354717.1669978</v>
      </c>
      <c r="F79" s="52" t="n">
        <f aca="false">(Dashboard!$C6-Dashboard!$C8)-C79</f>
        <v>-80099637.4976008</v>
      </c>
      <c r="G79" s="52" t="n">
        <f aca="false">G78+D79</f>
        <v>4370079.66939691</v>
      </c>
      <c r="H79" s="47" t="n">
        <f aca="false">B79*(1-Dashboard!$C20)-C79</f>
        <v>-74079202.6656659</v>
      </c>
      <c r="I79" s="52" t="n">
        <f aca="false">IF(C78&gt;0,Dashboard!$C26*12,0)</f>
        <v>0</v>
      </c>
      <c r="J79" s="52" t="n">
        <f aca="false">B79*Dashboard!$C13</f>
        <v>81962.9978544882</v>
      </c>
      <c r="K79" s="52" t="n">
        <f aca="false">Dashboard!$C14*12</f>
        <v>1800</v>
      </c>
      <c r="L79" s="52" t="n">
        <f aca="false">B79*Dashboard!$C16</f>
        <v>68302.4982120735</v>
      </c>
      <c r="M79" s="52" t="n">
        <f aca="false">IF(Dashboard!$C7&lt;0.2,C79*Dashboard!$C17,0)</f>
        <v>0</v>
      </c>
      <c r="N79" s="42"/>
      <c r="O79" s="52" t="n">
        <f aca="false">O78+T79</f>
        <v>8454293.43767661</v>
      </c>
      <c r="P79" s="52" t="n">
        <f aca="false">T79+U79</f>
        <v>275607.770029416</v>
      </c>
      <c r="Q79" s="52" t="n">
        <f aca="false">Q78*(1+Dashboard!$F11)+Dashboard!$F28*12</f>
        <v>41628107.0827583</v>
      </c>
      <c r="R79" s="52" t="n">
        <f aca="false">Dashboard!$F6*Dashboard!$F9+O79+U79*76</f>
        <v>8477533.43767661</v>
      </c>
      <c r="S79" s="48" t="n">
        <f aca="false">Q79-MAX(Q79-(Dashboard!$C8+Dashboard!$C6*Dashboard!$C19+Dashboard!$F6*Dashboard!$F9),0)*Dashboard!$F12</f>
        <v>35401891.0203446</v>
      </c>
      <c r="T79" s="52" t="n">
        <f aca="false">Dashboard!$F6*(1+Dashboard!$F7)^(76-1)*12</f>
        <v>275367.770029416</v>
      </c>
      <c r="U79" s="52" t="n">
        <f aca="false">Dashboard!$F8*12</f>
        <v>240</v>
      </c>
    </row>
    <row r="80" customFormat="false" ht="15" hidden="false" customHeight="true" outlineLevel="0" collapsed="false">
      <c r="A80" s="49" t="n">
        <v>77</v>
      </c>
      <c r="B80" s="50" t="n">
        <f aca="false">B79*(1+Dashboard!$C21)</f>
        <v>7069308.56494961</v>
      </c>
      <c r="C80" s="50" t="n">
        <f aca="false">MAX((Dashboard!$C6-Dashboard!$C8)*(1+Dashboard!$C10/12)^(77*12)-Dashboard!$C26*((1+Dashboard!$C10/12)^(77*12)-1)/(Dashboard!$C10/12),0)</f>
        <v>86318962.8012001</v>
      </c>
      <c r="D80" s="50" t="n">
        <f aca="false">I80+J80+K80+L80+M80</f>
        <v>157324.788428891</v>
      </c>
      <c r="E80" s="50" t="n">
        <f aca="false">E79+(D80-(C79-C80))</f>
        <v>90331367.2590259</v>
      </c>
      <c r="F80" s="50" t="n">
        <f aca="false">(Dashboard!$C6-Dashboard!$C8)-C80</f>
        <v>-85918962.8012001</v>
      </c>
      <c r="G80" s="50" t="n">
        <f aca="false">G79+D80</f>
        <v>4527404.4578258</v>
      </c>
      <c r="H80" s="47" t="n">
        <f aca="false">B80*(1-Dashboard!$C20)-C80</f>
        <v>-79673812.7501475</v>
      </c>
      <c r="I80" s="50" t="n">
        <f aca="false">IF(C79&gt;0,Dashboard!$C26*12,0)</f>
        <v>0</v>
      </c>
      <c r="J80" s="50" t="n">
        <f aca="false">B80*Dashboard!$C13</f>
        <v>84831.7027793953</v>
      </c>
      <c r="K80" s="50" t="n">
        <f aca="false">Dashboard!$C14*12</f>
        <v>1800</v>
      </c>
      <c r="L80" s="50" t="n">
        <f aca="false">B80*Dashboard!$C16</f>
        <v>70693.0856494961</v>
      </c>
      <c r="M80" s="50" t="n">
        <f aca="false">IF(Dashboard!$C7&lt;0.2,C80*Dashboard!$C17,0)</f>
        <v>0</v>
      </c>
      <c r="N80" s="42"/>
      <c r="O80" s="50" t="n">
        <f aca="false">O79+T80</f>
        <v>8737922.24080691</v>
      </c>
      <c r="P80" s="50" t="n">
        <f aca="false">T80+U80</f>
        <v>283868.803130299</v>
      </c>
      <c r="Q80" s="50" t="n">
        <f aca="false">Q79*(1+Dashboard!$F11)+Dashboard!$F28*12</f>
        <v>44958355.649379</v>
      </c>
      <c r="R80" s="50" t="n">
        <f aca="false">Dashboard!$F6*Dashboard!$F9+O80+U80*77</f>
        <v>8761402.24080691</v>
      </c>
      <c r="S80" s="48" t="n">
        <f aca="false">Q80-MAX(Q80-(Dashboard!$C8+Dashboard!$C6*Dashboard!$C19+Dashboard!$F6*Dashboard!$F9),0)*Dashboard!$F12</f>
        <v>38232602.3019721</v>
      </c>
      <c r="T80" s="50" t="n">
        <f aca="false">Dashboard!$F6*(1+Dashboard!$F7)^(77-1)*12</f>
        <v>283628.803130299</v>
      </c>
      <c r="U80" s="50" t="n">
        <f aca="false">Dashboard!$F8*12</f>
        <v>240</v>
      </c>
    </row>
    <row r="81" customFormat="false" ht="15" hidden="false" customHeight="true" outlineLevel="0" collapsed="false">
      <c r="A81" s="51" t="n">
        <v>78</v>
      </c>
      <c r="B81" s="52" t="n">
        <f aca="false">B80*(1+Dashboard!$C21)</f>
        <v>7316734.36472284</v>
      </c>
      <c r="C81" s="52" t="n">
        <f aca="false">MAX((Dashboard!$C6-Dashboard!$C8)*(1+Dashboard!$C10/12)^(78*12)-Dashboard!$C26*((1+Dashboard!$C10/12)^(78*12)-1)/(Dashboard!$C10/12),0)</f>
        <v>92558967.6015253</v>
      </c>
      <c r="D81" s="52" t="n">
        <f aca="false">I81+J81+K81+L81+M81</f>
        <v>162768.156023903</v>
      </c>
      <c r="E81" s="52" t="n">
        <f aca="false">E80+(D81-(C80-C81))</f>
        <v>96734140.215375</v>
      </c>
      <c r="F81" s="52" t="n">
        <f aca="false">(Dashboard!$C6-Dashboard!$C8)-C81</f>
        <v>-92158967.6015253</v>
      </c>
      <c r="G81" s="52" t="n">
        <f aca="false">G80+D81</f>
        <v>4690172.6138497</v>
      </c>
      <c r="H81" s="47" t="n">
        <f aca="false">B81*(1-Dashboard!$C20)-C81</f>
        <v>-85681237.2986858</v>
      </c>
      <c r="I81" s="52" t="n">
        <f aca="false">IF(C80&gt;0,Dashboard!$C26*12,0)</f>
        <v>0</v>
      </c>
      <c r="J81" s="52" t="n">
        <f aca="false">B81*Dashboard!$C13</f>
        <v>87800.8123766741</v>
      </c>
      <c r="K81" s="52" t="n">
        <f aca="false">Dashboard!$C14*12</f>
        <v>1800</v>
      </c>
      <c r="L81" s="52" t="n">
        <f aca="false">B81*Dashboard!$C16</f>
        <v>73167.3436472284</v>
      </c>
      <c r="M81" s="52" t="n">
        <f aca="false">IF(Dashboard!$C7&lt;0.2,C81*Dashboard!$C17,0)</f>
        <v>0</v>
      </c>
      <c r="N81" s="42"/>
      <c r="O81" s="52" t="n">
        <f aca="false">O80+T81</f>
        <v>9030059.90803111</v>
      </c>
      <c r="P81" s="52" t="n">
        <f aca="false">T81+U81</f>
        <v>292377.667224207</v>
      </c>
      <c r="Q81" s="52" t="n">
        <f aca="false">Q80*(1+Dashboard!$F11)+Dashboard!$F28*12</f>
        <v>48555024.1013293</v>
      </c>
      <c r="R81" s="52" t="n">
        <f aca="false">Dashboard!$F6*Dashboard!$F9+O81+U81*78</f>
        <v>9053779.90803111</v>
      </c>
      <c r="S81" s="48" t="n">
        <f aca="false">Q81-MAX(Q81-(Dashboard!$C8+Dashboard!$C6*Dashboard!$C19+Dashboard!$F6*Dashboard!$F9),0)*Dashboard!$F12</f>
        <v>41289770.4861299</v>
      </c>
      <c r="T81" s="52" t="n">
        <f aca="false">Dashboard!$F6*(1+Dashboard!$F7)^(78-1)*12</f>
        <v>292137.667224207</v>
      </c>
      <c r="U81" s="52" t="n">
        <f aca="false">Dashboard!$F8*12</f>
        <v>240</v>
      </c>
    </row>
    <row r="82" customFormat="false" ht="15" hidden="false" customHeight="true" outlineLevel="0" collapsed="false">
      <c r="A82" s="49" t="n">
        <v>79</v>
      </c>
      <c r="B82" s="50" t="n">
        <f aca="false">B81*(1+Dashboard!$C21)</f>
        <v>7572820.06748814</v>
      </c>
      <c r="C82" s="50" t="n">
        <f aca="false">MAX((Dashboard!$C6-Dashboard!$C8)*(1+Dashboard!$C10/12)^(79*12)-Dashboard!$C26*((1+Dashboard!$C10/12)^(79*12)-1)/(Dashboard!$C10/12),0)</f>
        <v>99250062.8534093</v>
      </c>
      <c r="D82" s="50" t="n">
        <f aca="false">I82+J82+K82+L82+M82</f>
        <v>168402.041484739</v>
      </c>
      <c r="E82" s="50" t="n">
        <f aca="false">E81+(D82-(C81-C82))</f>
        <v>103593637.508744</v>
      </c>
      <c r="F82" s="50" t="n">
        <f aca="false">(Dashboard!$C6-Dashboard!$C8)-C82</f>
        <v>-98850062.8534093</v>
      </c>
      <c r="G82" s="50" t="n">
        <f aca="false">G81+D82</f>
        <v>4858574.65533444</v>
      </c>
      <c r="H82" s="47" t="n">
        <f aca="false">B82*(1-Dashboard!$C20)-C82</f>
        <v>-92131611.9899704</v>
      </c>
      <c r="I82" s="50" t="n">
        <f aca="false">IF(C81&gt;0,Dashboard!$C26*12,0)</f>
        <v>0</v>
      </c>
      <c r="J82" s="50" t="n">
        <f aca="false">B82*Dashboard!$C13</f>
        <v>90873.8408098577</v>
      </c>
      <c r="K82" s="50" t="n">
        <f aca="false">Dashboard!$C14*12</f>
        <v>1800</v>
      </c>
      <c r="L82" s="50" t="n">
        <f aca="false">B82*Dashboard!$C16</f>
        <v>75728.2006748814</v>
      </c>
      <c r="M82" s="50" t="n">
        <f aca="false">IF(Dashboard!$C7&lt;0.2,C82*Dashboard!$C17,0)</f>
        <v>0</v>
      </c>
      <c r="N82" s="42"/>
      <c r="O82" s="50" t="n">
        <f aca="false">O81+T82</f>
        <v>9330961.70527205</v>
      </c>
      <c r="P82" s="50" t="n">
        <f aca="false">T82+U82</f>
        <v>301141.797240934</v>
      </c>
      <c r="Q82" s="50" t="n">
        <f aca="false">Q81*(1+Dashboard!$F11)+Dashboard!$F28*12</f>
        <v>52439426.0294356</v>
      </c>
      <c r="R82" s="50" t="n">
        <f aca="false">Dashboard!$F6*Dashboard!$F9+O82+U82*79</f>
        <v>9354921.70527205</v>
      </c>
      <c r="S82" s="48" t="n">
        <f aca="false">Q82-MAX(Q82-(Dashboard!$C8+Dashboard!$C6*Dashboard!$C19+Dashboard!$F6*Dashboard!$F9),0)*Dashboard!$F12</f>
        <v>44591512.1250203</v>
      </c>
      <c r="T82" s="50" t="n">
        <f aca="false">Dashboard!$F6*(1+Dashboard!$F7)^(79-1)*12</f>
        <v>300901.797240934</v>
      </c>
      <c r="U82" s="50" t="n">
        <f aca="false">Dashboard!$F8*12</f>
        <v>240</v>
      </c>
    </row>
    <row r="83" customFormat="false" ht="15" hidden="false" customHeight="true" outlineLevel="0" collapsed="false">
      <c r="A83" s="51" t="n">
        <v>80</v>
      </c>
      <c r="B83" s="52" t="n">
        <f aca="false">B82*(1+Dashboard!$C21)</f>
        <v>7837868.76985023</v>
      </c>
      <c r="C83" s="52" t="n">
        <f aca="false">MAX((Dashboard!$C6-Dashboard!$C8)*(1+Dashboard!$C10/12)^(80*12)-Dashboard!$C26*((1+Dashboard!$C10/12)^(80*12)-1)/(Dashboard!$C10/12),0)</f>
        <v>106424857.922069</v>
      </c>
      <c r="D83" s="52" t="n">
        <f aca="false">I83+J83+K83+L83+M83</f>
        <v>174233.112936705</v>
      </c>
      <c r="E83" s="52" t="n">
        <f aca="false">E82+(D83-(C82-C83))</f>
        <v>110942665.69034</v>
      </c>
      <c r="F83" s="52" t="n">
        <f aca="false">(Dashboard!$C6-Dashboard!$C8)-C83</f>
        <v>-106024857.922069</v>
      </c>
      <c r="G83" s="52" t="n">
        <f aca="false">G82+D83</f>
        <v>5032807.76827114</v>
      </c>
      <c r="H83" s="47" t="n">
        <f aca="false">B83*(1-Dashboard!$C20)-C83</f>
        <v>-99057261.2784095</v>
      </c>
      <c r="I83" s="52" t="n">
        <f aca="false">IF(C82&gt;0,Dashboard!$C26*12,0)</f>
        <v>0</v>
      </c>
      <c r="J83" s="52" t="n">
        <f aca="false">B83*Dashboard!$C13</f>
        <v>94054.4252382027</v>
      </c>
      <c r="K83" s="52" t="n">
        <f aca="false">Dashboard!$C14*12</f>
        <v>1800</v>
      </c>
      <c r="L83" s="52" t="n">
        <f aca="false">B83*Dashboard!$C16</f>
        <v>78378.6876985023</v>
      </c>
      <c r="M83" s="52" t="n">
        <f aca="false">IF(Dashboard!$C7&lt;0.2,C83*Dashboard!$C17,0)</f>
        <v>0</v>
      </c>
      <c r="N83" s="42"/>
      <c r="O83" s="52" t="n">
        <f aca="false">O82+T83</f>
        <v>9640890.55643021</v>
      </c>
      <c r="P83" s="52" t="n">
        <f aca="false">T83+U83</f>
        <v>310168.851158162</v>
      </c>
      <c r="Q83" s="52" t="n">
        <f aca="false">Q82*(1+Dashboard!$F11)+Dashboard!$F28*12</f>
        <v>56634580.1117905</v>
      </c>
      <c r="R83" s="52" t="n">
        <f aca="false">Dashboard!$F6*Dashboard!$F9+O83+U83*80</f>
        <v>9665090.55643021</v>
      </c>
      <c r="S83" s="48" t="n">
        <f aca="false">Q83-MAX(Q83-(Dashboard!$C8+Dashboard!$C6*Dashboard!$C19+Dashboard!$F6*Dashboard!$F9),0)*Dashboard!$F12</f>
        <v>48157393.0950219</v>
      </c>
      <c r="T83" s="52" t="n">
        <f aca="false">Dashboard!$F6*(1+Dashboard!$F7)^(80-1)*12</f>
        <v>309928.851158162</v>
      </c>
      <c r="U83" s="52" t="n">
        <f aca="false">Dashboard!$F8*12</f>
        <v>240</v>
      </c>
    </row>
    <row r="84" customFormat="false" ht="15" hidden="false" customHeight="true" outlineLevel="0" collapsed="false">
      <c r="A84" s="49" t="n">
        <v>81</v>
      </c>
      <c r="B84" s="50" t="n">
        <f aca="false">B83*(1+Dashboard!$C21)</f>
        <v>8112194.17679498</v>
      </c>
      <c r="C84" s="50" t="n">
        <f aca="false">MAX((Dashboard!$C6-Dashboard!$C8)*(1+Dashboard!$C10/12)^(81*12)-Dashboard!$C26*((1+Dashboard!$C10/12)^(81*12)-1)/(Dashboard!$C10/12),0)</f>
        <v>114118319.506368</v>
      </c>
      <c r="D84" s="50" t="n">
        <f aca="false">I84+J84+K84+L84+M84</f>
        <v>180268.27188949</v>
      </c>
      <c r="E84" s="50" t="n">
        <f aca="false">E83+(D84-(C83-C84))</f>
        <v>118816395.546529</v>
      </c>
      <c r="F84" s="50" t="n">
        <f aca="false">(Dashboard!$C6-Dashboard!$C8)-C84</f>
        <v>-113718319.506368</v>
      </c>
      <c r="G84" s="50" t="n">
        <f aca="false">G83+D84</f>
        <v>5213076.04016063</v>
      </c>
      <c r="H84" s="47" t="n">
        <f aca="false">B84*(1-Dashboard!$C20)-C84</f>
        <v>-106492856.980181</v>
      </c>
      <c r="I84" s="50" t="n">
        <f aca="false">IF(C83&gt;0,Dashboard!$C26*12,0)</f>
        <v>0</v>
      </c>
      <c r="J84" s="50" t="n">
        <f aca="false">B84*Dashboard!$C13</f>
        <v>97346.3301215398</v>
      </c>
      <c r="K84" s="50" t="n">
        <f aca="false">Dashboard!$C14*12</f>
        <v>1800</v>
      </c>
      <c r="L84" s="50" t="n">
        <f aca="false">B84*Dashboard!$C16</f>
        <v>81121.9417679498</v>
      </c>
      <c r="M84" s="50" t="n">
        <f aca="false">IF(Dashboard!$C7&lt;0.2,C84*Dashboard!$C17,0)</f>
        <v>0</v>
      </c>
      <c r="N84" s="42"/>
      <c r="O84" s="50" t="n">
        <f aca="false">O83+T84</f>
        <v>9960117.27312312</v>
      </c>
      <c r="P84" s="50" t="n">
        <f aca="false">T84+U84</f>
        <v>319466.716692907</v>
      </c>
      <c r="Q84" s="50" t="n">
        <f aca="false">Q83*(1+Dashboard!$F11)+Dashboard!$F28*12</f>
        <v>61165346.5207337</v>
      </c>
      <c r="R84" s="50" t="n">
        <f aca="false">Dashboard!$F6*Dashboard!$F9+O84+U84*81</f>
        <v>9984557.27312312</v>
      </c>
      <c r="S84" s="48" t="n">
        <f aca="false">Q84-MAX(Q84-(Dashboard!$C8+Dashboard!$C6*Dashboard!$C19+Dashboard!$F6*Dashboard!$F9),0)*Dashboard!$F12</f>
        <v>52008544.5426237</v>
      </c>
      <c r="T84" s="50" t="n">
        <f aca="false">Dashboard!$F6*(1+Dashboard!$F7)^(81-1)*12</f>
        <v>319226.716692907</v>
      </c>
      <c r="U84" s="50" t="n">
        <f aca="false">Dashboard!$F8*12</f>
        <v>240</v>
      </c>
    </row>
    <row r="85" customFormat="false" ht="15" hidden="false" customHeight="true" outlineLevel="0" collapsed="false">
      <c r="A85" s="51" t="n">
        <v>82</v>
      </c>
      <c r="B85" s="52" t="n">
        <f aca="false">B84*(1+Dashboard!$C21)</f>
        <v>8396120.97298281</v>
      </c>
      <c r="C85" s="52" t="n">
        <f aca="false">MAX((Dashboard!$C6-Dashboard!$C8)*(1+Dashboard!$C10/12)^(82*12)-Dashboard!$C26*((1+Dashboard!$C10/12)^(82*12)-1)/(Dashboard!$C10/12),0)</f>
        <v>122367942.050662</v>
      </c>
      <c r="D85" s="52" t="n">
        <f aca="false">I85+J85+K85+L85+M85</f>
        <v>186514.661405622</v>
      </c>
      <c r="E85" s="52" t="n">
        <f aca="false">E84+(D85-(C84-C85))</f>
        <v>127252532.752228</v>
      </c>
      <c r="F85" s="52" t="n">
        <f aca="false">(Dashboard!$C6-Dashboard!$C8)-C85</f>
        <v>-121967942.050662</v>
      </c>
      <c r="G85" s="52" t="n">
        <f aca="false">G84+D85</f>
        <v>5399590.70156626</v>
      </c>
      <c r="H85" s="47" t="n">
        <f aca="false">B85*(1-Dashboard!$C20)-C85</f>
        <v>-114475588.336058</v>
      </c>
      <c r="I85" s="52" t="n">
        <f aca="false">IF(C84&gt;0,Dashboard!$C26*12,0)</f>
        <v>0</v>
      </c>
      <c r="J85" s="52" t="n">
        <f aca="false">B85*Dashboard!$C13</f>
        <v>100753.451675794</v>
      </c>
      <c r="K85" s="52" t="n">
        <f aca="false">Dashboard!$C14*12</f>
        <v>1800</v>
      </c>
      <c r="L85" s="52" t="n">
        <f aca="false">B85*Dashboard!$C16</f>
        <v>83961.2097298281</v>
      </c>
      <c r="M85" s="52" t="n">
        <f aca="false">IF(Dashboard!$C7&lt;0.2,C85*Dashboard!$C17,0)</f>
        <v>0</v>
      </c>
      <c r="N85" s="42"/>
      <c r="O85" s="52" t="n">
        <f aca="false">O84+T85</f>
        <v>10288920.7913168</v>
      </c>
      <c r="P85" s="52" t="n">
        <f aca="false">T85+U85</f>
        <v>329043.518193694</v>
      </c>
      <c r="Q85" s="52" t="n">
        <f aca="false">Q84*(1+Dashboard!$F11)+Dashboard!$F28*12</f>
        <v>66058574.2423925</v>
      </c>
      <c r="R85" s="52" t="n">
        <f aca="false">Dashboard!$F6*Dashboard!$F9+O85+U85*82</f>
        <v>10313600.7913168</v>
      </c>
      <c r="S85" s="48" t="n">
        <f aca="false">Q85-MAX(Q85-(Dashboard!$C8+Dashboard!$C6*Dashboard!$C19+Dashboard!$F6*Dashboard!$F9),0)*Dashboard!$F12</f>
        <v>56167788.1060336</v>
      </c>
      <c r="T85" s="52" t="n">
        <f aca="false">Dashboard!$F6*(1+Dashboard!$F7)^(82-1)*12</f>
        <v>328803.518193694</v>
      </c>
      <c r="U85" s="52" t="n">
        <f aca="false">Dashboard!$F8*12</f>
        <v>240</v>
      </c>
    </row>
    <row r="86" customFormat="false" ht="15" hidden="false" customHeight="true" outlineLevel="0" collapsed="false">
      <c r="A86" s="49" t="n">
        <v>83</v>
      </c>
      <c r="B86" s="50" t="n">
        <f aca="false">B85*(1+Dashboard!$C21)</f>
        <v>8689985.20703721</v>
      </c>
      <c r="C86" s="50" t="n">
        <f aca="false">MAX((Dashboard!$C6-Dashboard!$C8)*(1+Dashboard!$C10/12)^(83*12)-Dashboard!$C26*((1+Dashboard!$C10/12)^(83*12)-1)/(Dashboard!$C10/12),0)</f>
        <v>131213930.475715</v>
      </c>
      <c r="D86" s="50" t="n">
        <f aca="false">I86+J86+K86+L86+M86</f>
        <v>192979.674554819</v>
      </c>
      <c r="E86" s="50" t="n">
        <f aca="false">E85+(D86-(C85-C86))</f>
        <v>136291500.851836</v>
      </c>
      <c r="F86" s="50" t="n">
        <f aca="false">(Dashboard!$C6-Dashboard!$C8)-C86</f>
        <v>-130813930.475715</v>
      </c>
      <c r="G86" s="50" t="n">
        <f aca="false">G85+D86</f>
        <v>5592570.37612107</v>
      </c>
      <c r="H86" s="47" t="n">
        <f aca="false">B86*(1-Dashboard!$C20)-C86</f>
        <v>-123045344.3811</v>
      </c>
      <c r="I86" s="50" t="n">
        <f aca="false">IF(C85&gt;0,Dashboard!$C26*12,0)</f>
        <v>0</v>
      </c>
      <c r="J86" s="50" t="n">
        <f aca="false">B86*Dashboard!$C13</f>
        <v>104279.822484446</v>
      </c>
      <c r="K86" s="50" t="n">
        <f aca="false">Dashboard!$C14*12</f>
        <v>1800</v>
      </c>
      <c r="L86" s="50" t="n">
        <f aca="false">B86*Dashboard!$C16</f>
        <v>86899.8520703721</v>
      </c>
      <c r="M86" s="50" t="n">
        <f aca="false">IF(Dashboard!$C7&lt;0.2,C86*Dashboard!$C17,0)</f>
        <v>0</v>
      </c>
      <c r="N86" s="42"/>
      <c r="O86" s="50" t="n">
        <f aca="false">O85+T86</f>
        <v>10627588.4150563</v>
      </c>
      <c r="P86" s="50" t="n">
        <f aca="false">T86+U86</f>
        <v>338907.623739505</v>
      </c>
      <c r="Q86" s="50" t="n">
        <f aca="false">Q85*(1+Dashboard!$F11)+Dashboard!$F28*12</f>
        <v>71343260.1817839</v>
      </c>
      <c r="R86" s="50" t="n">
        <f aca="false">Dashboard!$F6*Dashboard!$F9+O86+U86*83</f>
        <v>10652508.4150563</v>
      </c>
      <c r="S86" s="48" t="n">
        <f aca="false">Q86-MAX(Q86-(Dashboard!$C8+Dashboard!$C6*Dashboard!$C19+Dashboard!$F6*Dashboard!$F9),0)*Dashboard!$F12</f>
        <v>60659771.1545163</v>
      </c>
      <c r="T86" s="50" t="n">
        <f aca="false">Dashboard!$F6*(1+Dashboard!$F7)^(83-1)*12</f>
        <v>338667.623739505</v>
      </c>
      <c r="U86" s="50" t="n">
        <f aca="false">Dashboard!$F8*12</f>
        <v>240</v>
      </c>
    </row>
    <row r="87" customFormat="false" ht="15" hidden="false" customHeight="true" outlineLevel="0" collapsed="false">
      <c r="A87" s="51" t="n">
        <v>84</v>
      </c>
      <c r="B87" s="52" t="n">
        <f aca="false">B86*(1+Dashboard!$C21)</f>
        <v>8994134.68928351</v>
      </c>
      <c r="C87" s="52" t="n">
        <f aca="false">MAX((Dashboard!$C6-Dashboard!$C8)*(1+Dashboard!$C10/12)^(84*12)-Dashboard!$C26*((1+Dashboard!$C10/12)^(84*12)-1)/(Dashboard!$C10/12),0)</f>
        <v>140699396.119269</v>
      </c>
      <c r="D87" s="52" t="n">
        <f aca="false">I87+J87+K87+L87+M87</f>
        <v>199670.963164237</v>
      </c>
      <c r="E87" s="52" t="n">
        <f aca="false">E86+(D87-(C86-C87))</f>
        <v>145976637.458554</v>
      </c>
      <c r="F87" s="52" t="n">
        <f aca="false">(Dashboard!$C6-Dashboard!$C8)-C87</f>
        <v>-140299396.119269</v>
      </c>
      <c r="G87" s="52" t="n">
        <f aca="false">G86+D87</f>
        <v>5792241.33928531</v>
      </c>
      <c r="H87" s="47" t="n">
        <f aca="false">B87*(1-Dashboard!$C20)-C87</f>
        <v>-132244909.511343</v>
      </c>
      <c r="I87" s="52" t="n">
        <f aca="false">IF(C86&gt;0,Dashboard!$C26*12,0)</f>
        <v>0</v>
      </c>
      <c r="J87" s="52" t="n">
        <f aca="false">B87*Dashboard!$C13</f>
        <v>107929.616271402</v>
      </c>
      <c r="K87" s="52" t="n">
        <f aca="false">Dashboard!$C14*12</f>
        <v>1800</v>
      </c>
      <c r="L87" s="52" t="n">
        <f aca="false">B87*Dashboard!$C16</f>
        <v>89941.3468928351</v>
      </c>
      <c r="M87" s="52" t="n">
        <f aca="false">IF(Dashboard!$C7&lt;0.2,C87*Dashboard!$C17,0)</f>
        <v>0</v>
      </c>
      <c r="N87" s="42"/>
      <c r="O87" s="52" t="n">
        <f aca="false">O86+T87</f>
        <v>10976416.067508</v>
      </c>
      <c r="P87" s="52" t="n">
        <f aca="false">T87+U87</f>
        <v>349067.65245169</v>
      </c>
      <c r="Q87" s="52" t="n">
        <f aca="false">Q86*(1+Dashboard!$F11)+Dashboard!$F28*12</f>
        <v>77050720.9963266</v>
      </c>
      <c r="R87" s="52" t="n">
        <f aca="false">Dashboard!$F6*Dashboard!$F9+O87+U87*84</f>
        <v>11001576.067508</v>
      </c>
      <c r="S87" s="48" t="n">
        <f aca="false">Q87-MAX(Q87-(Dashboard!$C8+Dashboard!$C6*Dashboard!$C19+Dashboard!$F6*Dashboard!$F9),0)*Dashboard!$F12</f>
        <v>65511112.8468776</v>
      </c>
      <c r="T87" s="52" t="n">
        <f aca="false">Dashboard!$F6*(1+Dashboard!$F7)^(84-1)*12</f>
        <v>348827.65245169</v>
      </c>
      <c r="U87" s="52" t="n">
        <f aca="false">Dashboard!$F8*12</f>
        <v>240</v>
      </c>
    </row>
    <row r="88" customFormat="false" ht="15" hidden="false" customHeight="true" outlineLevel="0" collapsed="false">
      <c r="A88" s="49" t="n">
        <v>85</v>
      </c>
      <c r="B88" s="50" t="n">
        <f aca="false">B87*(1+Dashboard!$C21)</f>
        <v>9308929.40340843</v>
      </c>
      <c r="C88" s="50" t="n">
        <f aca="false">MAX((Dashboard!$C6-Dashboard!$C8)*(1+Dashboard!$C10/12)^(85*12)-Dashboard!$C26*((1+Dashboard!$C10/12)^(85*12)-1)/(Dashboard!$C10/12),0)</f>
        <v>150870566.841155</v>
      </c>
      <c r="D88" s="50" t="n">
        <f aca="false">I88+J88+K88+L88+M88</f>
        <v>206596.446874985</v>
      </c>
      <c r="E88" s="50" t="n">
        <f aca="false">E87+(D88-(C87-C88))</f>
        <v>156354404.627315</v>
      </c>
      <c r="F88" s="50" t="n">
        <f aca="false">(Dashboard!$C6-Dashboard!$C8)-C88</f>
        <v>-150470566.841155</v>
      </c>
      <c r="G88" s="50" t="n">
        <f aca="false">G87+D88</f>
        <v>5998837.7861603</v>
      </c>
      <c r="H88" s="47" t="n">
        <f aca="false">B88*(1-Dashboard!$C20)-C88</f>
        <v>-142120173.201951</v>
      </c>
      <c r="I88" s="50" t="n">
        <f aca="false">IF(C87&gt;0,Dashboard!$C26*12,0)</f>
        <v>0</v>
      </c>
      <c r="J88" s="50" t="n">
        <f aca="false">B88*Dashboard!$C13</f>
        <v>111707.152840901</v>
      </c>
      <c r="K88" s="50" t="n">
        <f aca="false">Dashboard!$C14*12</f>
        <v>1800</v>
      </c>
      <c r="L88" s="50" t="n">
        <f aca="false">B88*Dashboard!$C16</f>
        <v>93089.2940340843</v>
      </c>
      <c r="M88" s="50" t="n">
        <f aca="false">IF(Dashboard!$C7&lt;0.2,C88*Dashboard!$C17,0)</f>
        <v>0</v>
      </c>
      <c r="N88" s="42"/>
      <c r="O88" s="50" t="n">
        <f aca="false">O87+T88</f>
        <v>11335708.5495332</v>
      </c>
      <c r="P88" s="50" t="n">
        <f aca="false">T88+U88</f>
        <v>359532.48202524</v>
      </c>
      <c r="Q88" s="50" t="n">
        <f aca="false">Q87*(1+Dashboard!$F11)+Dashboard!$F28*12</f>
        <v>83214778.6760327</v>
      </c>
      <c r="R88" s="50" t="n">
        <f aca="false">Dashboard!$F6*Dashboard!$F9+O88+U88*85</f>
        <v>11361108.5495332</v>
      </c>
      <c r="S88" s="48" t="n">
        <f aca="false">Q88-MAX(Q88-(Dashboard!$C8+Dashboard!$C6*Dashboard!$C19+Dashboard!$F6*Dashboard!$F9),0)*Dashboard!$F12</f>
        <v>70750561.8746278</v>
      </c>
      <c r="T88" s="50" t="n">
        <f aca="false">Dashboard!$F6*(1+Dashboard!$F7)^(85-1)*12</f>
        <v>359292.48202524</v>
      </c>
      <c r="U88" s="50" t="n">
        <f aca="false">Dashboard!$F8*12</f>
        <v>240</v>
      </c>
    </row>
    <row r="89" customFormat="false" ht="15" hidden="false" customHeight="true" outlineLevel="0" collapsed="false">
      <c r="A89" s="51" t="n">
        <v>86</v>
      </c>
      <c r="B89" s="52" t="n">
        <f aca="false">B88*(1+Dashboard!$C21)</f>
        <v>9634741.93252772</v>
      </c>
      <c r="C89" s="52" t="n">
        <f aca="false">MAX((Dashboard!$C6-Dashboard!$C8)*(1+Dashboard!$C10/12)^(86*12)-Dashboard!$C26*((1+Dashboard!$C10/12)^(86*12)-1)/(Dashboard!$C10/12),0)</f>
        <v>161777012.316928</v>
      </c>
      <c r="D89" s="52" t="n">
        <f aca="false">I89+J89+K89+L89+M89</f>
        <v>213764.32251561</v>
      </c>
      <c r="E89" s="52" t="n">
        <f aca="false">E88+(D89-(C88-C89))</f>
        <v>167474614.425604</v>
      </c>
      <c r="F89" s="52" t="n">
        <f aca="false">(Dashboard!$C6-Dashboard!$C8)-C89</f>
        <v>-161377012.316928</v>
      </c>
      <c r="G89" s="52" t="n">
        <f aca="false">G88+D89</f>
        <v>6212602.10867591</v>
      </c>
      <c r="H89" s="47" t="n">
        <f aca="false">B89*(1-Dashboard!$C20)-C89</f>
        <v>-152720354.900352</v>
      </c>
      <c r="I89" s="52" t="n">
        <f aca="false">IF(C88&gt;0,Dashboard!$C26*12,0)</f>
        <v>0</v>
      </c>
      <c r="J89" s="52" t="n">
        <f aca="false">B89*Dashboard!$C13</f>
        <v>115616.903190333</v>
      </c>
      <c r="K89" s="52" t="n">
        <f aca="false">Dashboard!$C14*12</f>
        <v>1800</v>
      </c>
      <c r="L89" s="52" t="n">
        <f aca="false">B89*Dashboard!$C16</f>
        <v>96347.4193252772</v>
      </c>
      <c r="M89" s="52" t="n">
        <f aca="false">IF(Dashboard!$C7&lt;0.2,C89*Dashboard!$C17,0)</f>
        <v>0</v>
      </c>
      <c r="N89" s="42"/>
      <c r="O89" s="52" t="n">
        <f aca="false">O88+T89</f>
        <v>11705779.8060192</v>
      </c>
      <c r="P89" s="52" t="n">
        <f aca="false">T89+U89</f>
        <v>370311.256485998</v>
      </c>
      <c r="Q89" s="52" t="n">
        <f aca="false">Q88*(1+Dashboard!$F11)+Dashboard!$F28*12</f>
        <v>89871960.9701153</v>
      </c>
      <c r="R89" s="52" t="n">
        <f aca="false">Dashboard!$F6*Dashboard!$F9+O89+U89*86</f>
        <v>11731419.8060192</v>
      </c>
      <c r="S89" s="48" t="n">
        <f aca="false">Q89-MAX(Q89-(Dashboard!$C8+Dashboard!$C6*Dashboard!$C19+Dashboard!$F6*Dashboard!$F9),0)*Dashboard!$F12</f>
        <v>76409166.824598</v>
      </c>
      <c r="T89" s="52" t="n">
        <f aca="false">Dashboard!$F6*(1+Dashboard!$F7)^(86-1)*12</f>
        <v>370071.256485998</v>
      </c>
      <c r="U89" s="52" t="n">
        <f aca="false">Dashboard!$F8*12</f>
        <v>240</v>
      </c>
    </row>
    <row r="90" customFormat="false" ht="15" hidden="false" customHeight="true" outlineLevel="0" collapsed="false">
      <c r="A90" s="49" t="n">
        <v>87</v>
      </c>
      <c r="B90" s="50" t="n">
        <f aca="false">B89*(1+Dashboard!$C21)</f>
        <v>9971957.90016619</v>
      </c>
      <c r="C90" s="50" t="n">
        <f aca="false">MAX((Dashboard!$C6-Dashboard!$C8)*(1+Dashboard!$C10/12)^(87*12)-Dashboard!$C26*((1+Dashboard!$C10/12)^(87*12)-1)/(Dashboard!$C10/12),0)</f>
        <v>173471885.617999</v>
      </c>
      <c r="D90" s="50" t="n">
        <f aca="false">I90+J90+K90+L90+M90</f>
        <v>221183.073803656</v>
      </c>
      <c r="E90" s="50" t="n">
        <f aca="false">E89+(D90-(C89-C90))</f>
        <v>179390670.800478</v>
      </c>
      <c r="F90" s="50" t="n">
        <f aca="false">(Dashboard!$C6-Dashboard!$C8)-C90</f>
        <v>-173071885.617999</v>
      </c>
      <c r="G90" s="50" t="n">
        <f aca="false">G89+D90</f>
        <v>6433785.18247956</v>
      </c>
      <c r="H90" s="47" t="n">
        <f aca="false">B90*(1-Dashboard!$C20)-C90</f>
        <v>-164098245.191843</v>
      </c>
      <c r="I90" s="50" t="n">
        <f aca="false">IF(C89&gt;0,Dashboard!$C26*12,0)</f>
        <v>0</v>
      </c>
      <c r="J90" s="50" t="n">
        <f aca="false">B90*Dashboard!$C13</f>
        <v>119663.494801994</v>
      </c>
      <c r="K90" s="50" t="n">
        <f aca="false">Dashboard!$C14*12</f>
        <v>1800</v>
      </c>
      <c r="L90" s="50" t="n">
        <f aca="false">B90*Dashboard!$C16</f>
        <v>99719.5790016619</v>
      </c>
      <c r="M90" s="50" t="n">
        <f aca="false">IF(Dashboard!$C7&lt;0.2,C90*Dashboard!$C17,0)</f>
        <v>0</v>
      </c>
      <c r="N90" s="42"/>
      <c r="O90" s="50" t="n">
        <f aca="false">O89+T90</f>
        <v>12086953.2001998</v>
      </c>
      <c r="P90" s="50" t="n">
        <f aca="false">T90+U90</f>
        <v>381413.394180578</v>
      </c>
      <c r="Q90" s="50" t="n">
        <f aca="false">Q89*(1+Dashboard!$F11)+Dashboard!$F28*12</f>
        <v>97061717.8477246</v>
      </c>
      <c r="R90" s="50" t="n">
        <f aca="false">Dashboard!$F6*Dashboard!$F9+O90+U90*87</f>
        <v>12112833.2001998</v>
      </c>
      <c r="S90" s="48" t="n">
        <f aca="false">Q90-MAX(Q90-(Dashboard!$C8+Dashboard!$C6*Dashboard!$C19+Dashboard!$F6*Dashboard!$F9),0)*Dashboard!$F12</f>
        <v>82520460.1705659</v>
      </c>
      <c r="T90" s="50" t="n">
        <f aca="false">Dashboard!$F6*(1+Dashboard!$F7)^(87-1)*12</f>
        <v>381173.394180578</v>
      </c>
      <c r="U90" s="50" t="n">
        <f aca="false">Dashboard!$F8*12</f>
        <v>240</v>
      </c>
    </row>
    <row r="91" customFormat="false" ht="15" hidden="false" customHeight="true" outlineLevel="0" collapsed="false">
      <c r="A91" s="51" t="n">
        <v>88</v>
      </c>
      <c r="B91" s="52" t="n">
        <f aca="false">B90*(1+Dashboard!$C21)</f>
        <v>10320976.426672</v>
      </c>
      <c r="C91" s="52" t="n">
        <f aca="false">MAX((Dashboard!$C6-Dashboard!$C8)*(1+Dashboard!$C10/12)^(88*12)-Dashboard!$C26*((1+Dashboard!$C10/12)^(88*12)-1)/(Dashboard!$C10/12),0)</f>
        <v>186012182.255608</v>
      </c>
      <c r="D91" s="52" t="n">
        <f aca="false">I91+J91+K91+L91+M91</f>
        <v>228861.481386784</v>
      </c>
      <c r="E91" s="52" t="n">
        <f aca="false">E90+(D91-(C90-C91))</f>
        <v>192159828.919474</v>
      </c>
      <c r="F91" s="52" t="n">
        <f aca="false">(Dashboard!$C6-Dashboard!$C8)-C91</f>
        <v>-185612182.255608</v>
      </c>
      <c r="G91" s="52" t="n">
        <f aca="false">G90+D91</f>
        <v>6662646.66386635</v>
      </c>
      <c r="H91" s="47" t="n">
        <f aca="false">B91*(1-Dashboard!$C20)-C91</f>
        <v>-176310464.414536</v>
      </c>
      <c r="I91" s="52" t="n">
        <f aca="false">IF(C90&gt;0,Dashboard!$C26*12,0)</f>
        <v>0</v>
      </c>
      <c r="J91" s="52" t="n">
        <f aca="false">B91*Dashboard!$C13</f>
        <v>123851.717120064</v>
      </c>
      <c r="K91" s="52" t="n">
        <f aca="false">Dashboard!$C14*12</f>
        <v>1800</v>
      </c>
      <c r="L91" s="52" t="n">
        <f aca="false">B91*Dashboard!$C16</f>
        <v>103209.76426672</v>
      </c>
      <c r="M91" s="52" t="n">
        <f aca="false">IF(Dashboard!$C7&lt;0.2,C91*Dashboard!$C17,0)</f>
        <v>0</v>
      </c>
      <c r="N91" s="42"/>
      <c r="O91" s="52" t="n">
        <f aca="false">O90+T91</f>
        <v>12479561.7962058</v>
      </c>
      <c r="P91" s="52" t="n">
        <f aca="false">T91+U91</f>
        <v>392848.596005995</v>
      </c>
      <c r="Q91" s="52" t="n">
        <f aca="false">Q90*(1+Dashboard!$F11)+Dashboard!$F28*12</f>
        <v>104826655.275543</v>
      </c>
      <c r="R91" s="52" t="n">
        <f aca="false">Dashboard!$F6*Dashboard!$F9+O91+U91*88</f>
        <v>12505681.7962058</v>
      </c>
      <c r="S91" s="48" t="n">
        <f aca="false">Q91-MAX(Q91-(Dashboard!$C8+Dashboard!$C6*Dashboard!$C19+Dashboard!$F6*Dashboard!$F9),0)*Dashboard!$F12</f>
        <v>89120656.9842112</v>
      </c>
      <c r="T91" s="52" t="n">
        <f aca="false">Dashboard!$F6*(1+Dashboard!$F7)^(88-1)*12</f>
        <v>392608.596005995</v>
      </c>
      <c r="U91" s="52" t="n">
        <f aca="false">Dashboard!$F8*12</f>
        <v>240</v>
      </c>
    </row>
    <row r="92" customFormat="false" ht="15" hidden="false" customHeight="true" outlineLevel="0" collapsed="false">
      <c r="A92" s="49" t="n">
        <v>89</v>
      </c>
      <c r="B92" s="50" t="n">
        <f aca="false">B91*(1+Dashboard!$C21)</f>
        <v>10682210.6016055</v>
      </c>
      <c r="C92" s="50" t="n">
        <f aca="false">MAX((Dashboard!$C6-Dashboard!$C8)*(1+Dashboard!$C10/12)^(89*12)-Dashboard!$C26*((1+Dashboard!$C10/12)^(89*12)-1)/(Dashboard!$C10/12),0)</f>
        <v>199459017.951111</v>
      </c>
      <c r="D92" s="50" t="n">
        <f aca="false">I92+J92+K92+L92+M92</f>
        <v>236808.633235322</v>
      </c>
      <c r="E92" s="50" t="n">
        <f aca="false">E91+(D92-(C91-C92))</f>
        <v>205843473.248212</v>
      </c>
      <c r="F92" s="50" t="n">
        <f aca="false">(Dashboard!$C6-Dashboard!$C8)-C92</f>
        <v>-199059017.951111</v>
      </c>
      <c r="G92" s="50" t="n">
        <f aca="false">G91+D92</f>
        <v>6899455.29710167</v>
      </c>
      <c r="H92" s="47" t="n">
        <f aca="false">B92*(1-Dashboard!$C20)-C92</f>
        <v>-189417739.985601</v>
      </c>
      <c r="I92" s="50" t="n">
        <f aca="false">IF(C91&gt;0,Dashboard!$C26*12,0)</f>
        <v>0</v>
      </c>
      <c r="J92" s="50" t="n">
        <f aca="false">B92*Dashboard!$C13</f>
        <v>128186.527219266</v>
      </c>
      <c r="K92" s="50" t="n">
        <f aca="false">Dashboard!$C14*12</f>
        <v>1800</v>
      </c>
      <c r="L92" s="50" t="n">
        <f aca="false">B92*Dashboard!$C16</f>
        <v>106822.106016055</v>
      </c>
      <c r="M92" s="50" t="n">
        <f aca="false">IF(Dashboard!$C7&lt;0.2,C92*Dashboard!$C17,0)</f>
        <v>0</v>
      </c>
      <c r="N92" s="42"/>
      <c r="O92" s="50" t="n">
        <f aca="false">O91+T92</f>
        <v>12883948.650092</v>
      </c>
      <c r="P92" s="50" t="n">
        <f aca="false">T92+U92</f>
        <v>404626.853886175</v>
      </c>
      <c r="Q92" s="50" t="n">
        <f aca="false">Q91*(1+Dashboard!$F11)+Dashboard!$F28*12</f>
        <v>113212787.697586</v>
      </c>
      <c r="R92" s="50" t="n">
        <f aca="false">Dashboard!$F6*Dashboard!$F9+O92+U92*89</f>
        <v>12910308.650092</v>
      </c>
      <c r="S92" s="48" t="n">
        <f aca="false">Q92-MAX(Q92-(Dashboard!$C8+Dashboard!$C6*Dashboard!$C19+Dashboard!$F6*Dashboard!$F9),0)*Dashboard!$F12</f>
        <v>96248869.5429481</v>
      </c>
      <c r="T92" s="50" t="n">
        <f aca="false">Dashboard!$F6*(1+Dashboard!$F7)^(89-1)*12</f>
        <v>404386.853886175</v>
      </c>
      <c r="U92" s="50" t="n">
        <f aca="false">Dashboard!$F8*12</f>
        <v>240</v>
      </c>
    </row>
    <row r="93" customFormat="false" ht="15" hidden="false" customHeight="true" outlineLevel="0" collapsed="false">
      <c r="A93" s="51" t="n">
        <v>90</v>
      </c>
      <c r="B93" s="52" t="n">
        <f aca="false">B92*(1+Dashboard!$C21)</f>
        <v>11056087.9726617</v>
      </c>
      <c r="C93" s="52" t="n">
        <f aca="false">MAX((Dashboard!$C6-Dashboard!$C8)*(1+Dashboard!$C10/12)^(90*12)-Dashboard!$C26*((1+Dashboard!$C10/12)^(90*12)-1)/(Dashboard!$C10/12),0)</f>
        <v>213877926.486302</v>
      </c>
      <c r="D93" s="52" t="n">
        <f aca="false">I93+J93+K93+L93+M93</f>
        <v>245033.935398558</v>
      </c>
      <c r="E93" s="52" t="n">
        <f aca="false">E92+(D93-(C92-C93))</f>
        <v>220507415.718802</v>
      </c>
      <c r="F93" s="52" t="n">
        <f aca="false">(Dashboard!$C6-Dashboard!$C8)-C93</f>
        <v>-213477926.486302</v>
      </c>
      <c r="G93" s="52" t="n">
        <f aca="false">G92+D93</f>
        <v>7144489.23250023</v>
      </c>
      <c r="H93" s="47" t="n">
        <f aca="false">B93*(1-Dashboard!$C20)-C93</f>
        <v>-203485203.792</v>
      </c>
      <c r="I93" s="52" t="n">
        <f aca="false">IF(C92&gt;0,Dashboard!$C26*12,0)</f>
        <v>0</v>
      </c>
      <c r="J93" s="52" t="n">
        <f aca="false">B93*Dashboard!$C13</f>
        <v>132673.055671941</v>
      </c>
      <c r="K93" s="52" t="n">
        <f aca="false">Dashboard!$C14*12</f>
        <v>1800</v>
      </c>
      <c r="L93" s="52" t="n">
        <f aca="false">B93*Dashboard!$C16</f>
        <v>110560.879726617</v>
      </c>
      <c r="M93" s="52" t="n">
        <f aca="false">IF(Dashboard!$C7&lt;0.2,C93*Dashboard!$C17,0)</f>
        <v>0</v>
      </c>
      <c r="N93" s="42"/>
      <c r="O93" s="52" t="n">
        <f aca="false">O92+T93</f>
        <v>13300467.1095947</v>
      </c>
      <c r="P93" s="52" t="n">
        <f aca="false">T93+U93</f>
        <v>416758.45950276</v>
      </c>
      <c r="Q93" s="52" t="n">
        <f aca="false">Q92*(1+Dashboard!$F11)+Dashboard!$F28*12</f>
        <v>122269810.713393</v>
      </c>
      <c r="R93" s="52" t="n">
        <f aca="false">Dashboard!$F6*Dashboard!$F9+O93+U93*90</f>
        <v>13327067.1095947</v>
      </c>
      <c r="S93" s="48" t="n">
        <f aca="false">Q93-MAX(Q93-(Dashboard!$C8+Dashboard!$C6*Dashboard!$C19+Dashboard!$F6*Dashboard!$F9),0)*Dashboard!$F12</f>
        <v>103947339.106384</v>
      </c>
      <c r="T93" s="52" t="n">
        <f aca="false">Dashboard!$F6*(1+Dashboard!$F7)^(90-1)*12</f>
        <v>416518.45950276</v>
      </c>
      <c r="U93" s="52" t="n">
        <f aca="false">Dashboard!$F8*12</f>
        <v>240</v>
      </c>
    </row>
    <row r="94" customFormat="false" ht="15" hidden="false" customHeight="true" outlineLevel="0" collapsed="false">
      <c r="A94" s="49" t="n">
        <v>91</v>
      </c>
      <c r="B94" s="50" t="n">
        <f aca="false">B93*(1+Dashboard!$C21)</f>
        <v>11443051.0517049</v>
      </c>
      <c r="C94" s="50" t="n">
        <f aca="false">MAX((Dashboard!$C6-Dashboard!$C8)*(1+Dashboard!$C10/12)^(91*12)-Dashboard!$C26*((1+Dashboard!$C10/12)^(91*12)-1)/(Dashboard!$C10/12),0)</f>
        <v>229339179.085361</v>
      </c>
      <c r="D94" s="50" t="n">
        <f aca="false">I94+J94+K94+L94+M94</f>
        <v>253547.123137507</v>
      </c>
      <c r="E94" s="50" t="n">
        <f aca="false">E93+(D94-(C93-C94))</f>
        <v>236222215.440998</v>
      </c>
      <c r="F94" s="50" t="n">
        <f aca="false">(Dashboard!$C6-Dashboard!$C8)-C94</f>
        <v>-228939179.085361</v>
      </c>
      <c r="G94" s="50" t="n">
        <f aca="false">G93+D94</f>
        <v>7398036.35563773</v>
      </c>
      <c r="H94" s="47" t="n">
        <f aca="false">B94*(1-Dashboard!$C20)-C94</f>
        <v>-218582711.096758</v>
      </c>
      <c r="I94" s="50" t="n">
        <f aca="false">IF(C93&gt;0,Dashboard!$C26*12,0)</f>
        <v>0</v>
      </c>
      <c r="J94" s="50" t="n">
        <f aca="false">B94*Dashboard!$C13</f>
        <v>137316.612620459</v>
      </c>
      <c r="K94" s="50" t="n">
        <f aca="false">Dashboard!$C14*12</f>
        <v>1800</v>
      </c>
      <c r="L94" s="50" t="n">
        <f aca="false">B94*Dashboard!$C16</f>
        <v>114430.510517049</v>
      </c>
      <c r="M94" s="50" t="n">
        <f aca="false">IF(Dashboard!$C7&lt;0.2,C94*Dashboard!$C17,0)</f>
        <v>0</v>
      </c>
      <c r="N94" s="42"/>
      <c r="O94" s="50" t="n">
        <f aca="false">O93+T94</f>
        <v>13729481.1228826</v>
      </c>
      <c r="P94" s="50" t="n">
        <f aca="false">T94+U94</f>
        <v>429254.013287843</v>
      </c>
      <c r="Q94" s="50" t="n">
        <f aca="false">Q93*(1+Dashboard!$F11)+Dashboard!$F28*12</f>
        <v>132051395.570464</v>
      </c>
      <c r="R94" s="50" t="n">
        <f aca="false">Dashboard!$F6*Dashboard!$F9+O94+U94*91</f>
        <v>13756321.1228826</v>
      </c>
      <c r="S94" s="48" t="n">
        <f aca="false">Q94-MAX(Q94-(Dashboard!$C8+Dashboard!$C6*Dashboard!$C19+Dashboard!$F6*Dashboard!$F9),0)*Dashboard!$F12</f>
        <v>112261686.234895</v>
      </c>
      <c r="T94" s="50" t="n">
        <f aca="false">Dashboard!$F6*(1+Dashboard!$F7)^(91-1)*12</f>
        <v>429014.013287843</v>
      </c>
      <c r="U94" s="50" t="n">
        <f aca="false">Dashboard!$F8*12</f>
        <v>240</v>
      </c>
    </row>
    <row r="95" customFormat="false" ht="15" hidden="false" customHeight="true" outlineLevel="0" collapsed="false">
      <c r="A95" s="51" t="n">
        <v>92</v>
      </c>
      <c r="B95" s="52" t="n">
        <f aca="false">B94*(1+Dashboard!$C21)</f>
        <v>11843557.8385146</v>
      </c>
      <c r="C95" s="52" t="n">
        <f aca="false">MAX((Dashboard!$C6-Dashboard!$C8)*(1+Dashboard!$C10/12)^(92*12)-Dashboard!$C26*((1+Dashboard!$C10/12)^(92*12)-1)/(Dashboard!$C10/12),0)</f>
        <v>245918126.884944</v>
      </c>
      <c r="D95" s="52" t="n">
        <f aca="false">I95+J95+K95+L95+M95</f>
        <v>262358.27244732</v>
      </c>
      <c r="E95" s="52" t="n">
        <f aca="false">E94+(D95-(C94-C95))</f>
        <v>253063521.513029</v>
      </c>
      <c r="F95" s="52" t="n">
        <f aca="false">(Dashboard!$C6-Dashboard!$C8)-C95</f>
        <v>-245518126.884944</v>
      </c>
      <c r="G95" s="52" t="n">
        <f aca="false">G94+D95</f>
        <v>7660394.62808505</v>
      </c>
      <c r="H95" s="47" t="n">
        <f aca="false">B95*(1-Dashboard!$C20)-C95</f>
        <v>-234785182.51674</v>
      </c>
      <c r="I95" s="52" t="n">
        <f aca="false">IF(C94&gt;0,Dashboard!$C26*12,0)</f>
        <v>0</v>
      </c>
      <c r="J95" s="52" t="n">
        <f aca="false">B95*Dashboard!$C13</f>
        <v>142122.694062175</v>
      </c>
      <c r="K95" s="52" t="n">
        <f aca="false">Dashboard!$C14*12</f>
        <v>1800</v>
      </c>
      <c r="L95" s="52" t="n">
        <f aca="false">B95*Dashboard!$C16</f>
        <v>118435.578385146</v>
      </c>
      <c r="M95" s="52" t="n">
        <f aca="false">IF(Dashboard!$C7&lt;0.2,C95*Dashboard!$C17,0)</f>
        <v>0</v>
      </c>
      <c r="N95" s="42"/>
      <c r="O95" s="52" t="n">
        <f aca="false">O94+T95</f>
        <v>14171365.5565691</v>
      </c>
      <c r="P95" s="52" t="n">
        <f aca="false">T95+U95</f>
        <v>442124.433686478</v>
      </c>
      <c r="Q95" s="52" t="n">
        <f aca="false">Q94*(1+Dashboard!$F11)+Dashboard!$F28*12</f>
        <v>142615507.216101</v>
      </c>
      <c r="R95" s="52" t="n">
        <f aca="false">Dashboard!$F6*Dashboard!$F9+O95+U95*92</f>
        <v>14198445.5565691</v>
      </c>
      <c r="S95" s="48" t="n">
        <f aca="false">Q95-MAX(Q95-(Dashboard!$C8+Dashboard!$C6*Dashboard!$C19+Dashboard!$F6*Dashboard!$F9),0)*Dashboard!$F12</f>
        <v>121241181.133686</v>
      </c>
      <c r="T95" s="52" t="n">
        <f aca="false">Dashboard!$F6*(1+Dashboard!$F7)^(92-1)*12</f>
        <v>441884.433686478</v>
      </c>
      <c r="U95" s="52" t="n">
        <f aca="false">Dashboard!$F8*12</f>
        <v>240</v>
      </c>
    </row>
    <row r="96" customFormat="false" ht="15" hidden="false" customHeight="true" outlineLevel="0" collapsed="false">
      <c r="A96" s="49" t="n">
        <v>93</v>
      </c>
      <c r="B96" s="50" t="n">
        <f aca="false">B95*(1+Dashboard!$C21)</f>
        <v>12258082.3628626</v>
      </c>
      <c r="C96" s="50" t="n">
        <f aca="false">MAX((Dashboard!$C6-Dashboard!$C8)*(1+Dashboard!$C10/12)^(93*12)-Dashboard!$C26*((1+Dashboard!$C10/12)^(93*12)-1)/(Dashboard!$C10/12),0)</f>
        <v>263695568.161471</v>
      </c>
      <c r="D96" s="50" t="n">
        <f aca="false">I96+J96+K96+L96+M96</f>
        <v>271477.811982976</v>
      </c>
      <c r="E96" s="50" t="n">
        <f aca="false">E95+(D96-(C95-C96))</f>
        <v>271112440.601539</v>
      </c>
      <c r="F96" s="50" t="n">
        <f aca="false">(Dashboard!$C6-Dashboard!$C8)-C96</f>
        <v>-263295568.161471</v>
      </c>
      <c r="G96" s="50" t="n">
        <f aca="false">G95+D96</f>
        <v>7931872.44006803</v>
      </c>
      <c r="H96" s="47" t="n">
        <f aca="false">B96*(1-Dashboard!$C20)-C96</f>
        <v>-252172970.74038</v>
      </c>
      <c r="I96" s="50" t="n">
        <f aca="false">IF(C95&gt;0,Dashboard!$C26*12,0)</f>
        <v>0</v>
      </c>
      <c r="J96" s="50" t="n">
        <f aca="false">B96*Dashboard!$C13</f>
        <v>147096.988354351</v>
      </c>
      <c r="K96" s="50" t="n">
        <f aca="false">Dashboard!$C14*12</f>
        <v>1800</v>
      </c>
      <c r="L96" s="50" t="n">
        <f aca="false">B96*Dashboard!$C16</f>
        <v>122580.823628626</v>
      </c>
      <c r="M96" s="50" t="n">
        <f aca="false">IF(Dashboard!$C7&lt;0.2,C96*Dashboard!$C17,0)</f>
        <v>0</v>
      </c>
      <c r="N96" s="42"/>
      <c r="O96" s="50" t="n">
        <f aca="false">O95+T96</f>
        <v>14626506.5232661</v>
      </c>
      <c r="P96" s="50" t="n">
        <f aca="false">T96+U96</f>
        <v>455380.966697073</v>
      </c>
      <c r="Q96" s="50" t="n">
        <f aca="false">Q95*(1+Dashboard!$F11)+Dashboard!$F28*12</f>
        <v>154024747.79339</v>
      </c>
      <c r="R96" s="50" t="n">
        <f aca="false">Dashboard!$F6*Dashboard!$F9+O96+U96*93</f>
        <v>14653826.5232661</v>
      </c>
      <c r="S96" s="48" t="n">
        <f aca="false">Q96-MAX(Q96-(Dashboard!$C8+Dashboard!$C6*Dashboard!$C19+Dashboard!$F6*Dashboard!$F9),0)*Dashboard!$F12</f>
        <v>130939035.624381</v>
      </c>
      <c r="T96" s="50" t="n">
        <f aca="false">Dashboard!$F6*(1+Dashboard!$F7)^(93-1)*12</f>
        <v>455140.966697073</v>
      </c>
      <c r="U96" s="50" t="n">
        <f aca="false">Dashboard!$F8*12</f>
        <v>240</v>
      </c>
    </row>
    <row r="97" customFormat="false" ht="15" hidden="false" customHeight="true" outlineLevel="0" collapsed="false">
      <c r="A97" s="51" t="n">
        <v>94</v>
      </c>
      <c r="B97" s="52" t="n">
        <f aca="false">B96*(1+Dashboard!$C21)</f>
        <v>12687115.2455627</v>
      </c>
      <c r="C97" s="52" t="n">
        <f aca="false">MAX((Dashboard!$C6-Dashboard!$C8)*(1+Dashboard!$C10/12)^(94*12)-Dashboard!$C26*((1+Dashboard!$C10/12)^(94*12)-1)/(Dashboard!$C10/12),0)</f>
        <v>282758142.105295</v>
      </c>
      <c r="D97" s="52" t="n">
        <f aca="false">I97+J97+K97+L97+M97</f>
        <v>280916.53540238</v>
      </c>
      <c r="E97" s="52" t="n">
        <f aca="false">E96+(D97-(C96-C97))</f>
        <v>290455931.080765</v>
      </c>
      <c r="F97" s="52" t="n">
        <f aca="false">(Dashboard!$C6-Dashboard!$C8)-C97</f>
        <v>-282358142.105295</v>
      </c>
      <c r="G97" s="52" t="n">
        <f aca="false">G96+D97</f>
        <v>8212788.97547041</v>
      </c>
      <c r="H97" s="47" t="n">
        <f aca="false">B97*(1-Dashboard!$C20)-C97</f>
        <v>-270832253.774466</v>
      </c>
      <c r="I97" s="52" t="n">
        <f aca="false">IF(C96&gt;0,Dashboard!$C26*12,0)</f>
        <v>0</v>
      </c>
      <c r="J97" s="52" t="n">
        <f aca="false">B97*Dashboard!$C13</f>
        <v>152245.382946753</v>
      </c>
      <c r="K97" s="52" t="n">
        <f aca="false">Dashboard!$C14*12</f>
        <v>1800</v>
      </c>
      <c r="L97" s="52" t="n">
        <f aca="false">B97*Dashboard!$C16</f>
        <v>126871.152455627</v>
      </c>
      <c r="M97" s="52" t="n">
        <f aca="false">IF(Dashboard!$C7&lt;0.2,C97*Dashboard!$C17,0)</f>
        <v>0</v>
      </c>
      <c r="N97" s="42"/>
      <c r="O97" s="52" t="n">
        <f aca="false">O96+T97</f>
        <v>15095301.7189641</v>
      </c>
      <c r="P97" s="52" t="n">
        <f aca="false">T97+U97</f>
        <v>469035.195697985</v>
      </c>
      <c r="Q97" s="52" t="n">
        <f aca="false">Q96*(1+Dashboard!$F11)+Dashboard!$F28*12</f>
        <v>166346727.616861</v>
      </c>
      <c r="R97" s="52" t="n">
        <f aca="false">Dashboard!$F6*Dashboard!$F9+O97+U97*94</f>
        <v>15122861.7189641</v>
      </c>
      <c r="S97" s="48" t="n">
        <f aca="false">Q97-MAX(Q97-(Dashboard!$C8+Dashboard!$C6*Dashboard!$C19+Dashboard!$F6*Dashboard!$F9),0)*Dashboard!$F12</f>
        <v>141412718.474332</v>
      </c>
      <c r="T97" s="52" t="n">
        <f aca="false">Dashboard!$F6*(1+Dashboard!$F7)^(94-1)*12</f>
        <v>468795.195697985</v>
      </c>
      <c r="U97" s="52" t="n">
        <f aca="false">Dashboard!$F8*12</f>
        <v>240</v>
      </c>
    </row>
    <row r="98" customFormat="false" ht="15" hidden="false" customHeight="true" outlineLevel="0" collapsed="false">
      <c r="A98" s="49" t="n">
        <v>95</v>
      </c>
      <c r="B98" s="50" t="n">
        <f aca="false">B97*(1+Dashboard!$C21)</f>
        <v>13131164.2791574</v>
      </c>
      <c r="C98" s="50" t="n">
        <f aca="false">MAX((Dashboard!$C6-Dashboard!$C8)*(1+Dashboard!$C10/12)^(95*12)-Dashboard!$C26*((1+Dashboard!$C10/12)^(95*12)-1)/(Dashboard!$C10/12),0)</f>
        <v>303198751.060845</v>
      </c>
      <c r="D98" s="50" t="n">
        <f aca="false">I98+J98+K98+L98+M98</f>
        <v>290685.614141464</v>
      </c>
      <c r="E98" s="50" t="n">
        <f aca="false">E97+(D98-(C97-C98))</f>
        <v>311187225.650457</v>
      </c>
      <c r="F98" s="50" t="n">
        <f aca="false">(Dashboard!$C6-Dashboard!$C8)-C98</f>
        <v>-302798751.060845</v>
      </c>
      <c r="G98" s="50" t="n">
        <f aca="false">G97+D98</f>
        <v>8503474.58961188</v>
      </c>
      <c r="H98" s="47" t="n">
        <f aca="false">B98*(1-Dashboard!$C20)-C98</f>
        <v>-290855456.638437</v>
      </c>
      <c r="I98" s="50" t="n">
        <f aca="false">IF(C97&gt;0,Dashboard!$C26*12,0)</f>
        <v>0</v>
      </c>
      <c r="J98" s="50" t="n">
        <f aca="false">B98*Dashboard!$C13</f>
        <v>157573.971349889</v>
      </c>
      <c r="K98" s="50" t="n">
        <f aca="false">Dashboard!$C14*12</f>
        <v>1800</v>
      </c>
      <c r="L98" s="50" t="n">
        <f aca="false">B98*Dashboard!$C16</f>
        <v>131311.642791574</v>
      </c>
      <c r="M98" s="50" t="n">
        <f aca="false">IF(Dashboard!$C7&lt;0.2,C98*Dashboard!$C17,0)</f>
        <v>0</v>
      </c>
      <c r="N98" s="42"/>
      <c r="O98" s="50" t="n">
        <f aca="false">O97+T98</f>
        <v>15578160.7705331</v>
      </c>
      <c r="P98" s="50" t="n">
        <f aca="false">T98+U98</f>
        <v>483099.051568924</v>
      </c>
      <c r="Q98" s="50" t="n">
        <f aca="false">Q97*(1+Dashboard!$F11)+Dashboard!$F28*12</f>
        <v>179654465.82621</v>
      </c>
      <c r="R98" s="50" t="n">
        <f aca="false">Dashboard!$F6*Dashboard!$F9+O98+U98*95</f>
        <v>15605960.7705331</v>
      </c>
      <c r="S98" s="48" t="n">
        <f aca="false">Q98-MAX(Q98-(Dashboard!$C8+Dashboard!$C6*Dashboard!$C19+Dashboard!$F6*Dashboard!$F9),0)*Dashboard!$F12</f>
        <v>152724295.952278</v>
      </c>
      <c r="T98" s="50" t="n">
        <f aca="false">Dashboard!$F6*(1+Dashboard!$F7)^(95-1)*12</f>
        <v>482859.051568924</v>
      </c>
      <c r="U98" s="50" t="n">
        <f aca="false">Dashboard!$F8*12</f>
        <v>240</v>
      </c>
    </row>
    <row r="99" customFormat="false" ht="15" hidden="false" customHeight="true" outlineLevel="0" collapsed="false">
      <c r="A99" s="51" t="n">
        <v>96</v>
      </c>
      <c r="B99" s="52" t="n">
        <f aca="false">B98*(1+Dashboard!$C21)</f>
        <v>13590755.028928</v>
      </c>
      <c r="C99" s="52" t="n">
        <f aca="false">MAX((Dashboard!$C6-Dashboard!$C8)*(1+Dashboard!$C10/12)^(96*12)-Dashboard!$C26*((1+Dashboard!$C10/12)^(96*12)-1)/(Dashboard!$C10/12),0)</f>
        <v>325117013.290544</v>
      </c>
      <c r="D99" s="52" t="n">
        <f aca="false">I99+J99+K99+L99+M99</f>
        <v>300796.610636415</v>
      </c>
      <c r="E99" s="52" t="n">
        <f aca="false">E98+(D99-(C98-C99))</f>
        <v>333406284.490792</v>
      </c>
      <c r="F99" s="52" t="n">
        <f aca="false">(Dashboard!$C6-Dashboard!$C8)-C99</f>
        <v>-324717013.290544</v>
      </c>
      <c r="G99" s="52" t="n">
        <f aca="false">G98+D99</f>
        <v>8804271.20024829</v>
      </c>
      <c r="H99" s="47" t="n">
        <f aca="false">B99*(1-Dashboard!$C20)-C99</f>
        <v>-312341703.563351</v>
      </c>
      <c r="I99" s="52" t="n">
        <f aca="false">IF(C98&gt;0,Dashboard!$C26*12,0)</f>
        <v>0</v>
      </c>
      <c r="J99" s="52" t="n">
        <f aca="false">B99*Dashboard!$C13</f>
        <v>163089.060347135</v>
      </c>
      <c r="K99" s="52" t="n">
        <f aca="false">Dashboard!$C14*12</f>
        <v>1800</v>
      </c>
      <c r="L99" s="52" t="n">
        <f aca="false">B99*Dashboard!$C16</f>
        <v>135907.55028928</v>
      </c>
      <c r="M99" s="52" t="n">
        <f aca="false">IF(Dashboard!$C7&lt;0.2,C99*Dashboard!$C17,0)</f>
        <v>0</v>
      </c>
      <c r="N99" s="42"/>
      <c r="O99" s="52" t="n">
        <f aca="false">O98+T99</f>
        <v>16075505.593649</v>
      </c>
      <c r="P99" s="52" t="n">
        <f aca="false">T99+U99</f>
        <v>497584.823115992</v>
      </c>
      <c r="Q99" s="52" t="n">
        <f aca="false">Q98*(1+Dashboard!$F11)+Dashboard!$F28*12</f>
        <v>194026823.092306</v>
      </c>
      <c r="R99" s="52" t="n">
        <f aca="false">Dashboard!$F6*Dashboard!$F9+O99+U99*96</f>
        <v>16103545.593649</v>
      </c>
      <c r="S99" s="48" t="n">
        <f aca="false">Q99-MAX(Q99-(Dashboard!$C8+Dashboard!$C6*Dashboard!$C19+Dashboard!$F6*Dashboard!$F9),0)*Dashboard!$F12</f>
        <v>164940799.62846</v>
      </c>
      <c r="T99" s="52" t="n">
        <f aca="false">Dashboard!$F6*(1+Dashboard!$F7)^(96-1)*12</f>
        <v>497344.823115992</v>
      </c>
      <c r="U99" s="52" t="n">
        <f aca="false">Dashboard!$F8*12</f>
        <v>240</v>
      </c>
    </row>
    <row r="100" customFormat="false" ht="15" hidden="false" customHeight="true" outlineLevel="0" collapsed="false">
      <c r="A100" s="49" t="n">
        <v>97</v>
      </c>
      <c r="B100" s="50" t="n">
        <f aca="false">B99*(1+Dashboard!$C21)</f>
        <v>14066431.4549404</v>
      </c>
      <c r="C100" s="50" t="n">
        <f aca="false">MAX((Dashboard!$C6-Dashboard!$C8)*(1+Dashboard!$C10/12)^(97*12)-Dashboard!$C26*((1+Dashboard!$C10/12)^(97*12)-1)/(Dashboard!$C10/12),0)</f>
        <v>348619748.469055</v>
      </c>
      <c r="D100" s="50" t="n">
        <f aca="false">I100+J100+K100+L100+M100</f>
        <v>311261.492008689</v>
      </c>
      <c r="E100" s="50" t="n">
        <f aca="false">E99+(D100-(C99-C100))</f>
        <v>357220281.161312</v>
      </c>
      <c r="F100" s="50" t="n">
        <f aca="false">(Dashboard!$C6-Dashboard!$C8)-C100</f>
        <v>-348219748.469055</v>
      </c>
      <c r="G100" s="50" t="n">
        <f aca="false">G99+D100</f>
        <v>9115532.69225698</v>
      </c>
      <c r="H100" s="47" t="n">
        <f aca="false">B100*(1-Dashboard!$C20)-C100</f>
        <v>-335397302.901411</v>
      </c>
      <c r="I100" s="50" t="n">
        <f aca="false">IF(C99&gt;0,Dashboard!$C26*12,0)</f>
        <v>0</v>
      </c>
      <c r="J100" s="50" t="n">
        <f aca="false">B100*Dashboard!$C13</f>
        <v>168797.177459285</v>
      </c>
      <c r="K100" s="50" t="n">
        <f aca="false">Dashboard!$C14*12</f>
        <v>1800</v>
      </c>
      <c r="L100" s="50" t="n">
        <f aca="false">B100*Dashboard!$C16</f>
        <v>140664.314549404</v>
      </c>
      <c r="M100" s="50" t="n">
        <f aca="false">IF(Dashboard!$C7&lt;0.2,C100*Dashboard!$C17,0)</f>
        <v>0</v>
      </c>
      <c r="N100" s="42"/>
      <c r="O100" s="50" t="n">
        <f aca="false">O99+T100</f>
        <v>16587770.7614585</v>
      </c>
      <c r="P100" s="50" t="n">
        <f aca="false">T100+U100</f>
        <v>512505.167809472</v>
      </c>
      <c r="Q100" s="50" t="n">
        <f aca="false">Q99*(1+Dashboard!$F11)+Dashboard!$F28*12</f>
        <v>209548968.939691</v>
      </c>
      <c r="R100" s="50" t="n">
        <f aca="false">Dashboard!$F6*Dashboard!$F9+O100+U100*97</f>
        <v>16616050.7614585</v>
      </c>
      <c r="S100" s="48" t="n">
        <f aca="false">Q100-MAX(Q100-(Dashboard!$C8+Dashboard!$C6*Dashboard!$C19+Dashboard!$F6*Dashboard!$F9),0)*Dashboard!$F12</f>
        <v>178134623.598737</v>
      </c>
      <c r="T100" s="50" t="n">
        <f aca="false">Dashboard!$F6*(1+Dashboard!$F7)^(97-1)*12</f>
        <v>512265.167809472</v>
      </c>
      <c r="U100" s="50" t="n">
        <f aca="false">Dashboard!$F8*12</f>
        <v>240</v>
      </c>
    </row>
    <row r="101" customFormat="false" ht="15" hidden="false" customHeight="true" outlineLevel="0" collapsed="false">
      <c r="A101" s="51" t="n">
        <v>98</v>
      </c>
      <c r="B101" s="52" t="n">
        <f aca="false">B100*(1+Dashboard!$C21)</f>
        <v>14558756.5558633</v>
      </c>
      <c r="C101" s="52" t="n">
        <f aca="false">MAX((Dashboard!$C6-Dashboard!$C8)*(1+Dashboard!$C10/12)^(98*12)-Dashboard!$C26*((1+Dashboard!$C10/12)^(98*12)-1)/(Dashboard!$C10/12),0)</f>
        <v>373821498.273964</v>
      </c>
      <c r="D101" s="52" t="n">
        <f aca="false">I101+J101+K101+L101+M101</f>
        <v>322092.644228994</v>
      </c>
      <c r="E101" s="52" t="n">
        <f aca="false">E100+(D101-(C100-C101))</f>
        <v>382744123.61045</v>
      </c>
      <c r="F101" s="52" t="n">
        <f aca="false">(Dashboard!$C6-Dashboard!$C8)-C101</f>
        <v>-373421498.273964</v>
      </c>
      <c r="G101" s="52" t="n">
        <f aca="false">G100+D101</f>
        <v>9437625.33648597</v>
      </c>
      <c r="H101" s="47" t="n">
        <f aca="false">B101*(1-Dashboard!$C20)-C101</f>
        <v>-360136267.111452</v>
      </c>
      <c r="I101" s="52" t="n">
        <f aca="false">IF(C100&gt;0,Dashboard!$C26*12,0)</f>
        <v>0</v>
      </c>
      <c r="J101" s="52" t="n">
        <f aca="false">B101*Dashboard!$C13</f>
        <v>174705.07867036</v>
      </c>
      <c r="K101" s="52" t="n">
        <f aca="false">Dashboard!$C14*12</f>
        <v>1800</v>
      </c>
      <c r="L101" s="52" t="n">
        <f aca="false">B101*Dashboard!$C16</f>
        <v>145587.565558633</v>
      </c>
      <c r="M101" s="52" t="n">
        <f aca="false">IF(Dashboard!$C7&lt;0.2,C101*Dashboard!$C17,0)</f>
        <v>0</v>
      </c>
      <c r="N101" s="42"/>
      <c r="O101" s="52" t="n">
        <f aca="false">O100+T101</f>
        <v>17115403.8843023</v>
      </c>
      <c r="P101" s="52" t="n">
        <f aca="false">T101+U101</f>
        <v>527873.122843756</v>
      </c>
      <c r="Q101" s="52" t="n">
        <f aca="false">Q100*(1+Dashboard!$F11)+Dashboard!$F28*12</f>
        <v>226312886.454866</v>
      </c>
      <c r="R101" s="52" t="n">
        <f aca="false">Dashboard!$F6*Dashboard!$F9+O101+U101*98</f>
        <v>17143923.8843023</v>
      </c>
      <c r="S101" s="48" t="n">
        <f aca="false">Q101-MAX(Q101-(Dashboard!$C8+Dashboard!$C6*Dashboard!$C19+Dashboard!$F6*Dashboard!$F9),0)*Dashboard!$F12</f>
        <v>192383953.486636</v>
      </c>
      <c r="T101" s="52" t="n">
        <f aca="false">Dashboard!$F6*(1+Dashboard!$F7)^(98-1)*12</f>
        <v>527633.122843756</v>
      </c>
      <c r="U101" s="52" t="n">
        <f aca="false">Dashboard!$F8*12</f>
        <v>240</v>
      </c>
    </row>
    <row r="102" customFormat="false" ht="15" hidden="false" customHeight="true" outlineLevel="0" collapsed="false">
      <c r="A102" s="49" t="n">
        <v>99</v>
      </c>
      <c r="B102" s="50" t="n">
        <f aca="false">B101*(1+Dashboard!$C21)</f>
        <v>15068313.0353186</v>
      </c>
      <c r="C102" s="50" t="n">
        <f aca="false">MAX((Dashboard!$C6-Dashboard!$C8)*(1+Dashboard!$C10/12)^(99*12)-Dashboard!$C26*((1+Dashboard!$C10/12)^(99*12)-1)/(Dashboard!$C10/12),0)</f>
        <v>400845084.609988</v>
      </c>
      <c r="D102" s="50" t="n">
        <f aca="false">I102+J102+K102+L102+M102</f>
        <v>333302.886777008</v>
      </c>
      <c r="E102" s="50" t="n">
        <f aca="false">E101+(D102-(C101-C102))</f>
        <v>410101012.833251</v>
      </c>
      <c r="F102" s="50" t="n">
        <f aca="false">(Dashboard!$C6-Dashboard!$C8)-C102</f>
        <v>-400445084.609988</v>
      </c>
      <c r="G102" s="50" t="n">
        <f aca="false">G101+D102</f>
        <v>9770928.22326298</v>
      </c>
      <c r="H102" s="47" t="n">
        <f aca="false">B102*(1-Dashboard!$C20)-C102</f>
        <v>-386680870.356788</v>
      </c>
      <c r="I102" s="50" t="n">
        <f aca="false">IF(C101&gt;0,Dashboard!$C26*12,0)</f>
        <v>0</v>
      </c>
      <c r="J102" s="50" t="n">
        <f aca="false">B102*Dashboard!$C13</f>
        <v>180819.756423823</v>
      </c>
      <c r="K102" s="50" t="n">
        <f aca="false">Dashboard!$C14*12</f>
        <v>1800</v>
      </c>
      <c r="L102" s="50" t="n">
        <f aca="false">B102*Dashboard!$C16</f>
        <v>150683.130353186</v>
      </c>
      <c r="M102" s="50" t="n">
        <f aca="false">IF(Dashboard!$C7&lt;0.2,C102*Dashboard!$C17,0)</f>
        <v>0</v>
      </c>
      <c r="N102" s="42"/>
      <c r="O102" s="50" t="n">
        <f aca="false">O101+T102</f>
        <v>17658866.0008313</v>
      </c>
      <c r="P102" s="50" t="n">
        <f aca="false">T102+U102</f>
        <v>543702.116529069</v>
      </c>
      <c r="Q102" s="50" t="n">
        <f aca="false">Q101*(1+Dashboard!$F11)+Dashboard!$F28*12</f>
        <v>244417917.371255</v>
      </c>
      <c r="R102" s="50" t="n">
        <f aca="false">Dashboard!$F6*Dashboard!$F9+O102+U102*99</f>
        <v>17687626.0008313</v>
      </c>
      <c r="S102" s="48" t="n">
        <f aca="false">Q102-MAX(Q102-(Dashboard!$C8+Dashboard!$C6*Dashboard!$C19+Dashboard!$F6*Dashboard!$F9),0)*Dashboard!$F12</f>
        <v>207773229.765567</v>
      </c>
      <c r="T102" s="50" t="n">
        <f aca="false">Dashboard!$F6*(1+Dashboard!$F7)^(99-1)*12</f>
        <v>543462.116529069</v>
      </c>
      <c r="U102" s="50" t="n">
        <f aca="false">Dashboard!$F8*12</f>
        <v>240</v>
      </c>
    </row>
    <row r="103" customFormat="false" ht="15" hidden="false" customHeight="true" outlineLevel="0" collapsed="false">
      <c r="A103" s="51" t="n">
        <v>100</v>
      </c>
      <c r="B103" s="52" t="n">
        <f aca="false">B102*(1+Dashboard!$C21)</f>
        <v>15595703.9915547</v>
      </c>
      <c r="C103" s="52" t="n">
        <f aca="false">MAX((Dashboard!$C6-Dashboard!$C8)*(1+Dashboard!$C10/12)^(100*12)-Dashboard!$C26*((1+Dashboard!$C10/12)^(100*12)-1)/(Dashboard!$C10/12),0)</f>
        <v>429822208.187269</v>
      </c>
      <c r="D103" s="52" t="n">
        <f aca="false">I103+J103+K103+L103+M103</f>
        <v>344905.487814204</v>
      </c>
      <c r="E103" s="52" t="n">
        <f aca="false">E102+(D103-(C102-C103))</f>
        <v>439423041.898346</v>
      </c>
      <c r="F103" s="52" t="n">
        <f aca="false">(Dashboard!$C6-Dashboard!$C8)-C103</f>
        <v>-429422208.187269</v>
      </c>
      <c r="G103" s="52" t="n">
        <f aca="false">G102+D103</f>
        <v>10115833.7110772</v>
      </c>
      <c r="H103" s="47" t="n">
        <f aca="false">B103*(1-Dashboard!$C20)-C103</f>
        <v>-415162246.435207</v>
      </c>
      <c r="I103" s="52" t="n">
        <f aca="false">IF(C102&gt;0,Dashboard!$C26*12,0)</f>
        <v>0</v>
      </c>
      <c r="J103" s="52" t="n">
        <f aca="false">B103*Dashboard!$C13</f>
        <v>187148.447898656</v>
      </c>
      <c r="K103" s="52" t="n">
        <f aca="false">Dashboard!$C14*12</f>
        <v>1800</v>
      </c>
      <c r="L103" s="52" t="n">
        <f aca="false">B103*Dashboard!$C16</f>
        <v>155957.039915547</v>
      </c>
      <c r="M103" s="52" t="n">
        <f aca="false">IF(Dashboard!$C7&lt;0.2,C103*Dashboard!$C17,0)</f>
        <v>0</v>
      </c>
      <c r="N103" s="42"/>
      <c r="O103" s="52" t="n">
        <f aca="false">O102+T103</f>
        <v>18218631.9808563</v>
      </c>
      <c r="P103" s="52" t="n">
        <f aca="false">T103+U103</f>
        <v>560005.980024941</v>
      </c>
      <c r="Q103" s="52" t="n">
        <f aca="false">Q102*(1+Dashboard!$F11)+Dashboard!$F28*12</f>
        <v>263971350.760956</v>
      </c>
      <c r="R103" s="52" t="n">
        <f aca="false">Dashboard!$F6*Dashboard!$F9+O103+U103*100</f>
        <v>18247631.9808563</v>
      </c>
      <c r="S103" s="48" t="n">
        <f aca="false">Q103-MAX(Q103-(Dashboard!$C8+Dashboard!$C6*Dashboard!$C19+Dashboard!$F6*Dashboard!$F9),0)*Dashboard!$F12</f>
        <v>224393648.146813</v>
      </c>
      <c r="T103" s="52" t="n">
        <f aca="false">Dashboard!$F6*(1+Dashboard!$F7)^(100-1)*12</f>
        <v>559765.980024941</v>
      </c>
      <c r="U103" s="52" t="n">
        <f aca="false">Dashboard!$F8*12</f>
        <v>240</v>
      </c>
    </row>
  </sheetData>
  <sheetProtection sheet="true" password="ed9b"/>
  <mergeCells count="1"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9" min="5" style="1" width="14"/>
  </cols>
  <sheetData>
    <row r="1" customFormat="false" ht="30" hidden="false" customHeight="true" outlineLevel="0" collapsed="false">
      <c r="A1" s="53" t="s">
        <v>89</v>
      </c>
      <c r="B1" s="53"/>
      <c r="C1" s="53"/>
      <c r="D1" s="53"/>
      <c r="E1" s="53"/>
      <c r="F1" s="53"/>
    </row>
    <row r="2" customFormat="false" ht="19.5" hidden="false" customHeight="true" outlineLevel="0" collapsed="false">
      <c r="A2" s="10" t="s">
        <v>90</v>
      </c>
      <c r="B2" s="10"/>
      <c r="C2" s="10"/>
      <c r="D2" s="10"/>
      <c r="E2" s="10"/>
      <c r="F2" s="10"/>
    </row>
    <row r="3" customFormat="false" ht="21.75" hidden="false" customHeight="true" outlineLevel="0" collapsed="false">
      <c r="A3" s="54" t="s">
        <v>91</v>
      </c>
      <c r="B3" s="29" t="n">
        <v>1</v>
      </c>
      <c r="C3" s="54" t="s">
        <v>92</v>
      </c>
      <c r="D3" s="29" t="n">
        <v>30</v>
      </c>
    </row>
    <row r="4" customFormat="false" ht="7.5" hidden="false" customHeight="true" outlineLevel="0" collapsed="false"/>
    <row r="5" customFormat="false" ht="19.5" hidden="false" customHeight="true" outlineLevel="0" collapsed="false">
      <c r="A5" s="10" t="s">
        <v>93</v>
      </c>
      <c r="B5" s="10"/>
      <c r="C5" s="10"/>
      <c r="D5" s="10"/>
      <c r="E5" s="10"/>
      <c r="F5" s="10"/>
      <c r="G5" s="10"/>
      <c r="H5" s="10"/>
      <c r="I5" s="10"/>
    </row>
    <row r="6" customFormat="false" ht="31.5" hidden="false" customHeight="true" outlineLevel="0" collapsed="false">
      <c r="A6" s="41" t="s">
        <v>94</v>
      </c>
      <c r="B6" s="41" t="s">
        <v>95</v>
      </c>
      <c r="C6" s="41" t="s">
        <v>96</v>
      </c>
      <c r="D6" s="41" t="s">
        <v>74</v>
      </c>
      <c r="E6" s="43" t="s">
        <v>84</v>
      </c>
      <c r="F6" s="43" t="s">
        <v>69</v>
      </c>
      <c r="G6" s="43" t="s">
        <v>83</v>
      </c>
      <c r="H6" s="43" t="s">
        <v>97</v>
      </c>
      <c r="I6" s="43" t="s">
        <v>98</v>
      </c>
    </row>
    <row r="7" customFormat="false" ht="15" hidden="false" customHeight="true" outlineLevel="0" collapsed="false">
      <c r="A7" s="55" t="n">
        <v>0</v>
      </c>
      <c r="B7" s="52" t="n">
        <f aca="false">IFERROR(Schedule!$H$3,0)</f>
        <v>70000</v>
      </c>
      <c r="C7" s="52" t="n">
        <f aca="false">IFERROR(Schedule!$S$3,0)</f>
        <v>120000</v>
      </c>
      <c r="D7" s="52" t="n">
        <f aca="false">IFERROR(Schedule!$G$3,0)</f>
        <v>115000</v>
      </c>
      <c r="E7" s="52" t="n">
        <f aca="false">IFERROR(Schedule!$R$3,0)</f>
        <v>5000</v>
      </c>
      <c r="F7" s="52" t="n">
        <f aca="false">IFERROR(Schedule!$B$3,0)</f>
        <v>500000</v>
      </c>
      <c r="G7" s="52" t="n">
        <f aca="false">IFERROR(Schedule!$Q$3,0)</f>
        <v>120000</v>
      </c>
      <c r="H7" s="52" t="n">
        <f aca="false">IFERROR(Schedule!$D$3,0)</f>
        <v>0</v>
      </c>
      <c r="I7" s="52" t="n">
        <f aca="false">IFERROR(Schedule!$P$3,0)</f>
        <v>0</v>
      </c>
    </row>
    <row r="8" customFormat="false" ht="15" hidden="false" customHeight="true" outlineLevel="0" collapsed="false">
      <c r="A8" s="56" t="n">
        <v>1</v>
      </c>
      <c r="B8" s="50" t="n">
        <f aca="false">IFERROR(Schedule!$H$4,0)</f>
        <v>57533.9676575056</v>
      </c>
      <c r="C8" s="50" t="n">
        <f aca="false">IFERROR(Schedule!$S$4,0)</f>
        <v>128160</v>
      </c>
      <c r="D8" s="50" t="n">
        <f aca="false">IFERROR(Schedule!$G$4,0)</f>
        <v>128185</v>
      </c>
      <c r="E8" s="50" t="n">
        <f aca="false">IFERROR(Schedule!$R$4,0)</f>
        <v>35240</v>
      </c>
      <c r="F8" s="50" t="n">
        <f aca="false">IFERROR(Schedule!$B$4,0)</f>
        <v>517500</v>
      </c>
      <c r="G8" s="50" t="n">
        <f aca="false">IFERROR(Schedule!$Q$4,0)</f>
        <v>129600</v>
      </c>
      <c r="H8" s="50" t="n">
        <f aca="false">IFERROR(Schedule!$D$4,0)</f>
        <v>13185</v>
      </c>
      <c r="I8" s="50" t="n">
        <f aca="false">IFERROR(Schedule!$P$4,0)</f>
        <v>30240</v>
      </c>
    </row>
    <row r="9" customFormat="false" ht="15" hidden="false" customHeight="true" outlineLevel="0" collapsed="false">
      <c r="A9" s="55" t="n">
        <v>2</v>
      </c>
      <c r="B9" s="52" t="n">
        <f aca="false">IFERROR(Schedule!$H$5,0)</f>
        <v>43553.3429989307</v>
      </c>
      <c r="C9" s="52" t="n">
        <f aca="false">IFERROR(Schedule!$S$5,0)</f>
        <v>136972.8</v>
      </c>
      <c r="D9" s="52" t="n">
        <f aca="false">IFERROR(Schedule!$G$5,0)</f>
        <v>141768.475</v>
      </c>
      <c r="E9" s="52" t="n">
        <f aca="false">IFERROR(Schedule!$R$5,0)</f>
        <v>66380</v>
      </c>
      <c r="F9" s="52" t="n">
        <f aca="false">IFERROR(Schedule!$B$5,0)</f>
        <v>535612.5</v>
      </c>
      <c r="G9" s="52" t="n">
        <f aca="false">IFERROR(Schedule!$Q$5,0)</f>
        <v>139968</v>
      </c>
      <c r="H9" s="52" t="n">
        <f aca="false">IFERROR(Schedule!$D$5,0)</f>
        <v>13583.475</v>
      </c>
      <c r="I9" s="52" t="n">
        <f aca="false">IFERROR(Schedule!$P$5,0)</f>
        <v>31140</v>
      </c>
    </row>
    <row r="10" customFormat="false" ht="15" hidden="false" customHeight="true" outlineLevel="0" collapsed="false">
      <c r="A10" s="56" t="n">
        <v>3</v>
      </c>
      <c r="B10" s="50" t="n">
        <f aca="false">IFERROR(Schedule!$H$6,0)</f>
        <v>27927.1662592287</v>
      </c>
      <c r="C10" s="50" t="n">
        <f aca="false">IFERROR(Schedule!$S$6,0)</f>
        <v>146490.624</v>
      </c>
      <c r="D10" s="50" t="n">
        <f aca="false">IFERROR(Schedule!$G$6,0)</f>
        <v>155764.371625</v>
      </c>
      <c r="E10" s="50" t="n">
        <f aca="false">IFERROR(Schedule!$R$6,0)</f>
        <v>98447</v>
      </c>
      <c r="F10" s="50" t="n">
        <f aca="false">IFERROR(Schedule!$B$6,0)</f>
        <v>554358.9375</v>
      </c>
      <c r="G10" s="50" t="n">
        <f aca="false">IFERROR(Schedule!$Q$6,0)</f>
        <v>151165.44</v>
      </c>
      <c r="H10" s="50" t="n">
        <f aca="false">IFERROR(Schedule!$D$6,0)</f>
        <v>13995.896625</v>
      </c>
      <c r="I10" s="50" t="n">
        <f aca="false">IFERROR(Schedule!$P$6,0)</f>
        <v>32067</v>
      </c>
    </row>
    <row r="11" customFormat="false" ht="15" hidden="false" customHeight="true" outlineLevel="0" collapsed="false">
      <c r="A11" s="55" t="n">
        <v>4</v>
      </c>
      <c r="B11" s="52" t="n">
        <f aca="false">IFERROR(Schedule!$H$7,0)</f>
        <v>10514.2591396068</v>
      </c>
      <c r="C11" s="52" t="n">
        <f aca="false">IFERROR(Schedule!$S$7,0)</f>
        <v>156769.87392</v>
      </c>
      <c r="D11" s="52" t="n">
        <f aca="false">IFERROR(Schedule!$G$7,0)</f>
        <v>170187.124631875</v>
      </c>
      <c r="E11" s="52" t="n">
        <f aca="false">IFERROR(Schedule!$R$7,0)</f>
        <v>131468.81</v>
      </c>
      <c r="F11" s="52" t="n">
        <f aca="false">IFERROR(Schedule!$B$7,0)</f>
        <v>573761.5003125</v>
      </c>
      <c r="G11" s="52" t="n">
        <f aca="false">IFERROR(Schedule!$Q$7,0)</f>
        <v>163258.6752</v>
      </c>
      <c r="H11" s="52" t="n">
        <f aca="false">IFERROR(Schedule!$D$7,0)</f>
        <v>14422.753006875</v>
      </c>
      <c r="I11" s="52" t="n">
        <f aca="false">IFERROR(Schedule!$P$7,0)</f>
        <v>33021.81</v>
      </c>
    </row>
    <row r="12" customFormat="false" ht="15" hidden="false" customHeight="true" outlineLevel="0" collapsed="false">
      <c r="A12" s="56" t="n">
        <v>5</v>
      </c>
      <c r="B12" s="50" t="n">
        <f aca="false">IFERROR(Schedule!$H$8,0)</f>
        <v>-8837.54019156506</v>
      </c>
      <c r="C12" s="50" t="n">
        <f aca="false">IFERROR(Schedule!$S$8,0)</f>
        <v>167871.4638336</v>
      </c>
      <c r="D12" s="50" t="n">
        <f aca="false">IFERROR(Schedule!$G$8,0)</f>
        <v>185051.673993991</v>
      </c>
      <c r="E12" s="50" t="n">
        <f aca="false">IFERROR(Schedule!$R$8,0)</f>
        <v>165474.0743</v>
      </c>
      <c r="F12" s="50" t="n">
        <f aca="false">IFERROR(Schedule!$B$8,0)</f>
        <v>593843.152823437</v>
      </c>
      <c r="G12" s="50" t="n">
        <f aca="false">IFERROR(Schedule!$Q$8,0)</f>
        <v>176319.369216</v>
      </c>
      <c r="H12" s="50" t="n">
        <f aca="false">IFERROR(Schedule!$D$8,0)</f>
        <v>14864.5493621156</v>
      </c>
      <c r="I12" s="50" t="n">
        <f aca="false">IFERROR(Schedule!$P$8,0)</f>
        <v>34005.2643</v>
      </c>
    </row>
    <row r="13" customFormat="false" ht="15" hidden="false" customHeight="true" outlineLevel="0" collapsed="false">
      <c r="A13" s="55" t="n">
        <v>6</v>
      </c>
      <c r="B13" s="52" t="n">
        <f aca="false">IFERROR(Schedule!$H$9,0)</f>
        <v>-30292.1983202092</v>
      </c>
      <c r="C13" s="52" t="n">
        <f aca="false">IFERROR(Schedule!$S$9,0)</f>
        <v>179861.180940288</v>
      </c>
      <c r="D13" s="52" t="n">
        <f aca="false">IFERROR(Schedule!$G$9,0)</f>
        <v>200373.48258378</v>
      </c>
      <c r="E13" s="52" t="n">
        <f aca="false">IFERROR(Schedule!$R$9,0)</f>
        <v>200492.296529</v>
      </c>
      <c r="F13" s="52" t="n">
        <f aca="false">IFERROR(Schedule!$B$9,0)</f>
        <v>614627.663172258</v>
      </c>
      <c r="G13" s="52" t="n">
        <f aca="false">IFERROR(Schedule!$Q$9,0)</f>
        <v>190424.91875328</v>
      </c>
      <c r="H13" s="52" t="n">
        <f aca="false">IFERROR(Schedule!$D$9,0)</f>
        <v>15321.8085897897</v>
      </c>
      <c r="I13" s="52" t="n">
        <f aca="false">IFERROR(Schedule!$P$9,0)</f>
        <v>35018.222229</v>
      </c>
    </row>
    <row r="14" customFormat="false" ht="15" hidden="false" customHeight="true" outlineLevel="0" collapsed="false">
      <c r="A14" s="56" t="n">
        <v>7</v>
      </c>
      <c r="B14" s="50" t="n">
        <f aca="false">IFERROR(Schedule!$H$10,0)</f>
        <v>-54026.3681268928</v>
      </c>
      <c r="C14" s="50" t="n">
        <f aca="false">IFERROR(Schedule!$S$10,0)</f>
        <v>192810.075415511</v>
      </c>
      <c r="D14" s="50" t="n">
        <f aca="false">IFERROR(Schedule!$G$10,0)</f>
        <v>216168.554474213</v>
      </c>
      <c r="E14" s="50" t="n">
        <f aca="false">IFERROR(Schedule!$R$10,0)</f>
        <v>236553.86542487</v>
      </c>
      <c r="F14" s="50" t="n">
        <f aca="false">IFERROR(Schedule!$B$10,0)</f>
        <v>636139.631383286</v>
      </c>
      <c r="G14" s="50" t="n">
        <f aca="false">IFERROR(Schedule!$Q$10,0)</f>
        <v>205658.912253543</v>
      </c>
      <c r="H14" s="50" t="n">
        <f aca="false">IFERROR(Schedule!$D$10,0)</f>
        <v>15795.0718904323</v>
      </c>
      <c r="I14" s="50" t="n">
        <f aca="false">IFERROR(Schedule!$P$10,0)</f>
        <v>36061.56889587</v>
      </c>
    </row>
    <row r="15" customFormat="false" ht="15" hidden="false" customHeight="true" outlineLevel="0" collapsed="false">
      <c r="A15" s="55" t="n">
        <v>8</v>
      </c>
      <c r="B15" s="52" t="n">
        <f aca="false">IFERROR(Schedule!$H$11,0)</f>
        <v>-80230.3350398854</v>
      </c>
      <c r="C15" s="52" t="n">
        <f aca="false">IFERROR(Schedule!$S$11,0)</f>
        <v>206794.881448752</v>
      </c>
      <c r="D15" s="52" t="n">
        <f aca="false">IFERROR(Schedule!$G$11,0)</f>
        <v>232453.45388081</v>
      </c>
      <c r="E15" s="52" t="n">
        <f aca="false">IFERROR(Schedule!$R$11,0)</f>
        <v>273690.081387616</v>
      </c>
      <c r="F15" s="52" t="n">
        <f aca="false">IFERROR(Schedule!$B$11,0)</f>
        <v>658404.518481701</v>
      </c>
      <c r="G15" s="52" t="n">
        <f aca="false">IFERROR(Schedule!$Q$11,0)</f>
        <v>222111.625233826</v>
      </c>
      <c r="H15" s="52" t="n">
        <f aca="false">IFERROR(Schedule!$D$11,0)</f>
        <v>16284.8994065974</v>
      </c>
      <c r="I15" s="52" t="n">
        <f aca="false">IFERROR(Schedule!$P$11,0)</f>
        <v>37136.2159627461</v>
      </c>
    </row>
    <row r="16" customFormat="false" ht="15" hidden="false" customHeight="true" outlineLevel="0" collapsed="false">
      <c r="A16" s="56" t="n">
        <v>9</v>
      </c>
      <c r="B16" s="50" t="n">
        <f aca="false">IFERROR(Schedule!$H$12,0)</f>
        <v>-109109.032713518</v>
      </c>
      <c r="C16" s="50" t="n">
        <f aca="false">IFERROR(Schedule!$S$12,0)</f>
        <v>221898.471964652</v>
      </c>
      <c r="D16" s="50" t="n">
        <f aca="false">IFERROR(Schedule!$G$12,0)</f>
        <v>249245.324766638</v>
      </c>
      <c r="E16" s="50" t="n">
        <f aca="false">IFERROR(Schedule!$R$12,0)</f>
        <v>311933.183829245</v>
      </c>
      <c r="F16" s="50" t="n">
        <f aca="false">IFERROR(Schedule!$B$12,0)</f>
        <v>681448.676628561</v>
      </c>
      <c r="G16" s="50" t="n">
        <f aca="false">IFERROR(Schedule!$Q$12,0)</f>
        <v>239880.555252532</v>
      </c>
      <c r="H16" s="50" t="n">
        <f aca="false">IFERROR(Schedule!$D$12,0)</f>
        <v>16791.8708858283</v>
      </c>
      <c r="I16" s="50" t="n">
        <f aca="false">IFERROR(Schedule!$P$12,0)</f>
        <v>38243.1024416285</v>
      </c>
    </row>
    <row r="17" customFormat="false" ht="15" hidden="false" customHeight="true" outlineLevel="0" collapsed="false">
      <c r="A17" s="55" t="n">
        <v>10</v>
      </c>
      <c r="B17" s="52" t="n">
        <f aca="false">IFERROR(Schedule!$H$13,0)</f>
        <v>-140883.133186326</v>
      </c>
      <c r="C17" s="52" t="n">
        <f aca="false">IFERROR(Schedule!$S$13,0)</f>
        <v>238210.349721824</v>
      </c>
      <c r="D17" s="52" t="n">
        <f aca="false">IFERROR(Schedule!$G$13,0)</f>
        <v>266561.911133471</v>
      </c>
      <c r="E17" s="52" t="n">
        <f aca="false">IFERROR(Schedule!$R$13,0)</f>
        <v>351316.379344122</v>
      </c>
      <c r="F17" s="52" t="n">
        <f aca="false">IFERROR(Schedule!$B$13,0)</f>
        <v>705299.380310561</v>
      </c>
      <c r="G17" s="52" t="n">
        <f aca="false">IFERROR(Schedule!$Q$13,0)</f>
        <v>259070.999672735</v>
      </c>
      <c r="H17" s="52" t="n">
        <f aca="false">IFERROR(Schedule!$D$13,0)</f>
        <v>17316.5863668323</v>
      </c>
      <c r="I17" s="52" t="n">
        <f aca="false">IFERROR(Schedule!$P$13,0)</f>
        <v>39383.1955148774</v>
      </c>
    </row>
    <row r="18" customFormat="false" ht="15" hidden="false" customHeight="true" outlineLevel="0" collapsed="false">
      <c r="A18" s="56" t="n">
        <v>11</v>
      </c>
      <c r="B18" s="50" t="n">
        <f aca="false">IFERROR(Schedule!$H$14,0)</f>
        <v>-175790.216940102</v>
      </c>
      <c r="C18" s="50" t="n">
        <f aca="false">IFERROR(Schedule!$S$14,0)</f>
        <v>255827.17769957</v>
      </c>
      <c r="D18" s="50" t="n">
        <f aca="false">IFERROR(Schedule!$G$14,0)</f>
        <v>284421.578023142</v>
      </c>
      <c r="E18" s="50" t="n">
        <f aca="false">IFERROR(Schedule!$R$14,0)</f>
        <v>391873.870724446</v>
      </c>
      <c r="F18" s="50" t="n">
        <f aca="false">IFERROR(Schedule!$B$14,0)</f>
        <v>729984.85862143</v>
      </c>
      <c r="G18" s="50" t="n">
        <f aca="false">IFERROR(Schedule!$Q$14,0)</f>
        <v>279796.679646553</v>
      </c>
      <c r="H18" s="50" t="n">
        <f aca="false">IFERROR(Schedule!$D$14,0)</f>
        <v>17859.6668896715</v>
      </c>
      <c r="I18" s="50" t="n">
        <f aca="false">IFERROR(Schedule!$P$14,0)</f>
        <v>40557.4913803237</v>
      </c>
    </row>
    <row r="19" customFormat="false" ht="15" hidden="false" customHeight="true" outlineLevel="0" collapsed="false">
      <c r="A19" s="55" t="n">
        <v>12</v>
      </c>
      <c r="B19" s="52" t="n">
        <f aca="false">IFERROR(Schedule!$H$15,0)</f>
        <v>-214086.028674149</v>
      </c>
      <c r="C19" s="52" t="n">
        <f aca="false">IFERROR(Schedule!$S$15,0)</f>
        <v>274853.351915536</v>
      </c>
      <c r="D19" s="52" t="n">
        <f aca="false">IFERROR(Schedule!$G$15,0)</f>
        <v>302843.333253952</v>
      </c>
      <c r="E19" s="52" t="n">
        <f aca="false">IFERROR(Schedule!$R$15,0)</f>
        <v>433640.886846179</v>
      </c>
      <c r="F19" s="52" t="n">
        <f aca="false">IFERROR(Schedule!$B$15,0)</f>
        <v>755534.32867318</v>
      </c>
      <c r="G19" s="52" t="n">
        <f aca="false">IFERROR(Schedule!$Q$15,0)</f>
        <v>302180.414018278</v>
      </c>
      <c r="H19" s="52" t="n">
        <f aca="false">IFERROR(Schedule!$D$15,0)</f>
        <v>18421.75523081</v>
      </c>
      <c r="I19" s="52" t="n">
        <f aca="false">IFERROR(Schedule!$P$15,0)</f>
        <v>41767.0161217334</v>
      </c>
    </row>
    <row r="20" customFormat="false" ht="15" hidden="false" customHeight="true" outlineLevel="0" collapsed="false">
      <c r="A20" s="56" t="n">
        <v>13</v>
      </c>
      <c r="B20" s="50" t="n">
        <f aca="false">IFERROR(Schedule!$H$16,0)</f>
        <v>-256045.825030725</v>
      </c>
      <c r="C20" s="50" t="n">
        <f aca="false">IFERROR(Schedule!$S$16,0)</f>
        <v>295401.620068779</v>
      </c>
      <c r="D20" s="50" t="n">
        <f aca="false">IFERROR(Schedule!$G$16,0)</f>
        <v>321846.84991784</v>
      </c>
      <c r="E20" s="50" t="n">
        <f aca="false">IFERROR(Schedule!$R$16,0)</f>
        <v>476653.713451564</v>
      </c>
      <c r="F20" s="50" t="n">
        <f aca="false">IFERROR(Schedule!$B$16,0)</f>
        <v>781978.030176741</v>
      </c>
      <c r="G20" s="50" t="n">
        <f aca="false">IFERROR(Schedule!$Q$16,0)</f>
        <v>326354.84713974</v>
      </c>
      <c r="H20" s="50" t="n">
        <f aca="false">IFERROR(Schedule!$D$16,0)</f>
        <v>19003.5166638883</v>
      </c>
      <c r="I20" s="50" t="n">
        <f aca="false">IFERROR(Schedule!$P$16,0)</f>
        <v>43012.8266053854</v>
      </c>
    </row>
    <row r="21" customFormat="false" ht="15" hidden="false" customHeight="true" outlineLevel="0" collapsed="false">
      <c r="A21" s="55" t="n">
        <v>14</v>
      </c>
      <c r="B21" s="52" t="n">
        <f aca="false">IFERROR(Schedule!$H$17,0)</f>
        <v>-301965.820959803</v>
      </c>
      <c r="C21" s="52" t="n">
        <f aca="false">IFERROR(Schedule!$S$17,0)</f>
        <v>317593.749674281</v>
      </c>
      <c r="D21" s="52" t="n">
        <f aca="false">IFERROR(Schedule!$G$17,0)</f>
        <v>341452.489664965</v>
      </c>
      <c r="E21" s="52" t="n">
        <f aca="false">IFERROR(Schedule!$R$17,0)</f>
        <v>520949.724855111</v>
      </c>
      <c r="F21" s="52" t="n">
        <f aca="false">IFERROR(Schedule!$B$17,0)</f>
        <v>809347.261232927</v>
      </c>
      <c r="G21" s="52" t="n">
        <f aca="false">IFERROR(Schedule!$Q$17,0)</f>
        <v>352463.234910919</v>
      </c>
      <c r="H21" s="52" t="n">
        <f aca="false">IFERROR(Schedule!$D$17,0)</f>
        <v>19605.6397471244</v>
      </c>
      <c r="I21" s="52" t="n">
        <f aca="false">IFERROR(Schedule!$P$17,0)</f>
        <v>44296.0114035469</v>
      </c>
    </row>
    <row r="22" customFormat="false" ht="15" hidden="false" customHeight="true" outlineLevel="0" collapsed="false">
      <c r="A22" s="56" t="n">
        <v>15</v>
      </c>
      <c r="B22" s="50" t="n">
        <f aca="false">IFERROR(Schedule!$H$18,0)</f>
        <v>-352164.741896227</v>
      </c>
      <c r="C22" s="50" t="n">
        <f aca="false">IFERROR(Schedule!$S$18,0)</f>
        <v>341561.249648224</v>
      </c>
      <c r="D22" s="50" t="n">
        <f aca="false">IFERROR(Schedule!$G$18,0)</f>
        <v>361681.326803239</v>
      </c>
      <c r="E22" s="50" t="n">
        <f aca="false">IFERROR(Schedule!$R$18,0)</f>
        <v>566567.416600765</v>
      </c>
      <c r="F22" s="50" t="n">
        <f aca="false">IFERROR(Schedule!$B$18,0)</f>
        <v>837674.41537608</v>
      </c>
      <c r="G22" s="50" t="n">
        <f aca="false">IFERROR(Schedule!$Q$18,0)</f>
        <v>380660.293703793</v>
      </c>
      <c r="H22" s="50" t="n">
        <f aca="false">IFERROR(Schedule!$D$18,0)</f>
        <v>20228.8371382738</v>
      </c>
      <c r="I22" s="50" t="n">
        <f aca="false">IFERROR(Schedule!$P$18,0)</f>
        <v>45617.6917456534</v>
      </c>
    </row>
    <row r="23" customFormat="false" ht="15" hidden="false" customHeight="true" outlineLevel="0" collapsed="false">
      <c r="A23" s="55" t="n">
        <v>16</v>
      </c>
      <c r="B23" s="52" t="n">
        <f aca="false">IFERROR(Schedule!$H$19,0)</f>
        <v>-406985.489442361</v>
      </c>
      <c r="C23" s="52" t="n">
        <f aca="false">IFERROR(Schedule!$S$19,0)</f>
        <v>367446.149620082</v>
      </c>
      <c r="D23" s="52" t="n">
        <f aca="false">IFERROR(Schedule!$G$19,0)</f>
        <v>382555.173241352</v>
      </c>
      <c r="E23" s="52" t="n">
        <f aca="false">IFERROR(Schedule!$R$19,0)</f>
        <v>613546.439098788</v>
      </c>
      <c r="F23" s="52" t="n">
        <f aca="false">IFERROR(Schedule!$B$19,0)</f>
        <v>866993.019914242</v>
      </c>
      <c r="G23" s="52" t="n">
        <f aca="false">IFERROR(Schedule!$Q$19,0)</f>
        <v>411113.117200096</v>
      </c>
      <c r="H23" s="52" t="n">
        <f aca="false">IFERROR(Schedule!$D$19,0)</f>
        <v>20873.8464381133</v>
      </c>
      <c r="I23" s="52" t="n">
        <f aca="false">IFERROR(Schedule!$P$19,0)</f>
        <v>46979.022498023</v>
      </c>
    </row>
    <row r="24" customFormat="false" ht="15" hidden="false" customHeight="true" outlineLevel="0" collapsed="false">
      <c r="A24" s="56" t="n">
        <v>17</v>
      </c>
      <c r="B24" s="50" t="n">
        <f aca="false">IFERROR(Schedule!$H$20,0)</f>
        <v>-466796.928806995</v>
      </c>
      <c r="C24" s="50" t="n">
        <f aca="false">IFERROR(Schedule!$S$20,0)</f>
        <v>395401.841589688</v>
      </c>
      <c r="D24" s="50" t="n">
        <f aca="false">IFERROR(Schedule!$G$20,0)</f>
        <v>404096.604304799</v>
      </c>
      <c r="E24" s="50" t="n">
        <f aca="false">IFERROR(Schedule!$R$20,0)</f>
        <v>661927.632271751</v>
      </c>
      <c r="F24" s="50" t="n">
        <f aca="false">IFERROR(Schedule!$B$20,0)</f>
        <v>897337.775611241</v>
      </c>
      <c r="G24" s="50" t="n">
        <f aca="false">IFERROR(Schedule!$Q$20,0)</f>
        <v>444002.166576104</v>
      </c>
      <c r="H24" s="50" t="n">
        <f aca="false">IFERROR(Schedule!$D$20,0)</f>
        <v>21541.4310634473</v>
      </c>
      <c r="I24" s="50" t="n">
        <f aca="false">IFERROR(Schedule!$P$20,0)</f>
        <v>48381.1931729636</v>
      </c>
    </row>
    <row r="25" customFormat="false" ht="15" hidden="false" customHeight="true" outlineLevel="0" collapsed="false">
      <c r="A25" s="55" t="n">
        <v>18</v>
      </c>
      <c r="B25" s="52" t="n">
        <f aca="false">IFERROR(Schedule!$H$21,0)</f>
        <v>-531995.806849319</v>
      </c>
      <c r="C25" s="52" t="n">
        <f aca="false">IFERROR(Schedule!$S$21,0)</f>
        <v>425593.988916863</v>
      </c>
      <c r="D25" s="52" t="n">
        <f aca="false">IFERROR(Schedule!$G$21,0)</f>
        <v>426328.985455467</v>
      </c>
      <c r="E25" s="52" t="n">
        <f aca="false">IFERROR(Schedule!$R$21,0)</f>
        <v>711753.061239904</v>
      </c>
      <c r="F25" s="52" t="n">
        <f aca="false">IFERROR(Schedule!$B$21,0)</f>
        <v>928744.597757634</v>
      </c>
      <c r="G25" s="52" t="n">
        <f aca="false">IFERROR(Schedule!$Q$21,0)</f>
        <v>479522.339902192</v>
      </c>
      <c r="H25" s="52" t="n">
        <f aca="false">IFERROR(Schedule!$D$21,0)</f>
        <v>22232.381150668</v>
      </c>
      <c r="I25" s="52" t="n">
        <f aca="false">IFERROR(Schedule!$P$21,0)</f>
        <v>49825.4289681526</v>
      </c>
    </row>
    <row r="26" customFormat="false" ht="15" hidden="false" customHeight="true" outlineLevel="0" collapsed="false">
      <c r="A26" s="56" t="n">
        <v>19</v>
      </c>
      <c r="B26" s="50" t="n">
        <f aca="false">IFERROR(Schedule!$H$22,0)</f>
        <v>-603008.810218099</v>
      </c>
      <c r="C26" s="50" t="n">
        <f aca="false">IFERROR(Schedule!$S$22,0)</f>
        <v>458201.508030213</v>
      </c>
      <c r="D26" s="50" t="n">
        <f aca="false">IFERROR(Schedule!$G$22,0)</f>
        <v>449276.499946408</v>
      </c>
      <c r="E26" s="50" t="n">
        <f aca="false">IFERROR(Schedule!$R$22,0)</f>
        <v>763066.053077101</v>
      </c>
      <c r="F26" s="50" t="n">
        <f aca="false">IFERROR(Schedule!$B$22,0)</f>
        <v>961250.658679151</v>
      </c>
      <c r="G26" s="50" t="n">
        <f aca="false">IFERROR(Schedule!$Q$22,0)</f>
        <v>517884.127094368</v>
      </c>
      <c r="H26" s="50" t="n">
        <f aca="false">IFERROR(Schedule!$D$22,0)</f>
        <v>22947.5144909413</v>
      </c>
      <c r="I26" s="50" t="n">
        <f aca="false">IFERROR(Schedule!$P$22,0)</f>
        <v>51312.9918371971</v>
      </c>
    </row>
    <row r="27" customFormat="false" ht="15" hidden="false" customHeight="true" outlineLevel="0" collapsed="false">
      <c r="A27" s="55" t="n">
        <v>20</v>
      </c>
      <c r="B27" s="52" t="n">
        <f aca="false">IFERROR(Schedule!$H$23,0)</f>
        <v>-680294.773763929</v>
      </c>
      <c r="C27" s="52" t="n">
        <f aca="false">IFERROR(Schedule!$S$23,0)</f>
        <v>493417.62867263</v>
      </c>
      <c r="D27" s="52" t="n">
        <f aca="false">IFERROR(Schedule!$G$23,0)</f>
        <v>472964.177444533</v>
      </c>
      <c r="E27" s="52" t="n">
        <f aca="false">IFERROR(Schedule!$R$23,0)</f>
        <v>815911.234669414</v>
      </c>
      <c r="F27" s="52" t="n">
        <f aca="false">IFERROR(Schedule!$B$23,0)</f>
        <v>994894.431732921</v>
      </c>
      <c r="G27" s="52" t="n">
        <f aca="false">IFERROR(Schedule!$Q$23,0)</f>
        <v>559314.857261917</v>
      </c>
      <c r="H27" s="52" t="n">
        <f aca="false">IFERROR(Schedule!$D$23,0)</f>
        <v>23687.6774981243</v>
      </c>
      <c r="I27" s="52" t="n">
        <f aca="false">IFERROR(Schedule!$P$23,0)</f>
        <v>52845.1815923131</v>
      </c>
    </row>
    <row r="28" customFormat="false" ht="15" hidden="false" customHeight="true" outlineLevel="0" collapsed="false">
      <c r="A28" s="56" t="n">
        <v>21</v>
      </c>
      <c r="B28" s="50" t="n">
        <f aca="false">IFERROR(Schedule!$H$24,0)</f>
        <v>-764347.050139973</v>
      </c>
      <c r="C28" s="50" t="n">
        <f aca="false">IFERROR(Schedule!$S$24,0)</f>
        <v>531451.03896644</v>
      </c>
      <c r="D28" s="50" t="n">
        <f aca="false">IFERROR(Schedule!$G$24,0)</f>
        <v>497417.923655091</v>
      </c>
      <c r="E28" s="50" t="n">
        <f aca="false">IFERROR(Schedule!$R$24,0)</f>
        <v>870334.571709496</v>
      </c>
      <c r="F28" s="50" t="n">
        <f aca="false">IFERROR(Schedule!$B$24,0)</f>
        <v>1029715.73684357</v>
      </c>
      <c r="G28" s="50" t="n">
        <f aca="false">IFERROR(Schedule!$Q$24,0)</f>
        <v>604060.045842871</v>
      </c>
      <c r="H28" s="50" t="n">
        <f aca="false">IFERROR(Schedule!$D$24,0)</f>
        <v>24453.7462105586</v>
      </c>
      <c r="I28" s="50" t="n">
        <f aca="false">IFERROR(Schedule!$P$24,0)</f>
        <v>54423.3370400825</v>
      </c>
    </row>
    <row r="29" customFormat="false" ht="15" hidden="false" customHeight="true" outlineLevel="0" collapsed="false">
      <c r="A29" s="55" t="n">
        <v>22</v>
      </c>
      <c r="B29" s="52" t="n">
        <f aca="false">IFERROR(Schedule!$H$25,0)</f>
        <v>-855696.052297503</v>
      </c>
      <c r="C29" s="52" t="n">
        <f aca="false">IFERROR(Schedule!$S$25,0)</f>
        <v>572527.122083755</v>
      </c>
      <c r="D29" s="52" t="n">
        <f aca="false">IFERROR(Schedule!$G$25,0)</f>
        <v>522664.550983019</v>
      </c>
      <c r="E29" s="52" t="n">
        <f aca="false">IFERROR(Schedule!$R$25,0)</f>
        <v>926383.408860781</v>
      </c>
      <c r="F29" s="52" t="n">
        <f aca="false">IFERROR(Schedule!$B$25,0)</f>
        <v>1065755.7876331</v>
      </c>
      <c r="G29" s="52" t="n">
        <f aca="false">IFERROR(Schedule!$Q$25,0)</f>
        <v>652384.8495103</v>
      </c>
      <c r="H29" s="52" t="n">
        <f aca="false">IFERROR(Schedule!$D$25,0)</f>
        <v>25246.6273279282</v>
      </c>
      <c r="I29" s="52" t="n">
        <f aca="false">IFERROR(Schedule!$P$25,0)</f>
        <v>56048.8371512849</v>
      </c>
    </row>
    <row r="30" customFormat="false" ht="15" hidden="false" customHeight="true" outlineLevel="0" collapsed="false">
      <c r="A30" s="56" t="n">
        <v>23</v>
      </c>
      <c r="B30" s="50" t="n">
        <f aca="false">IFERROR(Schedule!$H$26,0)</f>
        <v>-954911.981430661</v>
      </c>
      <c r="C30" s="50" t="n">
        <f aca="false">IFERROR(Schedule!$S$26,0)</f>
        <v>616889.291850456</v>
      </c>
      <c r="D30" s="50" t="n">
        <f aca="false">IFERROR(Schedule!$G$26,0)</f>
        <v>548731.810267425</v>
      </c>
      <c r="E30" s="50" t="n">
        <f aca="false">IFERROR(Schedule!$R$26,0)</f>
        <v>984106.511126605</v>
      </c>
      <c r="F30" s="50" t="n">
        <f aca="false">IFERROR(Schedule!$B$26,0)</f>
        <v>1103057.24020026</v>
      </c>
      <c r="G30" s="50" t="n">
        <f aca="false">IFERROR(Schedule!$Q$26,0)</f>
        <v>704575.637471124</v>
      </c>
      <c r="H30" s="50" t="n">
        <f aca="false">IFERROR(Schedule!$D$26,0)</f>
        <v>26067.2592844057</v>
      </c>
      <c r="I30" s="50" t="n">
        <f aca="false">IFERROR(Schedule!$P$26,0)</f>
        <v>57723.1022658235</v>
      </c>
    </row>
    <row r="31" customFormat="false" ht="15" hidden="false" customHeight="true" outlineLevel="0" collapsed="false">
      <c r="A31" s="55" t="n">
        <v>24</v>
      </c>
      <c r="B31" s="52" t="n">
        <f aca="false">IFERROR(Schedule!$H$27,0)</f>
        <v>-1062607.75383443</v>
      </c>
      <c r="C31" s="52" t="n">
        <f aca="false">IFERROR(Schedule!$S$27,0)</f>
        <v>664800.435198492</v>
      </c>
      <c r="D31" s="52" t="n">
        <f aca="false">IFERROR(Schedule!$G$27,0)</f>
        <v>575648.423626785</v>
      </c>
      <c r="E31" s="52" t="n">
        <f aca="false">IFERROR(Schedule!$R$27,0)</f>
        <v>1043554.1064604</v>
      </c>
      <c r="F31" s="52" t="n">
        <f aca="false">IFERROR(Schedule!$B$27,0)</f>
        <v>1141664.24360727</v>
      </c>
      <c r="G31" s="52" t="n">
        <f aca="false">IFERROR(Schedule!$Q$27,0)</f>
        <v>760941.688468814</v>
      </c>
      <c r="H31" s="52" t="n">
        <f aca="false">IFERROR(Schedule!$D$27,0)</f>
        <v>26916.6133593598</v>
      </c>
      <c r="I31" s="52" t="n">
        <f aca="false">IFERROR(Schedule!$P$27,0)</f>
        <v>59447.5953337982</v>
      </c>
    </row>
    <row r="32" customFormat="false" ht="15" hidden="false" customHeight="true" outlineLevel="0" collapsed="false">
      <c r="A32" s="56" t="n">
        <v>25</v>
      </c>
      <c r="B32" s="50" t="n">
        <f aca="false">IFERROR(Schedule!$H$28,0)</f>
        <v>-1179442.14111508</v>
      </c>
      <c r="C32" s="50" t="n">
        <f aca="false">IFERROR(Schedule!$S$28,0)</f>
        <v>716544.470014372</v>
      </c>
      <c r="D32" s="50" t="n">
        <f aca="false">IFERROR(Schedule!$G$28,0)</f>
        <v>603444.118453722</v>
      </c>
      <c r="E32" s="50" t="n">
        <f aca="false">IFERROR(Schedule!$R$28,0)</f>
        <v>1104777.92965422</v>
      </c>
      <c r="F32" s="50" t="n">
        <f aca="false">IFERROR(Schedule!$B$28,0)</f>
        <v>1181622.49213352</v>
      </c>
      <c r="G32" s="50" t="n">
        <f aca="false">IFERROR(Schedule!$Q$28,0)</f>
        <v>821817.02354632</v>
      </c>
      <c r="H32" s="50" t="n">
        <f aca="false">IFERROR(Schedule!$D$28,0)</f>
        <v>27795.6948269374</v>
      </c>
      <c r="I32" s="50" t="n">
        <f aca="false">IFERROR(Schedule!$P$28,0)</f>
        <v>61223.8231938121</v>
      </c>
    </row>
    <row r="33" customFormat="false" ht="15" hidden="false" customHeight="true" outlineLevel="0" collapsed="false">
      <c r="A33" s="55" t="n">
        <v>26</v>
      </c>
      <c r="B33" s="52" t="n">
        <f aca="false">IFERROR(Schedule!$H$29,0)</f>
        <v>-1306123.13923836</v>
      </c>
      <c r="C33" s="52" t="n">
        <f aca="false">IFERROR(Schedule!$S$29,0)</f>
        <v>772428.027615521</v>
      </c>
      <c r="D33" s="52" t="n">
        <f aca="false">IFERROR(Schedule!$G$29,0)</f>
        <v>632149.662599603</v>
      </c>
      <c r="E33" s="52" t="n">
        <f aca="false">IFERROR(Schedule!$R$29,0)</f>
        <v>1167831.26754384</v>
      </c>
      <c r="F33" s="52" t="n">
        <f aca="false">IFERROR(Schedule!$B$29,0)</f>
        <v>1222979.27935819</v>
      </c>
      <c r="G33" s="52" t="n">
        <f aca="false">IFERROR(Schedule!$Q$29,0)</f>
        <v>887562.385430025</v>
      </c>
      <c r="H33" s="52" t="n">
        <f aca="false">IFERROR(Schedule!$D$29,0)</f>
        <v>28705.5441458802</v>
      </c>
      <c r="I33" s="52" t="n">
        <f aca="false">IFERROR(Schedule!$P$29,0)</f>
        <v>63053.3378896265</v>
      </c>
    </row>
    <row r="34" customFormat="false" ht="15" hidden="false" customHeight="true" outlineLevel="0" collapsed="false">
      <c r="A34" s="56" t="n">
        <v>27</v>
      </c>
      <c r="B34" s="50" t="n">
        <f aca="false">IFERROR(Schedule!$H$30,0)</f>
        <v>-1443411.5830221</v>
      </c>
      <c r="C34" s="50" t="n">
        <f aca="false">IFERROR(Schedule!$S$30,0)</f>
        <v>832782.269824763</v>
      </c>
      <c r="D34" s="50" t="n">
        <f aca="false">IFERROR(Schedule!$G$30,0)</f>
        <v>661796.900790589</v>
      </c>
      <c r="E34" s="50" t="n">
        <f aca="false">IFERROR(Schedule!$R$30,0)</f>
        <v>1232769.00557016</v>
      </c>
      <c r="F34" s="50" t="n">
        <f aca="false">IFERROR(Schedule!$B$30,0)</f>
        <v>1265783.55413573</v>
      </c>
      <c r="G34" s="50" t="n">
        <f aca="false">IFERROR(Schedule!$Q$30,0)</f>
        <v>958567.376264427</v>
      </c>
      <c r="H34" s="50" t="n">
        <f aca="false">IFERROR(Schedule!$D$30,0)</f>
        <v>29647.2381909861</v>
      </c>
      <c r="I34" s="50" t="n">
        <f aca="false">IFERROR(Schedule!$P$30,0)</f>
        <v>64937.7380263153</v>
      </c>
    </row>
    <row r="35" customFormat="false" ht="15" hidden="false" customHeight="true" outlineLevel="0" collapsed="false">
      <c r="A35" s="55" t="n">
        <v>28</v>
      </c>
      <c r="B35" s="52" t="n">
        <f aca="false">IFERROR(Schedule!$H$31,0)</f>
        <v>-1592125.023883</v>
      </c>
      <c r="C35" s="52" t="n">
        <f aca="false">IFERROR(Schedule!$S$31,0)</f>
        <v>897964.851410744</v>
      </c>
      <c r="D35" s="52" t="n">
        <f aca="false">IFERROR(Schedule!$G$31,0)</f>
        <v>692418.792318259</v>
      </c>
      <c r="E35" s="52" t="n">
        <f aca="false">IFERROR(Schedule!$R$31,0)</f>
        <v>1299647.67573726</v>
      </c>
      <c r="F35" s="52" t="n">
        <f aca="false">IFERROR(Schedule!$B$31,0)</f>
        <v>1310085.97853048</v>
      </c>
      <c r="G35" s="52" t="n">
        <f aca="false">IFERROR(Schedule!$Q$31,0)</f>
        <v>1035252.76636558</v>
      </c>
      <c r="H35" s="52" t="n">
        <f aca="false">IFERROR(Schedule!$D$31,0)</f>
        <v>30621.8915276706</v>
      </c>
      <c r="I35" s="52" t="n">
        <f aca="false">IFERROR(Schedule!$P$31,0)</f>
        <v>66878.6701671048</v>
      </c>
    </row>
    <row r="36" customFormat="false" ht="15" hidden="false" customHeight="true" outlineLevel="0" collapsed="false">
      <c r="A36" s="56" t="n">
        <v>29</v>
      </c>
      <c r="B36" s="50" t="n">
        <f aca="false">IFERROR(Schedule!$H$32,0)</f>
        <v>-1753141.88993668</v>
      </c>
      <c r="C36" s="50" t="n">
        <f aca="false">IFERROR(Schedule!$S$32,0)</f>
        <v>968362.039523604</v>
      </c>
      <c r="D36" s="50" t="n">
        <f aca="false">IFERROR(Schedule!$G$32,0)</f>
        <v>724049.450049398</v>
      </c>
      <c r="E36" s="50" t="n">
        <f aca="false">IFERROR(Schedule!$R$32,0)</f>
        <v>1368525.50600938</v>
      </c>
      <c r="F36" s="50" t="n">
        <f aca="false">IFERROR(Schedule!$B$32,0)</f>
        <v>1355938.98777905</v>
      </c>
      <c r="G36" s="50" t="n">
        <f aca="false">IFERROR(Schedule!$Q$32,0)</f>
        <v>1118072.98767483</v>
      </c>
      <c r="H36" s="50" t="n">
        <f aca="false">IFERROR(Schedule!$D$32,0)</f>
        <v>31630.657731139</v>
      </c>
      <c r="I36" s="50" t="n">
        <f aca="false">IFERROR(Schedule!$P$32,0)</f>
        <v>68877.8302721179</v>
      </c>
    </row>
    <row r="37" customFormat="false" ht="15" hidden="false" customHeight="true" outlineLevel="0" collapsed="false">
      <c r="A37" s="55" t="n">
        <v>30</v>
      </c>
      <c r="B37" s="52" t="n">
        <f aca="false">IFERROR(Schedule!$H$33,0)</f>
        <v>-1927405.94893364</v>
      </c>
      <c r="C37" s="52" t="n">
        <f aca="false">IFERROR(Schedule!$S$33,0)</f>
        <v>1044391.00268549</v>
      </c>
      <c r="D37" s="52" t="n">
        <f aca="false">IFERROR(Schedule!$G$33,0)</f>
        <v>756724.180801127</v>
      </c>
      <c r="E37" s="52" t="n">
        <f aca="false">IFERROR(Schedule!$R$33,0)</f>
        <v>1439462.47118966</v>
      </c>
      <c r="F37" s="52" t="n">
        <f aca="false">IFERROR(Schedule!$B$33,0)</f>
        <v>1403396.85235131</v>
      </c>
      <c r="G37" s="52" t="n">
        <f aca="false">IFERROR(Schedule!$Q$33,0)</f>
        <v>1207518.82668881</v>
      </c>
      <c r="H37" s="52" t="n">
        <f aca="false">IFERROR(Schedule!$D$33,0)</f>
        <v>32674.7307517289</v>
      </c>
      <c r="I37" s="52" t="n">
        <f aca="false">IFERROR(Schedule!$P$33,0)</f>
        <v>70936.9651802814</v>
      </c>
    </row>
    <row r="38" customFormat="false" ht="15" hidden="false" customHeight="true" outlineLevel="0" collapsed="false">
      <c r="A38" s="56" t="n">
        <v>31</v>
      </c>
      <c r="B38" s="50" t="n">
        <f aca="false">IFERROR(Schedule!$H$34,0)</f>
        <v>-2115931.09599655</v>
      </c>
      <c r="C38" s="50" t="n">
        <f aca="false">IFERROR(Schedule!$S$34,0)</f>
        <v>1126502.28290033</v>
      </c>
      <c r="D38" s="50" t="n">
        <f aca="false">IFERROR(Schedule!$G$34,0)</f>
        <v>790479.527129166</v>
      </c>
      <c r="E38" s="50" t="n">
        <f aca="false">IFERROR(Schedule!$R$34,0)</f>
        <v>1512520.34532535</v>
      </c>
      <c r="F38" s="50" t="n">
        <f aca="false">IFERROR(Schedule!$B$34,0)</f>
        <v>1452515.74218361</v>
      </c>
      <c r="G38" s="50" t="n">
        <f aca="false">IFERROR(Schedule!$Q$34,0)</f>
        <v>1304120.33282392</v>
      </c>
      <c r="H38" s="50" t="n">
        <f aca="false">IFERROR(Schedule!$D$34,0)</f>
        <v>33755.3463280394</v>
      </c>
      <c r="I38" s="50" t="n">
        <f aca="false">IFERROR(Schedule!$P$34,0)</f>
        <v>73057.8741356899</v>
      </c>
    </row>
    <row r="39" customFormat="false" ht="15" hidden="false" customHeight="true" outlineLevel="0" collapsed="false">
      <c r="A39" s="55" t="n">
        <v>32</v>
      </c>
      <c r="B39" s="52" t="n">
        <f aca="false">IFERROR(Schedule!$H$35,0)</f>
        <v>-2319806.48971509</v>
      </c>
      <c r="C39" s="52" t="n">
        <f aca="false">IFERROR(Schedule!$S$35,0)</f>
        <v>1215182.46553236</v>
      </c>
      <c r="D39" s="52" t="n">
        <f aca="false">IFERROR(Schedule!$G$35,0)</f>
        <v>825353.310578687</v>
      </c>
      <c r="E39" s="52" t="n">
        <f aca="false">IFERROR(Schedule!$R$35,0)</f>
        <v>1587762.75568511</v>
      </c>
      <c r="F39" s="52" t="n">
        <f aca="false">IFERROR(Schedule!$B$35,0)</f>
        <v>1503353.79316004</v>
      </c>
      <c r="G39" s="52" t="n">
        <f aca="false">IFERROR(Schedule!$Q$35,0)</f>
        <v>1408449.95944983</v>
      </c>
      <c r="H39" s="52" t="n">
        <f aca="false">IFERROR(Schedule!$D$35,0)</f>
        <v>34873.7834495208</v>
      </c>
      <c r="I39" s="52" t="n">
        <f aca="false">IFERROR(Schedule!$P$35,0)</f>
        <v>75242.4103597606</v>
      </c>
    </row>
    <row r="40" customFormat="false" ht="15" hidden="false" customHeight="true" outlineLevel="0" collapsed="false">
      <c r="A40" s="56" t="n">
        <v>33</v>
      </c>
      <c r="B40" s="50" t="n">
        <f aca="false">IFERROR(Schedule!$H$36,0)</f>
        <v>-2540202.06185973</v>
      </c>
      <c r="C40" s="50" t="n">
        <f aca="false">IFERROR(Schedule!$S$36,0)</f>
        <v>1310957.06277495</v>
      </c>
      <c r="D40" s="50" t="n">
        <f aca="false">IFERROR(Schedule!$G$36,0)</f>
        <v>861384.676448941</v>
      </c>
      <c r="E40" s="50" t="n">
        <f aca="false">IFERROR(Schedule!$R$36,0)</f>
        <v>1665255.23835566</v>
      </c>
      <c r="F40" s="50" t="n">
        <f aca="false">IFERROR(Schedule!$B$36,0)</f>
        <v>1555971.17592064</v>
      </c>
      <c r="G40" s="50" t="n">
        <f aca="false">IFERROR(Schedule!$Q$36,0)</f>
        <v>1521125.95620582</v>
      </c>
      <c r="H40" s="50" t="n">
        <f aca="false">IFERROR(Schedule!$D$36,0)</f>
        <v>36031.365870254</v>
      </c>
      <c r="I40" s="50" t="n">
        <f aca="false">IFERROR(Schedule!$P$36,0)</f>
        <v>77492.4826705534</v>
      </c>
    </row>
    <row r="41" customFormat="false" ht="15" hidden="false" customHeight="true" outlineLevel="0" collapsed="false">
      <c r="A41" s="55" t="n">
        <v>34</v>
      </c>
      <c r="B41" s="52" t="n">
        <f aca="false">IFERROR(Schedule!$H$37,0)</f>
        <v>-2778374.4278052</v>
      </c>
      <c r="C41" s="52" t="n">
        <f aca="false">IFERROR(Schedule!$S$37,0)</f>
        <v>1414393.62779694</v>
      </c>
      <c r="D41" s="52" t="n">
        <f aca="false">IFERROR(Schedule!$G$37,0)</f>
        <v>898614.140124654</v>
      </c>
      <c r="E41" s="52" t="n">
        <f aca="false">IFERROR(Schedule!$R$37,0)</f>
        <v>1745065.29550633</v>
      </c>
      <c r="F41" s="52" t="n">
        <f aca="false">IFERROR(Schedule!$B$37,0)</f>
        <v>1610430.16707786</v>
      </c>
      <c r="G41" s="52" t="n">
        <f aca="false">IFERROR(Schedule!$Q$37,0)</f>
        <v>1642816.03270229</v>
      </c>
      <c r="H41" s="52" t="n">
        <f aca="false">IFERROR(Schedule!$D$37,0)</f>
        <v>37229.4636757129</v>
      </c>
      <c r="I41" s="52" t="n">
        <f aca="false">IFERROR(Schedule!$P$37,0)</f>
        <v>79810.05715067</v>
      </c>
    </row>
    <row r="42" customFormat="false" ht="15" hidden="false" customHeight="true" outlineLevel="0" collapsed="false">
      <c r="A42" s="56" t="n">
        <v>35</v>
      </c>
      <c r="B42" s="50" t="n">
        <f aca="false">IFERROR(Schedule!$H$38,0)</f>
        <v>-3035673.22671517</v>
      </c>
      <c r="C42" s="50" t="n">
        <f aca="false">IFERROR(Schedule!$S$38,0)</f>
        <v>1526105.1180207</v>
      </c>
      <c r="D42" s="50" t="n">
        <f aca="false">IFERROR(Schedule!$G$38,0)</f>
        <v>937083.635029017</v>
      </c>
      <c r="E42" s="50" t="n">
        <f aca="false">IFERROR(Schedule!$R$38,0)</f>
        <v>1827262.45437152</v>
      </c>
      <c r="F42" s="50" t="n">
        <f aca="false">IFERROR(Schedule!$B$38,0)</f>
        <v>1666795.22292558</v>
      </c>
      <c r="G42" s="50" t="n">
        <f aca="false">IFERROR(Schedule!$Q$38,0)</f>
        <v>1774241.31531847</v>
      </c>
      <c r="H42" s="50" t="n">
        <f aca="false">IFERROR(Schedule!$D$38,0)</f>
        <v>38469.4949043628</v>
      </c>
      <c r="I42" s="50" t="n">
        <f aca="false">IFERROR(Schedule!$P$38,0)</f>
        <v>82197.1588651901</v>
      </c>
    </row>
    <row r="43" customFormat="false" ht="15" hidden="false" customHeight="true" outlineLevel="0" collapsed="false">
      <c r="A43" s="55" t="n">
        <v>36</v>
      </c>
      <c r="B43" s="52" t="n">
        <f aca="false">IFERROR(Schedule!$H$39,0)</f>
        <v>-3313547.92264319</v>
      </c>
      <c r="C43" s="52" t="n">
        <f aca="false">IFERROR(Schedule!$S$39,0)</f>
        <v>1646753.52746235</v>
      </c>
      <c r="D43" s="52" t="n">
        <f aca="false">IFERROR(Schedule!$G$39,0)</f>
        <v>976836.562255033</v>
      </c>
      <c r="E43" s="52" t="n">
        <f aca="false">IFERROR(Schedule!$R$39,0)</f>
        <v>1911918.32800267</v>
      </c>
      <c r="F43" s="52" t="n">
        <f aca="false">IFERROR(Schedule!$B$39,0)</f>
        <v>1725133.05572798</v>
      </c>
      <c r="G43" s="52" t="n">
        <f aca="false">IFERROR(Schedule!$Q$39,0)</f>
        <v>1916180.62054395</v>
      </c>
      <c r="H43" s="52" t="n">
        <f aca="false">IFERROR(Schedule!$D$39,0)</f>
        <v>39752.9272260155</v>
      </c>
      <c r="I43" s="52" t="n">
        <f aca="false">IFERROR(Schedule!$P$39,0)</f>
        <v>84655.8736311458</v>
      </c>
    </row>
    <row r="44" customFormat="false" ht="15" hidden="false" customHeight="true" outlineLevel="0" collapsed="false">
      <c r="A44" s="56" t="n">
        <v>37</v>
      </c>
      <c r="B44" s="50" t="n">
        <f aca="false">IFERROR(Schedule!$H$40,0)</f>
        <v>-3613555.09995979</v>
      </c>
      <c r="C44" s="50" t="n">
        <f aca="false">IFERROR(Schedule!$S$40,0)</f>
        <v>1777053.80965934</v>
      </c>
      <c r="D44" s="50" t="n">
        <f aca="false">IFERROR(Schedule!$G$40,0)</f>
        <v>1017917.84193396</v>
      </c>
      <c r="E44" s="50" t="n">
        <f aca="false">IFERROR(Schedule!$R$40,0)</f>
        <v>1999106.67784275</v>
      </c>
      <c r="F44" s="50" t="n">
        <f aca="false">IFERROR(Schedule!$B$40,0)</f>
        <v>1785512.71267846</v>
      </c>
      <c r="G44" s="50" t="n">
        <f aca="false">IFERROR(Schedule!$Q$40,0)</f>
        <v>2069475.07018746</v>
      </c>
      <c r="H44" s="50" t="n">
        <f aca="false">IFERROR(Schedule!$D$40,0)</f>
        <v>41081.2796789261</v>
      </c>
      <c r="I44" s="50" t="n">
        <f aca="false">IFERROR(Schedule!$P$40,0)</f>
        <v>87188.3498400802</v>
      </c>
    </row>
    <row r="45" customFormat="false" ht="15" hidden="false" customHeight="true" outlineLevel="0" collapsed="false">
      <c r="A45" s="55" t="n">
        <v>38</v>
      </c>
      <c r="B45" s="52" t="n">
        <f aca="false">IFERROR(Schedule!$H$41,0)</f>
        <v>-3937366.28893442</v>
      </c>
      <c r="C45" s="52" t="n">
        <f aca="false">IFERROR(Schedule!$S$41,0)</f>
        <v>1917778.11443209</v>
      </c>
      <c r="D45" s="52" t="n">
        <f aca="false">IFERROR(Schedule!$G$41,0)</f>
        <v>1060373.96640165</v>
      </c>
      <c r="E45" s="52" t="n">
        <f aca="false">IFERROR(Schedule!$R$41,0)</f>
        <v>2088903.47817803</v>
      </c>
      <c r="F45" s="52" t="n">
        <f aca="false">IFERROR(Schedule!$B$41,0)</f>
        <v>1848005.6576222</v>
      </c>
      <c r="G45" s="52" t="n">
        <f aca="false">IFERROR(Schedule!$Q$41,0)</f>
        <v>2235033.07580246</v>
      </c>
      <c r="H45" s="52" t="n">
        <f aca="false">IFERROR(Schedule!$D$41,0)</f>
        <v>42456.1244676885</v>
      </c>
      <c r="I45" s="52" t="n">
        <f aca="false">IFERROR(Schedule!$P$41,0)</f>
        <v>89796.8003352826</v>
      </c>
    </row>
    <row r="46" customFormat="false" ht="15" hidden="false" customHeight="true" outlineLevel="0" collapsed="false">
      <c r="A46" s="56" t="n">
        <v>39</v>
      </c>
      <c r="B46" s="50" t="n">
        <f aca="false">IFERROR(Schedule!$H$42,0)</f>
        <v>-4286776.35989389</v>
      </c>
      <c r="C46" s="50" t="n">
        <f aca="false">IFERROR(Schedule!$S$42,0)</f>
        <v>2069760.36358666</v>
      </c>
      <c r="D46" s="50" t="n">
        <f aca="false">IFERROR(Schedule!$G$42,0)</f>
        <v>1104253.0552257</v>
      </c>
      <c r="E46" s="50" t="n">
        <f aca="false">IFERROR(Schedule!$R$42,0)</f>
        <v>2181386.98252337</v>
      </c>
      <c r="F46" s="50" t="n">
        <f aca="false">IFERROR(Schedule!$B$42,0)</f>
        <v>1912685.85563898</v>
      </c>
      <c r="G46" s="50" t="n">
        <f aca="false">IFERROR(Schedule!$Q$42,0)</f>
        <v>2413835.72186666</v>
      </c>
      <c r="H46" s="50" t="n">
        <f aca="false">IFERROR(Schedule!$D$42,0)</f>
        <v>43879.0888240576</v>
      </c>
      <c r="I46" s="50" t="n">
        <f aca="false">IFERROR(Schedule!$P$42,0)</f>
        <v>92483.5043453411</v>
      </c>
    </row>
    <row r="47" customFormat="false" ht="15" hidden="false" customHeight="true" outlineLevel="0" collapsed="false">
      <c r="A47" s="55" t="n">
        <v>40</v>
      </c>
      <c r="B47" s="52" t="n">
        <f aca="false">IFERROR(Schedule!$H$43,0)</f>
        <v>-4663712.52716002</v>
      </c>
      <c r="C47" s="52" t="n">
        <f aca="false">IFERROR(Schedule!$S$43,0)</f>
        <v>2233901.19267359</v>
      </c>
      <c r="D47" s="52" t="n">
        <f aca="false">IFERROR(Schedule!$G$43,0)</f>
        <v>1149604.9121586</v>
      </c>
      <c r="E47" s="52" t="n">
        <f aca="false">IFERROR(Schedule!$R$43,0)</f>
        <v>2276637.79199908</v>
      </c>
      <c r="F47" s="52" t="n">
        <f aca="false">IFERROR(Schedule!$B$43,0)</f>
        <v>1979629.86058635</v>
      </c>
      <c r="G47" s="52" t="n">
        <f aca="false">IFERROR(Schedule!$Q$43,0)</f>
        <v>2606942.57961599</v>
      </c>
      <c r="H47" s="52" t="n">
        <f aca="false">IFERROR(Schedule!$D$43,0)</f>
        <v>45351.8569328996</v>
      </c>
      <c r="I47" s="52" t="n">
        <f aca="false">IFERROR(Schedule!$P$43,0)</f>
        <v>95250.8094757013</v>
      </c>
    </row>
    <row r="48" customFormat="false" ht="15" hidden="false" customHeight="true" outlineLevel="0" collapsed="false">
      <c r="A48" s="56" t="n">
        <v>41</v>
      </c>
      <c r="B48" s="50" t="n">
        <f aca="false">IFERROR(Schedule!$H$44,0)</f>
        <v>-5070244.00695134</v>
      </c>
      <c r="C48" s="50" t="n">
        <f aca="false">IFERROR(Schedule!$S$44,0)</f>
        <v>2411173.28808748</v>
      </c>
      <c r="D48" s="50" t="n">
        <f aca="false">IFERROR(Schedule!$G$44,0)</f>
        <v>1196481.08408416</v>
      </c>
      <c r="E48" s="50" t="n">
        <f aca="false">IFERROR(Schedule!$R$44,0)</f>
        <v>2374738.92575905</v>
      </c>
      <c r="F48" s="50" t="n">
        <f aca="false">IFERROR(Schedule!$B$44,0)</f>
        <v>2048916.90570687</v>
      </c>
      <c r="G48" s="50" t="n">
        <f aca="false">IFERROR(Schedule!$Q$44,0)</f>
        <v>2815497.98598527</v>
      </c>
      <c r="H48" s="50" t="n">
        <f aca="false">IFERROR(Schedule!$D$44,0)</f>
        <v>46876.1719255511</v>
      </c>
      <c r="I48" s="50" t="n">
        <f aca="false">IFERROR(Schedule!$P$44,0)</f>
        <v>98101.1337599723</v>
      </c>
    </row>
    <row r="49" customFormat="false" ht="15" hidden="false" customHeight="true" outlineLevel="0" collapsed="false">
      <c r="A49" s="55" t="n">
        <v>42</v>
      </c>
      <c r="B49" s="52" t="n">
        <f aca="false">IFERROR(Schedule!$H$45,0)</f>
        <v>-5508592.37663133</v>
      </c>
      <c r="C49" s="52" t="n">
        <f aca="false">IFERROR(Schedule!$S$45,0)</f>
        <v>2602627.15113448</v>
      </c>
      <c r="D49" s="52" t="n">
        <f aca="false">IFERROR(Schedule!$G$45,0)</f>
        <v>1244934.9220271</v>
      </c>
      <c r="E49" s="52" t="n">
        <f aca="false">IFERROR(Schedule!$R$45,0)</f>
        <v>2475775.89353182</v>
      </c>
      <c r="F49" s="52" t="n">
        <f aca="false">IFERROR(Schedule!$B$45,0)</f>
        <v>2120628.99740661</v>
      </c>
      <c r="G49" s="52" t="n">
        <f aca="false">IFERROR(Schedule!$Q$45,0)</f>
        <v>3040737.82486409</v>
      </c>
      <c r="H49" s="52" t="n">
        <f aca="false">IFERROR(Schedule!$D$45,0)</f>
        <v>48453.8379429454</v>
      </c>
      <c r="I49" s="52" t="n">
        <f aca="false">IFERROR(Schedule!$P$45,0)</f>
        <v>101036.967772772</v>
      </c>
    </row>
    <row r="50" customFormat="false" ht="15" hidden="false" customHeight="true" outlineLevel="0" collapsed="false">
      <c r="A50" s="56" t="n">
        <v>43</v>
      </c>
      <c r="B50" s="50" t="n">
        <f aca="false">IFERROR(Schedule!$H$46,0)</f>
        <v>-5981142.68611466</v>
      </c>
      <c r="C50" s="50" t="n">
        <f aca="false">IFERROR(Schedule!$S$46,0)</f>
        <v>2809397.32322523</v>
      </c>
      <c r="D50" s="50" t="n">
        <f aca="false">IFERROR(Schedule!$G$46,0)</f>
        <v>1295021.64429805</v>
      </c>
      <c r="E50" s="50" t="n">
        <f aca="false">IFERROR(Schedule!$R$46,0)</f>
        <v>2579836.77033777</v>
      </c>
      <c r="F50" s="50" t="n">
        <f aca="false">IFERROR(Schedule!$B$46,0)</f>
        <v>2194851.01231584</v>
      </c>
      <c r="G50" s="50" t="n">
        <f aca="false">IFERROR(Schedule!$Q$46,0)</f>
        <v>3283996.85085322</v>
      </c>
      <c r="H50" s="50" t="n">
        <f aca="false">IFERROR(Schedule!$D$46,0)</f>
        <v>50086.7222709485</v>
      </c>
      <c r="I50" s="50" t="n">
        <f aca="false">IFERROR(Schedule!$P$46,0)</f>
        <v>104060.876805955</v>
      </c>
    </row>
    <row r="51" customFormat="false" ht="15" hidden="false" customHeight="true" outlineLevel="0" collapsed="false">
      <c r="A51" s="55" t="n">
        <v>44</v>
      </c>
      <c r="B51" s="52" t="n">
        <f aca="false">IFERROR(Schedule!$H$47,0)</f>
        <v>-6490455.37592022</v>
      </c>
      <c r="C51" s="52" t="n">
        <f aca="false">IFERROR(Schedule!$S$47,0)</f>
        <v>3032709.10908325</v>
      </c>
      <c r="D51" s="52" t="n">
        <f aca="false">IFERROR(Schedule!$G$47,0)</f>
        <v>1346798.40184848</v>
      </c>
      <c r="E51" s="52" t="n">
        <f aca="false">IFERROR(Schedule!$R$47,0)</f>
        <v>2687012.27344791</v>
      </c>
      <c r="F51" s="52" t="n">
        <f aca="false">IFERROR(Schedule!$B$47,0)</f>
        <v>2271670.79774689</v>
      </c>
      <c r="G51" s="52" t="n">
        <f aca="false">IFERROR(Schedule!$Q$47,0)</f>
        <v>3546716.59892147</v>
      </c>
      <c r="H51" s="52" t="n">
        <f aca="false">IFERROR(Schedule!$D$47,0)</f>
        <v>51776.7575504316</v>
      </c>
      <c r="I51" s="52" t="n">
        <f aca="false">IFERROR(Schedule!$P$47,0)</f>
        <v>107175.503110133</v>
      </c>
    </row>
    <row r="52" customFormat="false" ht="15" hidden="false" customHeight="true" outlineLevel="0" collapsed="false">
      <c r="A52" s="56" t="n">
        <v>45</v>
      </c>
      <c r="B52" s="50" t="n">
        <f aca="false">IFERROR(Schedule!$H$48,0)</f>
        <v>-7039279.06030241</v>
      </c>
      <c r="C52" s="50" t="n">
        <f aca="false">IFERROR(Schedule!$S$48,0)</f>
        <v>3273885.83780991</v>
      </c>
      <c r="D52" s="50" t="n">
        <f aca="false">IFERROR(Schedule!$G$48,0)</f>
        <v>1400324.34591318</v>
      </c>
      <c r="E52" s="50" t="n">
        <f aca="false">IFERROR(Schedule!$R$48,0)</f>
        <v>2797395.84165134</v>
      </c>
      <c r="F52" s="50" t="n">
        <f aca="false">IFERROR(Schedule!$B$48,0)</f>
        <v>2351179.27566803</v>
      </c>
      <c r="G52" s="50" t="n">
        <f aca="false">IFERROR(Schedule!$Q$48,0)</f>
        <v>3830453.92683519</v>
      </c>
      <c r="H52" s="50" t="n">
        <f aca="false">IFERROR(Schedule!$D$48,0)</f>
        <v>53525.9440646967</v>
      </c>
      <c r="I52" s="50" t="n">
        <f aca="false">IFERROR(Schedule!$P$48,0)</f>
        <v>110383.568203437</v>
      </c>
    </row>
    <row r="53" customFormat="false" ht="15" hidden="false" customHeight="true" outlineLevel="0" collapsed="false">
      <c r="A53" s="55" t="n">
        <v>46</v>
      </c>
      <c r="B53" s="52" t="n">
        <f aca="false">IFERROR(Schedule!$H$49,0)</f>
        <v>-7630564.23812062</v>
      </c>
      <c r="C53" s="52" t="n">
        <f aca="false">IFERROR(Schedule!$S$49,0)</f>
        <v>3534356.70483471</v>
      </c>
      <c r="D53" s="52" t="n">
        <f aca="false">IFERROR(Schedule!$G$49,0)</f>
        <v>1455660.69802014</v>
      </c>
      <c r="E53" s="52" t="n">
        <f aca="false">IFERROR(Schedule!$R$49,0)</f>
        <v>2911083.71690088</v>
      </c>
      <c r="F53" s="52" t="n">
        <f aca="false">IFERROR(Schedule!$B$49,0)</f>
        <v>2433470.55031641</v>
      </c>
      <c r="G53" s="52" t="n">
        <f aca="false">IFERROR(Schedule!$Q$49,0)</f>
        <v>4136890.24098201</v>
      </c>
      <c r="H53" s="52" t="n">
        <f aca="false">IFERROR(Schedule!$D$49,0)</f>
        <v>55336.3521069611</v>
      </c>
      <c r="I53" s="52" t="n">
        <f aca="false">IFERROR(Schedule!$P$49,0)</f>
        <v>113687.87524954</v>
      </c>
    </row>
    <row r="54" customFormat="false" ht="15" hidden="false" customHeight="true" outlineLevel="0" collapsed="false">
      <c r="A54" s="56" t="n">
        <v>47</v>
      </c>
      <c r="B54" s="50" t="n">
        <f aca="false">IFERROR(Schedule!$H$50,0)</f>
        <v>-8267477.99864068</v>
      </c>
      <c r="C54" s="50" t="n">
        <f aca="false">IFERROR(Schedule!$S$50,0)</f>
        <v>3815665.24122148</v>
      </c>
      <c r="D54" s="50" t="n">
        <f aca="false">IFERROR(Schedule!$G$50,0)</f>
        <v>1512870.82245084</v>
      </c>
      <c r="E54" s="50" t="n">
        <f aca="false">IFERROR(Schedule!$R$50,0)</f>
        <v>3028175.02840791</v>
      </c>
      <c r="F54" s="50" t="n">
        <f aca="false">IFERROR(Schedule!$B$50,0)</f>
        <v>2518642.01957749</v>
      </c>
      <c r="G54" s="50" t="n">
        <f aca="false">IFERROR(Schedule!$Q$50,0)</f>
        <v>4467841.46026057</v>
      </c>
      <c r="H54" s="50" t="n">
        <f aca="false">IFERROR(Schedule!$D$50,0)</f>
        <v>57210.1244307048</v>
      </c>
      <c r="I54" s="50" t="n">
        <f aca="false">IFERROR(Schedule!$P$50,0)</f>
        <v>117091.311507027</v>
      </c>
    </row>
    <row r="55" customFormat="false" ht="15" hidden="false" customHeight="true" outlineLevel="0" collapsed="false">
      <c r="A55" s="55" t="n">
        <v>48</v>
      </c>
      <c r="B55" s="52" t="n">
        <f aca="false">IFERROR(Schedule!$H$51,0)</f>
        <v>-8953419.79432404</v>
      </c>
      <c r="C55" s="52" t="n">
        <f aca="false">IFERROR(Schedule!$S$51,0)</f>
        <v>4119478.4605192</v>
      </c>
      <c r="D55" s="52" t="n">
        <f aca="false">IFERROR(Schedule!$G$51,0)</f>
        <v>1572020.30123662</v>
      </c>
      <c r="E55" s="52" t="n">
        <f aca="false">IFERROR(Schedule!$R$51,0)</f>
        <v>3148771.87926015</v>
      </c>
      <c r="F55" s="52" t="n">
        <f aca="false">IFERROR(Schedule!$B$51,0)</f>
        <v>2606794.4902627</v>
      </c>
      <c r="G55" s="52" t="n">
        <f aca="false">IFERROR(Schedule!$Q$51,0)</f>
        <v>4825268.77708141</v>
      </c>
      <c r="H55" s="52" t="n">
        <f aca="false">IFERROR(Schedule!$D$51,0)</f>
        <v>59149.4787857794</v>
      </c>
      <c r="I55" s="52" t="n">
        <f aca="false">IFERROR(Schedule!$P$51,0)</f>
        <v>120596.850852237</v>
      </c>
    </row>
    <row r="56" customFormat="false" ht="15" hidden="false" customHeight="true" outlineLevel="0" collapsed="false">
      <c r="A56" s="56" t="n">
        <v>49</v>
      </c>
      <c r="B56" s="50" t="n">
        <f aca="false">IFERROR(Schedule!$H$52,0)</f>
        <v>-9692038.35787399</v>
      </c>
      <c r="C56" s="50" t="n">
        <f aca="false">IFERROR(Schedule!$S$52,0)</f>
        <v>4447596.73736074</v>
      </c>
      <c r="D56" s="50" t="n">
        <f aca="false">IFERROR(Schedule!$G$52,0)</f>
        <v>1633177.0117799</v>
      </c>
      <c r="E56" s="50" t="n">
        <f aca="false">IFERROR(Schedule!$R$52,0)</f>
        <v>3272979.43563795</v>
      </c>
      <c r="F56" s="50" t="n">
        <f aca="false">IFERROR(Schedule!$B$52,0)</f>
        <v>2698032.2974219</v>
      </c>
      <c r="G56" s="50" t="n">
        <f aca="false">IFERROR(Schedule!$Q$52,0)</f>
        <v>5211290.27924793</v>
      </c>
      <c r="H56" s="50" t="n">
        <f aca="false">IFERROR(Schedule!$D$52,0)</f>
        <v>61156.7105432817</v>
      </c>
      <c r="I56" s="50" t="n">
        <f aca="false">IFERROR(Schedule!$P$52,0)</f>
        <v>124207.556377805</v>
      </c>
    </row>
    <row r="57" customFormat="false" ht="15" hidden="false" customHeight="true" outlineLevel="0" collapsed="false">
      <c r="A57" s="55" t="n">
        <v>50</v>
      </c>
      <c r="B57" s="52" t="n">
        <f aca="false">IFERROR(Schedule!$H$53,0)</f>
        <v>-10487249.8463986</v>
      </c>
      <c r="C57" s="52" t="n">
        <f aca="false">IFERROR(Schedule!$S$53,0)</f>
        <v>4801964.4763496</v>
      </c>
      <c r="D57" s="52" t="n">
        <f aca="false">IFERROR(Schedule!$G$53,0)</f>
        <v>1696411.2071922</v>
      </c>
      <c r="E57" s="52" t="n">
        <f aca="false">IFERROR(Schedule!$R$53,0)</f>
        <v>3400906.01870709</v>
      </c>
      <c r="F57" s="52" t="n">
        <f aca="false">IFERROR(Schedule!$B$53,0)</f>
        <v>2792463.42783166</v>
      </c>
      <c r="G57" s="52" t="n">
        <f aca="false">IFERROR(Schedule!$Q$53,0)</f>
        <v>5628193.50158776</v>
      </c>
      <c r="H57" s="52" t="n">
        <f aca="false">IFERROR(Schedule!$D$53,0)</f>
        <v>63234.1954122965</v>
      </c>
      <c r="I57" s="52" t="n">
        <f aca="false">IFERROR(Schedule!$P$53,0)</f>
        <v>127926.583069139</v>
      </c>
    </row>
    <row r="58" customFormat="false" ht="15" hidden="false" customHeight="true" outlineLevel="0" collapsed="false">
      <c r="A58" s="56" t="n">
        <v>51</v>
      </c>
      <c r="B58" s="50" t="n">
        <f aca="false">IFERROR(Schedule!$H$54,0)</f>
        <v>-11343257.3015455</v>
      </c>
      <c r="C58" s="50" t="n">
        <f aca="false">IFERROR(Schedule!$S$54,0)</f>
        <v>5184681.63445757</v>
      </c>
      <c r="D58" s="50" t="n">
        <f aca="false">IFERROR(Schedule!$G$54,0)</f>
        <v>1761795.59944393</v>
      </c>
      <c r="E58" s="50" t="n">
        <f aca="false">IFERROR(Schedule!$R$54,0)</f>
        <v>3532663.1992683</v>
      </c>
      <c r="F58" s="50" t="n">
        <f aca="false">IFERROR(Schedule!$B$54,0)</f>
        <v>2890199.64780577</v>
      </c>
      <c r="G58" s="50" t="n">
        <f aca="false">IFERROR(Schedule!$Q$54,0)</f>
        <v>6078448.98171478</v>
      </c>
      <c r="H58" s="50" t="n">
        <f aca="false">IFERROR(Schedule!$D$54,0)</f>
        <v>65384.3922517269</v>
      </c>
      <c r="I58" s="50" t="n">
        <f aca="false">IFERROR(Schedule!$P$54,0)</f>
        <v>131757.180561213</v>
      </c>
    </row>
    <row r="59" customFormat="false" ht="15" hidden="false" customHeight="true" outlineLevel="0" collapsed="false">
      <c r="A59" s="55" t="n">
        <v>52</v>
      </c>
      <c r="B59" s="52" t="n">
        <f aca="false">IFERROR(Schedule!$H$55,0)</f>
        <v>-12264571.5208913</v>
      </c>
      <c r="C59" s="52" t="n">
        <f aca="false">IFERROR(Schedule!$S$55,0)</f>
        <v>5598016.16521417</v>
      </c>
      <c r="D59" s="52" t="n">
        <f aca="false">IFERROR(Schedule!$G$55,0)</f>
        <v>1829405.44542447</v>
      </c>
      <c r="E59" s="52" t="n">
        <f aca="false">IFERROR(Schedule!$R$55,0)</f>
        <v>3668365.89524635</v>
      </c>
      <c r="F59" s="52" t="n">
        <f aca="false">IFERROR(Schedule!$B$55,0)</f>
        <v>2991356.63547897</v>
      </c>
      <c r="G59" s="52" t="n">
        <f aca="false">IFERROR(Schedule!$Q$55,0)</f>
        <v>6564724.90025197</v>
      </c>
      <c r="H59" s="52" t="n">
        <f aca="false">IFERROR(Schedule!$D$55,0)</f>
        <v>67609.8459805374</v>
      </c>
      <c r="I59" s="52" t="n">
        <f aca="false">IFERROR(Schedule!$P$55,0)</f>
        <v>135702.695978049</v>
      </c>
    </row>
    <row r="60" customFormat="false" ht="15" hidden="false" customHeight="true" outlineLevel="0" collapsed="false">
      <c r="A60" s="56" t="n">
        <v>53</v>
      </c>
      <c r="B60" s="50" t="n">
        <f aca="false">IFERROR(Schedule!$H$56,0)</f>
        <v>-13256033.442762</v>
      </c>
      <c r="C60" s="50" t="n">
        <f aca="false">IFERROR(Schedule!$S$56,0)</f>
        <v>6044417.45843131</v>
      </c>
      <c r="D60" s="50" t="n">
        <f aca="false">IFERROR(Schedule!$G$56,0)</f>
        <v>1899318.63601432</v>
      </c>
      <c r="E60" s="50" t="n">
        <f aca="false">IFERROR(Schedule!$R$56,0)</f>
        <v>3808132.47210374</v>
      </c>
      <c r="F60" s="50" t="n">
        <f aca="false">IFERROR(Schedule!$B$56,0)</f>
        <v>3096054.11772073</v>
      </c>
      <c r="G60" s="50" t="n">
        <f aca="false">IFERROR(Schedule!$Q$56,0)</f>
        <v>7089902.89227213</v>
      </c>
      <c r="H60" s="50" t="n">
        <f aca="false">IFERROR(Schedule!$D$56,0)</f>
        <v>69913.1905898562</v>
      </c>
      <c r="I60" s="50" t="n">
        <f aca="false">IFERROR(Schedule!$P$56,0)</f>
        <v>139766.576857391</v>
      </c>
    </row>
    <row r="61" customFormat="false" ht="15" hidden="false" customHeight="true" outlineLevel="0" collapsed="false">
      <c r="A61" s="55" t="n">
        <v>54</v>
      </c>
      <c r="B61" s="52" t="n">
        <f aca="false">IFERROR(Schedule!$H$57,0)</f>
        <v>-14322838.1540542</v>
      </c>
      <c r="C61" s="52" t="n">
        <f aca="false">IFERROR(Schedule!$S$57,0)</f>
        <v>6526530.85510581</v>
      </c>
      <c r="D61" s="52" t="n">
        <f aca="false">IFERROR(Schedule!$G$57,0)</f>
        <v>1971615.78827482</v>
      </c>
      <c r="E61" s="52" t="n">
        <f aca="false">IFERROR(Schedule!$R$57,0)</f>
        <v>3952084.84626686</v>
      </c>
      <c r="F61" s="52" t="n">
        <f aca="false">IFERROR(Schedule!$B$57,0)</f>
        <v>3204416.01184096</v>
      </c>
      <c r="G61" s="52" t="n">
        <f aca="false">IFERROR(Schedule!$Q$57,0)</f>
        <v>7657095.1236539</v>
      </c>
      <c r="H61" s="52" t="n">
        <f aca="false">IFERROR(Schedule!$D$57,0)</f>
        <v>72297.1522605011</v>
      </c>
      <c r="I61" s="52" t="n">
        <f aca="false">IFERROR(Schedule!$P$57,0)</f>
        <v>143952.374163112</v>
      </c>
    </row>
    <row r="62" customFormat="false" ht="15" hidden="false" customHeight="true" outlineLevel="0" collapsed="false">
      <c r="A62" s="56" t="n">
        <v>55</v>
      </c>
      <c r="B62" s="50" t="n">
        <f aca="false">IFERROR(Schedule!$H$58,0)</f>
        <v>-15470560.6385494</v>
      </c>
      <c r="C62" s="50" t="n">
        <f aca="false">IFERROR(Schedule!$S$58,0)</f>
        <v>7047213.32351428</v>
      </c>
      <c r="D62" s="50" t="n">
        <f aca="false">IFERROR(Schedule!$G$58,0)</f>
        <v>2046380.34086444</v>
      </c>
      <c r="E62" s="50" t="n">
        <f aca="false">IFERROR(Schedule!$R$58,0)</f>
        <v>4100348.59165486</v>
      </c>
      <c r="F62" s="50" t="n">
        <f aca="false">IFERROR(Schedule!$B$58,0)</f>
        <v>3316570.57225539</v>
      </c>
      <c r="G62" s="50" t="n">
        <f aca="false">IFERROR(Schedule!$Q$58,0)</f>
        <v>8269662.73354621</v>
      </c>
      <c r="H62" s="50" t="n">
        <f aca="false">IFERROR(Schedule!$D$58,0)</f>
        <v>74764.5525896187</v>
      </c>
      <c r="I62" s="50" t="n">
        <f aca="false">IFERROR(Schedule!$P$58,0)</f>
        <v>148263.745388006</v>
      </c>
    </row>
    <row r="63" customFormat="false" ht="15" hidden="false" customHeight="true" outlineLevel="0" collapsed="false">
      <c r="A63" s="55" t="n">
        <v>56</v>
      </c>
      <c r="B63" s="52" t="n">
        <f aca="false">IFERROR(Schedule!$H$59,0)</f>
        <v>-16705183.391718</v>
      </c>
      <c r="C63" s="52" t="n">
        <f aca="false">IFERROR(Schedule!$S$59,0)</f>
        <v>7609550.38939542</v>
      </c>
      <c r="D63" s="52" t="n">
        <f aca="false">IFERROR(Schedule!$G$59,0)</f>
        <v>2123698.6527947</v>
      </c>
      <c r="E63" s="52" t="n">
        <f aca="false">IFERROR(Schedule!$R$59,0)</f>
        <v>4253053.04940451</v>
      </c>
      <c r="F63" s="52" t="n">
        <f aca="false">IFERROR(Schedule!$B$59,0)</f>
        <v>3432650.54228433</v>
      </c>
      <c r="G63" s="52" t="n">
        <f aca="false">IFERROR(Schedule!$Q$59,0)</f>
        <v>8931235.75222991</v>
      </c>
      <c r="H63" s="52" t="n">
        <f aca="false">IFERROR(Schedule!$D$59,0)</f>
        <v>77318.3119302553</v>
      </c>
      <c r="I63" s="52" t="n">
        <f aca="false">IFERROR(Schedule!$P$59,0)</f>
        <v>152704.457749646</v>
      </c>
    </row>
    <row r="64" customFormat="false" ht="15" hidden="false" customHeight="true" outlineLevel="0" collapsed="false">
      <c r="A64" s="56" t="n">
        <v>57</v>
      </c>
      <c r="B64" s="50" t="n">
        <f aca="false">IFERROR(Schedule!$H$60,0)</f>
        <v>-18033126.0371202</v>
      </c>
      <c r="C64" s="50" t="n">
        <f aca="false">IFERROR(Schedule!$S$60,0)</f>
        <v>8216874.42054705</v>
      </c>
      <c r="D64" s="50" t="n">
        <f aca="false">IFERROR(Schedule!$G$60,0)</f>
        <v>2203660.10564251</v>
      </c>
      <c r="E64" s="50" t="n">
        <f aca="false">IFERROR(Schedule!$R$60,0)</f>
        <v>4410331.44088665</v>
      </c>
      <c r="F64" s="50" t="n">
        <f aca="false">IFERROR(Schedule!$B$60,0)</f>
        <v>3552793.31126428</v>
      </c>
      <c r="G64" s="50" t="n">
        <f aca="false">IFERROR(Schedule!$Q$60,0)</f>
        <v>9645734.6124083</v>
      </c>
      <c r="H64" s="50" t="n">
        <f aca="false">IFERROR(Schedule!$D$60,0)</f>
        <v>79961.4528478143</v>
      </c>
      <c r="I64" s="50" t="n">
        <f aca="false">IFERROR(Schedule!$P$60,0)</f>
        <v>157278.391482135</v>
      </c>
    </row>
    <row r="65" customFormat="false" ht="15" hidden="false" customHeight="true" outlineLevel="0" collapsed="false">
      <c r="A65" s="55" t="n">
        <v>58</v>
      </c>
      <c r="B65" s="52" t="n">
        <f aca="false">IFERROR(Schedule!$H$61,0)</f>
        <v>-19461277.0892863</v>
      </c>
      <c r="C65" s="52" t="n">
        <f aca="false">IFERROR(Schedule!$S$61,0)</f>
        <v>8872784.37419082</v>
      </c>
      <c r="D65" s="52" t="n">
        <f aca="false">IFERROR(Schedule!$G$61,0)</f>
        <v>2286357.20934</v>
      </c>
      <c r="E65" s="52" t="n">
        <f aca="false">IFERROR(Schedule!$R$61,0)</f>
        <v>4572320.98411324</v>
      </c>
      <c r="F65" s="52" t="n">
        <f aca="false">IFERROR(Schedule!$B$61,0)</f>
        <v>3677141.07715853</v>
      </c>
      <c r="G65" s="52" t="n">
        <f aca="false">IFERROR(Schedule!$Q$61,0)</f>
        <v>10417393.381401</v>
      </c>
      <c r="H65" s="52" t="n">
        <f aca="false">IFERROR(Schedule!$D$61,0)</f>
        <v>82697.1036974877</v>
      </c>
      <c r="I65" s="52" t="n">
        <f aca="false">IFERROR(Schedule!$P$61,0)</f>
        <v>161989.5432266</v>
      </c>
    </row>
    <row r="66" customFormat="false" ht="15" hidden="false" customHeight="true" outlineLevel="0" collapsed="false">
      <c r="A66" s="56" t="n">
        <v>59</v>
      </c>
      <c r="B66" s="50" t="n">
        <f aca="false">IFERROR(Schedule!$H$62,0)</f>
        <v>-20997028.0184382</v>
      </c>
      <c r="C66" s="50" t="n">
        <f aca="false">IFERROR(Schedule!$S$62,0)</f>
        <v>9581167.12412608</v>
      </c>
      <c r="D66" s="50" t="n">
        <f aca="false">IFERROR(Schedule!$G$62,0)</f>
        <v>2371885.7116669</v>
      </c>
      <c r="E66" s="50" t="n">
        <f aca="false">IFERROR(Schedule!$R$62,0)</f>
        <v>4739163.01363664</v>
      </c>
      <c r="F66" s="50" t="n">
        <f aca="false">IFERROR(Schedule!$B$62,0)</f>
        <v>3805841.01485908</v>
      </c>
      <c r="G66" s="50" t="n">
        <f aca="false">IFERROR(Schedule!$Q$62,0)</f>
        <v>11250784.851913</v>
      </c>
      <c r="H66" s="50" t="n">
        <f aca="false">IFERROR(Schedule!$D$62,0)</f>
        <v>85528.5023268998</v>
      </c>
      <c r="I66" s="50" t="n">
        <f aca="false">IFERROR(Schedule!$P$62,0)</f>
        <v>166842.029523397</v>
      </c>
    </row>
    <row r="67" customFormat="false" ht="15" hidden="false" customHeight="true" outlineLevel="0" collapsed="false">
      <c r="A67" s="55" t="n">
        <v>60</v>
      </c>
      <c r="B67" s="52" t="n">
        <f aca="false">IFERROR(Schedule!$H$63,0)</f>
        <v>-22648309.7836516</v>
      </c>
      <c r="C67" s="52" t="n">
        <f aca="false">IFERROR(Schedule!$S$63,0)</f>
        <v>10346220.4940562</v>
      </c>
      <c r="D67" s="52" t="n">
        <f aca="false">IFERROR(Schedule!$G$63,0)</f>
        <v>2460344.71157524</v>
      </c>
      <c r="E67" s="52" t="n">
        <f aca="false">IFERROR(Schedule!$R$63,0)</f>
        <v>4911003.10404574</v>
      </c>
      <c r="F67" s="52" t="n">
        <f aca="false">IFERROR(Schedule!$B$63,0)</f>
        <v>3939045.45037915</v>
      </c>
      <c r="G67" s="52" t="n">
        <f aca="false">IFERROR(Schedule!$Q$63,0)</f>
        <v>12150847.6400661</v>
      </c>
      <c r="H67" s="52" t="n">
        <f aca="false">IFERROR(Schedule!$D$63,0)</f>
        <v>88458.9999083413</v>
      </c>
      <c r="I67" s="52" t="n">
        <f aca="false">IFERROR(Schedule!$P$63,0)</f>
        <v>171840.090409099</v>
      </c>
    </row>
    <row r="68" customFormat="false" ht="15" hidden="false" customHeight="true" outlineLevel="0" collapsed="false">
      <c r="A68" s="56" t="n">
        <v>61</v>
      </c>
      <c r="B68" s="50" t="n">
        <f aca="false">IFERROR(Schedule!$H$64,0)</f>
        <v>-24423632.0131094</v>
      </c>
      <c r="C68" s="50" t="n">
        <f aca="false">IFERROR(Schedule!$S$64,0)</f>
        <v>11172478.1335807</v>
      </c>
      <c r="D68" s="50" t="n">
        <f aca="false">IFERROR(Schedule!$G$64,0)</f>
        <v>2551836.77648037</v>
      </c>
      <c r="E68" s="50" t="n">
        <f aca="false">IFERROR(Schedule!$R$64,0)</f>
        <v>5087991.19716711</v>
      </c>
      <c r="F68" s="50" t="n">
        <f aca="false">IFERROR(Schedule!$B$64,0)</f>
        <v>4076912.04114242</v>
      </c>
      <c r="G68" s="50" t="n">
        <f aca="false">IFERROR(Schedule!$Q$64,0)</f>
        <v>13122915.4512714</v>
      </c>
      <c r="H68" s="50" t="n">
        <f aca="false">IFERROR(Schedule!$D$64,0)</f>
        <v>91492.0649051332</v>
      </c>
      <c r="I68" s="50" t="n">
        <f aca="false">IFERROR(Schedule!$P$64,0)</f>
        <v>176988.093121372</v>
      </c>
    </row>
    <row r="69" customFormat="false" ht="15" hidden="false" customHeight="true" outlineLevel="0" collapsed="false">
      <c r="A69" s="55" t="n">
        <v>62</v>
      </c>
      <c r="B69" s="52" t="n">
        <f aca="false">IFERROR(Schedule!$H$65,0)</f>
        <v>-26332125.0230185</v>
      </c>
      <c r="C69" s="52" t="n">
        <f aca="false">IFERROR(Schedule!$S$65,0)</f>
        <v>12064836.3842671</v>
      </c>
      <c r="D69" s="52" t="n">
        <f aca="false">IFERROR(Schedule!$G$65,0)</f>
        <v>2646468.06365719</v>
      </c>
      <c r="E69" s="52" t="n">
        <f aca="false">IFERROR(Schedule!$R$65,0)</f>
        <v>5270281.73308213</v>
      </c>
      <c r="F69" s="52" t="n">
        <f aca="false">IFERROR(Schedule!$B$65,0)</f>
        <v>4219603.9625824</v>
      </c>
      <c r="G69" s="52" t="n">
        <f aca="false">IFERROR(Schedule!$Q$65,0)</f>
        <v>14172748.6873731</v>
      </c>
      <c r="H69" s="52" t="n">
        <f aca="false">IFERROR(Schedule!$D$65,0)</f>
        <v>94631.2871768129</v>
      </c>
      <c r="I69" s="52" t="n">
        <f aca="false">IFERROR(Schedule!$P$65,0)</f>
        <v>182290.535915014</v>
      </c>
    </row>
    <row r="70" customFormat="false" ht="15" hidden="false" customHeight="true" outlineLevel="0" collapsed="false">
      <c r="A70" s="56" t="n">
        <v>63</v>
      </c>
      <c r="B70" s="50" t="n">
        <f aca="false">IFERROR(Schedule!$H$66,0)</f>
        <v>-28383584.8806183</v>
      </c>
      <c r="C70" s="50" t="n">
        <f aca="false">IFERROR(Schedule!$S$66,0)</f>
        <v>13028583.2950085</v>
      </c>
      <c r="D70" s="50" t="n">
        <f aca="false">IFERROR(Schedule!$G$66,0)</f>
        <v>2744348.44588519</v>
      </c>
      <c r="E70" s="50" t="n">
        <f aca="false">IFERROR(Schedule!$R$66,0)</f>
        <v>5458033.78507459</v>
      </c>
      <c r="F70" s="50" t="n">
        <f aca="false">IFERROR(Schedule!$B$66,0)</f>
        <v>4367290.10127279</v>
      </c>
      <c r="G70" s="50" t="n">
        <f aca="false">IFERROR(Schedule!$Q$66,0)</f>
        <v>15306568.5823629</v>
      </c>
      <c r="H70" s="50" t="n">
        <f aca="false">IFERROR(Schedule!$D$66,0)</f>
        <v>97880.3822280013</v>
      </c>
      <c r="I70" s="50" t="n">
        <f aca="false">IFERROR(Schedule!$P$66,0)</f>
        <v>187752.051992464</v>
      </c>
    </row>
    <row r="71" customFormat="false" ht="15" hidden="false" customHeight="true" outlineLevel="0" collapsed="false">
      <c r="A71" s="55" t="n">
        <v>64</v>
      </c>
      <c r="B71" s="52" t="n">
        <f aca="false">IFERROR(Schedule!$H$67,0)</f>
        <v>-30588521.7315672</v>
      </c>
      <c r="C71" s="52" t="n">
        <f aca="false">IFERROR(Schedule!$S$67,0)</f>
        <v>14069429.9586092</v>
      </c>
      <c r="D71" s="52" t="n">
        <f aca="false">IFERROR(Schedule!$G$67,0)</f>
        <v>2845591.64149117</v>
      </c>
      <c r="E71" s="52" t="n">
        <f aca="false">IFERROR(Schedule!$R$67,0)</f>
        <v>5651411.19862683</v>
      </c>
      <c r="F71" s="52" t="n">
        <f aca="false">IFERROR(Schedule!$B$67,0)</f>
        <v>4520145.25481733</v>
      </c>
      <c r="G71" s="52" t="n">
        <f aca="false">IFERROR(Schedule!$Q$67,0)</f>
        <v>16531094.068952</v>
      </c>
      <c r="H71" s="52" t="n">
        <f aca="false">IFERROR(Schedule!$D$67,0)</f>
        <v>101243.195605981</v>
      </c>
      <c r="I71" s="52" t="n">
        <f aca="false">IFERROR(Schedule!$P$67,0)</f>
        <v>193377.413552238</v>
      </c>
    </row>
    <row r="72" customFormat="false" ht="15" hidden="false" customHeight="true" outlineLevel="0" collapsed="false">
      <c r="A72" s="56" t="n">
        <v>65</v>
      </c>
      <c r="B72" s="50" t="n">
        <f aca="false">IFERROR(Schedule!$H$68,0)</f>
        <v>-32958211.6279269</v>
      </c>
      <c r="C72" s="50" t="n">
        <f aca="false">IFERROR(Schedule!$S$68,0)</f>
        <v>15193544.3552979</v>
      </c>
      <c r="D72" s="50" t="n">
        <f aca="false">IFERROR(Schedule!$G$68,0)</f>
        <v>2950315.34894336</v>
      </c>
      <c r="E72" s="50" t="n">
        <f aca="false">IFERROR(Schedule!$R$68,0)</f>
        <v>5850582.73458563</v>
      </c>
      <c r="F72" s="50" t="n">
        <f aca="false">IFERROR(Schedule!$B$68,0)</f>
        <v>4678350.33873594</v>
      </c>
      <c r="G72" s="50" t="n">
        <f aca="false">IFERROR(Schedule!$Q$68,0)</f>
        <v>17853581.5944681</v>
      </c>
      <c r="H72" s="50" t="n">
        <f aca="false">IFERROR(Schedule!$D$68,0)</f>
        <v>104723.707452191</v>
      </c>
      <c r="I72" s="50" t="n">
        <f aca="false">IFERROR(Schedule!$P$68,0)</f>
        <v>199171.535958805</v>
      </c>
    </row>
    <row r="73" customFormat="false" ht="15" hidden="false" customHeight="true" outlineLevel="0" collapsed="false">
      <c r="A73" s="55" t="n">
        <v>66</v>
      </c>
      <c r="B73" s="52" t="n">
        <f aca="false">IFERROR(Schedule!$H$69,0)</f>
        <v>-35504752.1100477</v>
      </c>
      <c r="C73" s="52" t="n">
        <f aca="false">IFERROR(Schedule!$S$69,0)</f>
        <v>16407587.9037217</v>
      </c>
      <c r="D73" s="52" t="n">
        <f aca="false">IFERROR(Schedule!$G$69,0)</f>
        <v>3058641.38615638</v>
      </c>
      <c r="E73" s="52" t="n">
        <f aca="false">IFERROR(Schedule!$R$69,0)</f>
        <v>6055722.2166232</v>
      </c>
      <c r="F73" s="52" t="n">
        <f aca="false">IFERROR(Schedule!$B$69,0)</f>
        <v>4842092.6005917</v>
      </c>
      <c r="G73" s="52" t="n">
        <f aca="false">IFERROR(Schedule!$Q$69,0)</f>
        <v>19281868.1220256</v>
      </c>
      <c r="H73" s="52" t="n">
        <f aca="false">IFERROR(Schedule!$D$69,0)</f>
        <v>108326.037213017</v>
      </c>
      <c r="I73" s="52" t="n">
        <f aca="false">IFERROR(Schedule!$P$69,0)</f>
        <v>205139.482037569</v>
      </c>
    </row>
    <row r="74" customFormat="false" ht="15" hidden="false" customHeight="true" outlineLevel="0" collapsed="false">
      <c r="A74" s="56" t="n">
        <v>67</v>
      </c>
      <c r="B74" s="50" t="n">
        <f aca="false">IFERROR(Schedule!$H$70,0)</f>
        <v>-38241121.8139777</v>
      </c>
      <c r="C74" s="50" t="n">
        <f aca="false">IFERROR(Schedule!$S$70,0)</f>
        <v>17718754.9360195</v>
      </c>
      <c r="D74" s="50" t="n">
        <f aca="false">IFERROR(Schedule!$G$70,0)</f>
        <v>3170695.83467185</v>
      </c>
      <c r="E74" s="50" t="n">
        <f aca="false">IFERROR(Schedule!$R$70,0)</f>
        <v>6267008.6831219</v>
      </c>
      <c r="F74" s="50" t="n">
        <f aca="false">IFERROR(Schedule!$B$70,0)</f>
        <v>5011565.84161241</v>
      </c>
      <c r="G74" s="50" t="n">
        <f aca="false">IFERROR(Schedule!$Q$70,0)</f>
        <v>20824417.5717876</v>
      </c>
      <c r="H74" s="50" t="n">
        <f aca="false">IFERROR(Schedule!$D$70,0)</f>
        <v>112054.448515473</v>
      </c>
      <c r="I74" s="50" t="n">
        <f aca="false">IFERROR(Schedule!$P$70,0)</f>
        <v>211286.466498696</v>
      </c>
    </row>
    <row r="75" customFormat="false" ht="15" hidden="false" customHeight="true" outlineLevel="0" collapsed="false">
      <c r="A75" s="55" t="n">
        <v>68</v>
      </c>
      <c r="B75" s="52" t="n">
        <f aca="false">IFERROR(Schedule!$H$71,0)</f>
        <v>-41181244.3956664</v>
      </c>
      <c r="C75" s="52" t="n">
        <f aca="false">IFERROR(Schedule!$S$71,0)</f>
        <v>19134815.330901</v>
      </c>
      <c r="D75" s="52" t="n">
        <f aca="false">IFERROR(Schedule!$G$71,0)</f>
        <v>3286609.18888536</v>
      </c>
      <c r="E75" s="52" t="n">
        <f aca="false">IFERROR(Schedule!$R$71,0)</f>
        <v>6484626.54361556</v>
      </c>
      <c r="F75" s="52" t="n">
        <f aca="false">IFERROR(Schedule!$B$71,0)</f>
        <v>5186970.64606884</v>
      </c>
      <c r="G75" s="52" t="n">
        <f aca="false">IFERROR(Schedule!$Q$71,0)</f>
        <v>22490370.9775306</v>
      </c>
      <c r="H75" s="52" t="n">
        <f aca="false">IFERROR(Schedule!$D$71,0)</f>
        <v>115913.354213515</v>
      </c>
      <c r="I75" s="52" t="n">
        <f aca="false">IFERROR(Schedule!$P$71,0)</f>
        <v>217617.860493657</v>
      </c>
    </row>
    <row r="76" customFormat="false" ht="15" hidden="false" customHeight="true" outlineLevel="0" collapsed="false">
      <c r="A76" s="56" t="n">
        <v>69</v>
      </c>
      <c r="B76" s="50" t="n">
        <f aca="false">IFERROR(Schedule!$H$72,0)</f>
        <v>-44340057.0842929</v>
      </c>
      <c r="C76" s="50" t="n">
        <f aca="false">IFERROR(Schedule!$S$72,0)</f>
        <v>20664160.5573731</v>
      </c>
      <c r="D76" s="50" t="n">
        <f aca="false">IFERROR(Schedule!$G$72,0)</f>
        <v>3406516.51049635</v>
      </c>
      <c r="E76" s="50" t="n">
        <f aca="false">IFERROR(Schedule!$R$72,0)</f>
        <v>6708765.73992402</v>
      </c>
      <c r="F76" s="50" t="n">
        <f aca="false">IFERROR(Schedule!$B$72,0)</f>
        <v>5368514.61868125</v>
      </c>
      <c r="G76" s="50" t="n">
        <f aca="false">IFERROR(Schedule!$Q$72,0)</f>
        <v>24289600.6557331</v>
      </c>
      <c r="H76" s="50" t="n">
        <f aca="false">IFERROR(Schedule!$D$72,0)</f>
        <v>119907.321610988</v>
      </c>
      <c r="I76" s="50" t="n">
        <f aca="false">IFERROR(Schedule!$P$72,0)</f>
        <v>224139.196308467</v>
      </c>
    </row>
    <row r="77" customFormat="false" ht="15" hidden="false" customHeight="true" outlineLevel="0" collapsed="false">
      <c r="A77" s="55" t="n">
        <v>70</v>
      </c>
      <c r="B77" s="52" t="n">
        <f aca="false">IFERROR(Schedule!$H$73,0)</f>
        <v>-47733584.1996426</v>
      </c>
      <c r="C77" s="52" t="n">
        <f aca="false">IFERROR(Schedule!$S$73,0)</f>
        <v>22315853.401963</v>
      </c>
      <c r="D77" s="52" t="n">
        <f aca="false">IFERROR(Schedule!$G$73,0)</f>
        <v>3530557.58836372</v>
      </c>
      <c r="E77" s="52" t="n">
        <f aca="false">IFERROR(Schedule!$R$73,0)</f>
        <v>6939621.91212174</v>
      </c>
      <c r="F77" s="52" t="n">
        <f aca="false">IFERROR(Schedule!$B$73,0)</f>
        <v>5556412.63033509</v>
      </c>
      <c r="G77" s="52" t="n">
        <f aca="false">IFERROR(Schedule!$Q$73,0)</f>
        <v>26232768.7081917</v>
      </c>
      <c r="H77" s="52" t="n">
        <f aca="false">IFERROR(Schedule!$D$73,0)</f>
        <v>124041.077867372</v>
      </c>
      <c r="I77" s="52" t="n">
        <f aca="false">IFERROR(Schedule!$P$73,0)</f>
        <v>230856.172197721</v>
      </c>
    </row>
    <row r="78" customFormat="false" ht="15" hidden="false" customHeight="true" outlineLevel="0" collapsed="false">
      <c r="A78" s="56" t="n">
        <v>71</v>
      </c>
      <c r="B78" s="50" t="n">
        <f aca="false">IFERROR(Schedule!$H$74,0)</f>
        <v>-51379015.9926731</v>
      </c>
      <c r="C78" s="50" t="n">
        <f aca="false">IFERROR(Schedule!$S$74,0)</f>
        <v>24099681.67412</v>
      </c>
      <c r="D78" s="50" t="n">
        <f aca="false">IFERROR(Schedule!$G$74,0)</f>
        <v>3658877.10395645</v>
      </c>
      <c r="E78" s="50" t="n">
        <f aca="false">IFERROR(Schedule!$R$74,0)</f>
        <v>7177396.5694854</v>
      </c>
      <c r="F78" s="50" t="n">
        <f aca="false">IFERROR(Schedule!$B$74,0)</f>
        <v>5750887.07239682</v>
      </c>
      <c r="G78" s="50" t="n">
        <f aca="false">IFERROR(Schedule!$Q$74,0)</f>
        <v>28331390.2048471</v>
      </c>
      <c r="H78" s="50" t="n">
        <f aca="false">IFERROR(Schedule!$D$74,0)</f>
        <v>128319.51559273</v>
      </c>
      <c r="I78" s="50" t="n">
        <f aca="false">IFERROR(Schedule!$P$74,0)</f>
        <v>237774.657363653</v>
      </c>
    </row>
    <row r="79" customFormat="false" ht="15" hidden="false" customHeight="true" outlineLevel="0" collapsed="false">
      <c r="A79" s="55" t="n">
        <v>72</v>
      </c>
      <c r="B79" s="52" t="n">
        <f aca="false">IFERROR(Schedule!$H$75,0)</f>
        <v>-55294793.1943866</v>
      </c>
      <c r="C79" s="52" t="n">
        <f aca="false">IFERROR(Schedule!$S$75,0)</f>
        <v>26026216.2080496</v>
      </c>
      <c r="D79" s="52" t="n">
        <f aca="false">IFERROR(Schedule!$G$75,0)</f>
        <v>3791624.80259493</v>
      </c>
      <c r="E79" s="52" t="n">
        <f aca="false">IFERROR(Schedule!$R$75,0)</f>
        <v>7422297.26656996</v>
      </c>
      <c r="F79" s="52" t="n">
        <f aca="false">IFERROR(Schedule!$B$75,0)</f>
        <v>5952168.11993071</v>
      </c>
      <c r="G79" s="52" t="n">
        <f aca="false">IFERROR(Schedule!$Q$75,0)</f>
        <v>30597901.4212348</v>
      </c>
      <c r="H79" s="52" t="n">
        <f aca="false">IFERROR(Schedule!$D$75,0)</f>
        <v>132747.698638476</v>
      </c>
      <c r="I79" s="52" t="n">
        <f aca="false">IFERROR(Schedule!$P$75,0)</f>
        <v>244900.697084562</v>
      </c>
    </row>
    <row r="80" customFormat="false" ht="15" hidden="false" customHeight="true" outlineLevel="0" collapsed="false">
      <c r="A80" s="56" t="n">
        <v>73</v>
      </c>
      <c r="B80" s="50" t="n">
        <f aca="false">IFERROR(Schedule!$H$76,0)</f>
        <v>-59500697.685972</v>
      </c>
      <c r="C80" s="50" t="n">
        <f aca="false">IFERROR(Schedule!$S$76,0)</f>
        <v>28106873.5046936</v>
      </c>
      <c r="D80" s="50" t="n">
        <f aca="false">IFERROR(Schedule!$G$76,0)</f>
        <v>3928955.67068575</v>
      </c>
      <c r="E80" s="50" t="n">
        <f aca="false">IFERROR(Schedule!$R$76,0)</f>
        <v>7674537.78456706</v>
      </c>
      <c r="F80" s="50" t="n">
        <f aca="false">IFERROR(Schedule!$B$76,0)</f>
        <v>6160494.00412828</v>
      </c>
      <c r="G80" s="50" t="n">
        <f aca="false">IFERROR(Schedule!$Q$76,0)</f>
        <v>33045733.5349336</v>
      </c>
      <c r="H80" s="50" t="n">
        <f aca="false">IFERROR(Schedule!$D$76,0)</f>
        <v>137330.868090822</v>
      </c>
      <c r="I80" s="50" t="n">
        <f aca="false">IFERROR(Schedule!$P$76,0)</f>
        <v>252240.517997099</v>
      </c>
    </row>
    <row r="81" customFormat="false" ht="15" hidden="false" customHeight="true" outlineLevel="0" collapsed="false">
      <c r="A81" s="55" t="n">
        <v>74</v>
      </c>
      <c r="B81" s="52" t="n">
        <f aca="false">IFERROR(Schedule!$H$77,0)</f>
        <v>-64017949.73305</v>
      </c>
      <c r="C81" s="52" t="n">
        <f aca="false">IFERROR(Schedule!$S$77,0)</f>
        <v>30353983.3850691</v>
      </c>
      <c r="D81" s="52" t="n">
        <f aca="false">IFERROR(Schedule!$G$77,0)</f>
        <v>4071030.11915975</v>
      </c>
      <c r="E81" s="52" t="n">
        <f aca="false">IFERROR(Schedule!$R$77,0)</f>
        <v>7934338.31810407</v>
      </c>
      <c r="F81" s="52" t="n">
        <f aca="false">IFERROR(Schedule!$B$77,0)</f>
        <v>6376111.29427277</v>
      </c>
      <c r="G81" s="52" t="n">
        <f aca="false">IFERROR(Schedule!$Q$77,0)</f>
        <v>35689392.2177283</v>
      </c>
      <c r="H81" s="52" t="n">
        <f aca="false">IFERROR(Schedule!$D$77,0)</f>
        <v>142074.448474001</v>
      </c>
      <c r="I81" s="52" t="n">
        <f aca="false">IFERROR(Schedule!$P$77,0)</f>
        <v>259800.533537012</v>
      </c>
    </row>
    <row r="82" customFormat="false" ht="15" hidden="false" customHeight="true" outlineLevel="0" collapsed="false">
      <c r="A82" s="56" t="n">
        <v>75</v>
      </c>
      <c r="B82" s="50" t="n">
        <f aca="false">IFERROR(Schedule!$H$78,0)</f>
        <v>-68869312.2588717</v>
      </c>
      <c r="C82" s="50" t="n">
        <f aca="false">IFERROR(Schedule!$S$78,0)</f>
        <v>32780862.0558746</v>
      </c>
      <c r="D82" s="50" t="n">
        <f aca="false">IFERROR(Schedule!$G$78,0)</f>
        <v>4218014.17333034</v>
      </c>
      <c r="E82" s="50" t="n">
        <f aca="false">IFERROR(Schedule!$R$78,0)</f>
        <v>8201925.66764719</v>
      </c>
      <c r="F82" s="50" t="n">
        <f aca="false">IFERROR(Schedule!$B$78,0)</f>
        <v>6599275.18957232</v>
      </c>
      <c r="G82" s="50" t="n">
        <f aca="false">IFERROR(Schedule!$Q$78,0)</f>
        <v>38544543.5951466</v>
      </c>
      <c r="H82" s="50" t="n">
        <f aca="false">IFERROR(Schedule!$D$78,0)</f>
        <v>146984.054170591</v>
      </c>
      <c r="I82" s="50" t="n">
        <f aca="false">IFERROR(Schedule!$P$78,0)</f>
        <v>267587.349543122</v>
      </c>
    </row>
    <row r="83" customFormat="false" ht="15" hidden="false" customHeight="true" outlineLevel="0" collapsed="false">
      <c r="A83" s="55" t="n">
        <v>76</v>
      </c>
      <c r="B83" s="52" t="n">
        <f aca="false">IFERROR(Schedule!$H$79,0)</f>
        <v>-74079202.6656659</v>
      </c>
      <c r="C83" s="52" t="n">
        <f aca="false">IFERROR(Schedule!$S$79,0)</f>
        <v>35401891.0203446</v>
      </c>
      <c r="D83" s="52" t="n">
        <f aca="false">IFERROR(Schedule!$G$79,0)</f>
        <v>4370079.66939691</v>
      </c>
      <c r="E83" s="52" t="n">
        <f aca="false">IFERROR(Schedule!$R$79,0)</f>
        <v>8477533.43767661</v>
      </c>
      <c r="F83" s="52" t="n">
        <f aca="false">IFERROR(Schedule!$B$79,0)</f>
        <v>6830249.82120735</v>
      </c>
      <c r="G83" s="52" t="n">
        <f aca="false">IFERROR(Schedule!$Q$79,0)</f>
        <v>41628107.0827583</v>
      </c>
      <c r="H83" s="52" t="n">
        <f aca="false">IFERROR(Schedule!$D$79,0)</f>
        <v>152065.496066562</v>
      </c>
      <c r="I83" s="52" t="n">
        <f aca="false">IFERROR(Schedule!$P$79,0)</f>
        <v>275607.770029416</v>
      </c>
    </row>
    <row r="84" customFormat="false" ht="15" hidden="false" customHeight="true" outlineLevel="0" collapsed="false">
      <c r="A84" s="56" t="n">
        <v>77</v>
      </c>
      <c r="B84" s="50" t="n">
        <f aca="false">IFERROR(Schedule!$H$80,0)</f>
        <v>-79673812.7501475</v>
      </c>
      <c r="C84" s="50" t="n">
        <f aca="false">IFERROR(Schedule!$S$80,0)</f>
        <v>38232602.3019721</v>
      </c>
      <c r="D84" s="50" t="n">
        <f aca="false">IFERROR(Schedule!$G$80,0)</f>
        <v>4527404.4578258</v>
      </c>
      <c r="E84" s="50" t="n">
        <f aca="false">IFERROR(Schedule!$R$80,0)</f>
        <v>8761402.24080691</v>
      </c>
      <c r="F84" s="50" t="n">
        <f aca="false">IFERROR(Schedule!$B$80,0)</f>
        <v>7069308.56494961</v>
      </c>
      <c r="G84" s="50" t="n">
        <f aca="false">IFERROR(Schedule!$Q$80,0)</f>
        <v>44958355.649379</v>
      </c>
      <c r="H84" s="50" t="n">
        <f aca="false">IFERROR(Schedule!$D$80,0)</f>
        <v>157324.788428891</v>
      </c>
      <c r="I84" s="50" t="n">
        <f aca="false">IFERROR(Schedule!$P$80,0)</f>
        <v>283868.803130299</v>
      </c>
    </row>
    <row r="85" customFormat="false" ht="15" hidden="false" customHeight="true" outlineLevel="0" collapsed="false">
      <c r="A85" s="55" t="n">
        <v>78</v>
      </c>
      <c r="B85" s="52" t="n">
        <f aca="false">IFERROR(Schedule!$H$81,0)</f>
        <v>-85681237.2986858</v>
      </c>
      <c r="C85" s="52" t="n">
        <f aca="false">IFERROR(Schedule!$S$81,0)</f>
        <v>41289770.4861299</v>
      </c>
      <c r="D85" s="52" t="n">
        <f aca="false">IFERROR(Schedule!$G$81,0)</f>
        <v>4690172.6138497</v>
      </c>
      <c r="E85" s="52" t="n">
        <f aca="false">IFERROR(Schedule!$R$81,0)</f>
        <v>9053779.90803111</v>
      </c>
      <c r="F85" s="52" t="n">
        <f aca="false">IFERROR(Schedule!$B$81,0)</f>
        <v>7316734.36472284</v>
      </c>
      <c r="G85" s="52" t="n">
        <f aca="false">IFERROR(Schedule!$Q$81,0)</f>
        <v>48555024.1013293</v>
      </c>
      <c r="H85" s="52" t="n">
        <f aca="false">IFERROR(Schedule!$D$81,0)</f>
        <v>162768.156023903</v>
      </c>
      <c r="I85" s="52" t="n">
        <f aca="false">IFERROR(Schedule!$P$81,0)</f>
        <v>292377.667224207</v>
      </c>
    </row>
    <row r="86" customFormat="false" ht="15" hidden="false" customHeight="true" outlineLevel="0" collapsed="false">
      <c r="A86" s="56" t="n">
        <v>79</v>
      </c>
      <c r="B86" s="50" t="n">
        <f aca="false">IFERROR(Schedule!$H$82,0)</f>
        <v>-92131611.9899704</v>
      </c>
      <c r="C86" s="50" t="n">
        <f aca="false">IFERROR(Schedule!$S$82,0)</f>
        <v>44591512.1250203</v>
      </c>
      <c r="D86" s="50" t="n">
        <f aca="false">IFERROR(Schedule!$G$82,0)</f>
        <v>4858574.65533444</v>
      </c>
      <c r="E86" s="50" t="n">
        <f aca="false">IFERROR(Schedule!$R$82,0)</f>
        <v>9354921.70527205</v>
      </c>
      <c r="F86" s="50" t="n">
        <f aca="false">IFERROR(Schedule!$B$82,0)</f>
        <v>7572820.06748814</v>
      </c>
      <c r="G86" s="50" t="n">
        <f aca="false">IFERROR(Schedule!$Q$82,0)</f>
        <v>52439426.0294356</v>
      </c>
      <c r="H86" s="50" t="n">
        <f aca="false">IFERROR(Schedule!$D$82,0)</f>
        <v>168402.041484739</v>
      </c>
      <c r="I86" s="50" t="n">
        <f aca="false">IFERROR(Schedule!$P$82,0)</f>
        <v>301141.797240934</v>
      </c>
    </row>
    <row r="87" customFormat="false" ht="15" hidden="false" customHeight="true" outlineLevel="0" collapsed="false">
      <c r="A87" s="55" t="n">
        <v>80</v>
      </c>
      <c r="B87" s="52" t="n">
        <f aca="false">IFERROR(Schedule!$H$83,0)</f>
        <v>-99057261.2784095</v>
      </c>
      <c r="C87" s="52" t="n">
        <f aca="false">IFERROR(Schedule!$S$83,0)</f>
        <v>48157393.0950219</v>
      </c>
      <c r="D87" s="52" t="n">
        <f aca="false">IFERROR(Schedule!$G$83,0)</f>
        <v>5032807.76827114</v>
      </c>
      <c r="E87" s="52" t="n">
        <f aca="false">IFERROR(Schedule!$R$83,0)</f>
        <v>9665090.55643021</v>
      </c>
      <c r="F87" s="52" t="n">
        <f aca="false">IFERROR(Schedule!$B$83,0)</f>
        <v>7837868.76985023</v>
      </c>
      <c r="G87" s="52" t="n">
        <f aca="false">IFERROR(Schedule!$Q$83,0)</f>
        <v>56634580.1117905</v>
      </c>
      <c r="H87" s="52" t="n">
        <f aca="false">IFERROR(Schedule!$D$83,0)</f>
        <v>174233.112936705</v>
      </c>
      <c r="I87" s="52" t="n">
        <f aca="false">IFERROR(Schedule!$P$83,0)</f>
        <v>310168.851158162</v>
      </c>
    </row>
    <row r="88" customFormat="false" ht="15" hidden="false" customHeight="true" outlineLevel="0" collapsed="false">
      <c r="A88" s="56" t="n">
        <v>81</v>
      </c>
      <c r="B88" s="50" t="n">
        <f aca="false">IFERROR(Schedule!$H$84,0)</f>
        <v>-106492856.980181</v>
      </c>
      <c r="C88" s="50" t="n">
        <f aca="false">IFERROR(Schedule!$S$84,0)</f>
        <v>52008544.5426237</v>
      </c>
      <c r="D88" s="50" t="n">
        <f aca="false">IFERROR(Schedule!$G$84,0)</f>
        <v>5213076.04016063</v>
      </c>
      <c r="E88" s="50" t="n">
        <f aca="false">IFERROR(Schedule!$R$84,0)</f>
        <v>9984557.27312312</v>
      </c>
      <c r="F88" s="50" t="n">
        <f aca="false">IFERROR(Schedule!$B$84,0)</f>
        <v>8112194.17679498</v>
      </c>
      <c r="G88" s="50" t="n">
        <f aca="false">IFERROR(Schedule!$Q$84,0)</f>
        <v>61165346.5207337</v>
      </c>
      <c r="H88" s="50" t="n">
        <f aca="false">IFERROR(Schedule!$D$84,0)</f>
        <v>180268.27188949</v>
      </c>
      <c r="I88" s="50" t="n">
        <f aca="false">IFERROR(Schedule!$P$84,0)</f>
        <v>319466.716692907</v>
      </c>
    </row>
    <row r="89" customFormat="false" ht="15" hidden="false" customHeight="true" outlineLevel="0" collapsed="false">
      <c r="A89" s="55" t="n">
        <v>82</v>
      </c>
      <c r="B89" s="52" t="n">
        <f aca="false">IFERROR(Schedule!$H$85,0)</f>
        <v>-114475588.336058</v>
      </c>
      <c r="C89" s="52" t="n">
        <f aca="false">IFERROR(Schedule!$S$85,0)</f>
        <v>56167788.1060336</v>
      </c>
      <c r="D89" s="52" t="n">
        <f aca="false">IFERROR(Schedule!$G$85,0)</f>
        <v>5399590.70156626</v>
      </c>
      <c r="E89" s="52" t="n">
        <f aca="false">IFERROR(Schedule!$R$85,0)</f>
        <v>10313600.7913168</v>
      </c>
      <c r="F89" s="52" t="n">
        <f aca="false">IFERROR(Schedule!$B$85,0)</f>
        <v>8396120.97298281</v>
      </c>
      <c r="G89" s="52" t="n">
        <f aca="false">IFERROR(Schedule!$Q$85,0)</f>
        <v>66058574.2423925</v>
      </c>
      <c r="H89" s="52" t="n">
        <f aca="false">IFERROR(Schedule!$D$85,0)</f>
        <v>186514.661405622</v>
      </c>
      <c r="I89" s="52" t="n">
        <f aca="false">IFERROR(Schedule!$P$85,0)</f>
        <v>329043.518193694</v>
      </c>
    </row>
    <row r="90" customFormat="false" ht="15" hidden="false" customHeight="true" outlineLevel="0" collapsed="false">
      <c r="A90" s="56" t="n">
        <v>83</v>
      </c>
      <c r="B90" s="50" t="n">
        <f aca="false">IFERROR(Schedule!$H$86,0)</f>
        <v>-123045344.3811</v>
      </c>
      <c r="C90" s="50" t="n">
        <f aca="false">IFERROR(Schedule!$S$86,0)</f>
        <v>60659771.1545163</v>
      </c>
      <c r="D90" s="50" t="n">
        <f aca="false">IFERROR(Schedule!$G$86,0)</f>
        <v>5592570.37612107</v>
      </c>
      <c r="E90" s="50" t="n">
        <f aca="false">IFERROR(Schedule!$R$86,0)</f>
        <v>10652508.4150563</v>
      </c>
      <c r="F90" s="50" t="n">
        <f aca="false">IFERROR(Schedule!$B$86,0)</f>
        <v>8689985.20703721</v>
      </c>
      <c r="G90" s="50" t="n">
        <f aca="false">IFERROR(Schedule!$Q$86,0)</f>
        <v>71343260.1817839</v>
      </c>
      <c r="H90" s="50" t="n">
        <f aca="false">IFERROR(Schedule!$D$86,0)</f>
        <v>192979.674554819</v>
      </c>
      <c r="I90" s="50" t="n">
        <f aca="false">IFERROR(Schedule!$P$86,0)</f>
        <v>338907.623739505</v>
      </c>
    </row>
    <row r="91" customFormat="false" ht="15" hidden="false" customHeight="true" outlineLevel="0" collapsed="false">
      <c r="A91" s="55" t="n">
        <v>84</v>
      </c>
      <c r="B91" s="52" t="n">
        <f aca="false">IFERROR(Schedule!$H$87,0)</f>
        <v>-132244909.511343</v>
      </c>
      <c r="C91" s="52" t="n">
        <f aca="false">IFERROR(Schedule!$S$87,0)</f>
        <v>65511112.8468776</v>
      </c>
      <c r="D91" s="52" t="n">
        <f aca="false">IFERROR(Schedule!$G$87,0)</f>
        <v>5792241.33928531</v>
      </c>
      <c r="E91" s="52" t="n">
        <f aca="false">IFERROR(Schedule!$R$87,0)</f>
        <v>11001576.067508</v>
      </c>
      <c r="F91" s="52" t="n">
        <f aca="false">IFERROR(Schedule!$B$87,0)</f>
        <v>8994134.68928351</v>
      </c>
      <c r="G91" s="52" t="n">
        <f aca="false">IFERROR(Schedule!$Q$87,0)</f>
        <v>77050720.9963266</v>
      </c>
      <c r="H91" s="52" t="n">
        <f aca="false">IFERROR(Schedule!$D$87,0)</f>
        <v>199670.963164237</v>
      </c>
      <c r="I91" s="52" t="n">
        <f aca="false">IFERROR(Schedule!$P$87,0)</f>
        <v>349067.65245169</v>
      </c>
    </row>
    <row r="92" customFormat="false" ht="15" hidden="false" customHeight="true" outlineLevel="0" collapsed="false">
      <c r="A92" s="56" t="n">
        <v>85</v>
      </c>
      <c r="B92" s="50" t="n">
        <f aca="false">IFERROR(Schedule!$H$88,0)</f>
        <v>-142120173.201951</v>
      </c>
      <c r="C92" s="50" t="n">
        <f aca="false">IFERROR(Schedule!$S$88,0)</f>
        <v>70750561.8746278</v>
      </c>
      <c r="D92" s="50" t="n">
        <f aca="false">IFERROR(Schedule!$G$88,0)</f>
        <v>5998837.7861603</v>
      </c>
      <c r="E92" s="50" t="n">
        <f aca="false">IFERROR(Schedule!$R$88,0)</f>
        <v>11361108.5495332</v>
      </c>
      <c r="F92" s="50" t="n">
        <f aca="false">IFERROR(Schedule!$B$88,0)</f>
        <v>9308929.40340843</v>
      </c>
      <c r="G92" s="50" t="n">
        <f aca="false">IFERROR(Schedule!$Q$88,0)</f>
        <v>83214778.6760327</v>
      </c>
      <c r="H92" s="50" t="n">
        <f aca="false">IFERROR(Schedule!$D$88,0)</f>
        <v>206596.446874985</v>
      </c>
      <c r="I92" s="50" t="n">
        <f aca="false">IFERROR(Schedule!$P$88,0)</f>
        <v>359532.48202524</v>
      </c>
    </row>
    <row r="93" customFormat="false" ht="15" hidden="false" customHeight="true" outlineLevel="0" collapsed="false">
      <c r="A93" s="55" t="n">
        <v>86</v>
      </c>
      <c r="B93" s="52" t="n">
        <f aca="false">IFERROR(Schedule!$H$89,0)</f>
        <v>-152720354.900352</v>
      </c>
      <c r="C93" s="52" t="n">
        <f aca="false">IFERROR(Schedule!$S$89,0)</f>
        <v>76409166.824598</v>
      </c>
      <c r="D93" s="52" t="n">
        <f aca="false">IFERROR(Schedule!$G$89,0)</f>
        <v>6212602.10867591</v>
      </c>
      <c r="E93" s="52" t="n">
        <f aca="false">IFERROR(Schedule!$R$89,0)</f>
        <v>11731419.8060192</v>
      </c>
      <c r="F93" s="52" t="n">
        <f aca="false">IFERROR(Schedule!$B$89,0)</f>
        <v>9634741.93252772</v>
      </c>
      <c r="G93" s="52" t="n">
        <f aca="false">IFERROR(Schedule!$Q$89,0)</f>
        <v>89871960.9701153</v>
      </c>
      <c r="H93" s="52" t="n">
        <f aca="false">IFERROR(Schedule!$D$89,0)</f>
        <v>213764.32251561</v>
      </c>
      <c r="I93" s="52" t="n">
        <f aca="false">IFERROR(Schedule!$P$89,0)</f>
        <v>370311.256485998</v>
      </c>
    </row>
    <row r="94" customFormat="false" ht="15" hidden="false" customHeight="true" outlineLevel="0" collapsed="false">
      <c r="A94" s="56" t="n">
        <v>87</v>
      </c>
      <c r="B94" s="50" t="n">
        <f aca="false">IFERROR(Schedule!$H$90,0)</f>
        <v>-164098245.191843</v>
      </c>
      <c r="C94" s="50" t="n">
        <f aca="false">IFERROR(Schedule!$S$90,0)</f>
        <v>82520460.1705659</v>
      </c>
      <c r="D94" s="50" t="n">
        <f aca="false">IFERROR(Schedule!$G$90,0)</f>
        <v>6433785.18247956</v>
      </c>
      <c r="E94" s="50" t="n">
        <f aca="false">IFERROR(Schedule!$R$90,0)</f>
        <v>12112833.2001998</v>
      </c>
      <c r="F94" s="50" t="n">
        <f aca="false">IFERROR(Schedule!$B$90,0)</f>
        <v>9971957.90016619</v>
      </c>
      <c r="G94" s="50" t="n">
        <f aca="false">IFERROR(Schedule!$Q$90,0)</f>
        <v>97061717.8477246</v>
      </c>
      <c r="H94" s="50" t="n">
        <f aca="false">IFERROR(Schedule!$D$90,0)</f>
        <v>221183.073803656</v>
      </c>
      <c r="I94" s="50" t="n">
        <f aca="false">IFERROR(Schedule!$P$90,0)</f>
        <v>381413.394180578</v>
      </c>
    </row>
    <row r="95" customFormat="false" ht="15" hidden="false" customHeight="true" outlineLevel="0" collapsed="false">
      <c r="A95" s="55" t="n">
        <v>88</v>
      </c>
      <c r="B95" s="52" t="n">
        <f aca="false">IFERROR(Schedule!$H$91,0)</f>
        <v>-176310464.414536</v>
      </c>
      <c r="C95" s="52" t="n">
        <f aca="false">IFERROR(Schedule!$S$91,0)</f>
        <v>89120656.9842112</v>
      </c>
      <c r="D95" s="52" t="n">
        <f aca="false">IFERROR(Schedule!$G$91,0)</f>
        <v>6662646.66386635</v>
      </c>
      <c r="E95" s="52" t="n">
        <f aca="false">IFERROR(Schedule!$R$91,0)</f>
        <v>12505681.7962058</v>
      </c>
      <c r="F95" s="52" t="n">
        <f aca="false">IFERROR(Schedule!$B$91,0)</f>
        <v>10320976.426672</v>
      </c>
      <c r="G95" s="52" t="n">
        <f aca="false">IFERROR(Schedule!$Q$91,0)</f>
        <v>104826655.275543</v>
      </c>
      <c r="H95" s="52" t="n">
        <f aca="false">IFERROR(Schedule!$D$91,0)</f>
        <v>228861.481386784</v>
      </c>
      <c r="I95" s="52" t="n">
        <f aca="false">IFERROR(Schedule!$P$91,0)</f>
        <v>392848.596005995</v>
      </c>
    </row>
    <row r="96" customFormat="false" ht="15" hidden="false" customHeight="true" outlineLevel="0" collapsed="false">
      <c r="A96" s="56" t="n">
        <v>89</v>
      </c>
      <c r="B96" s="50" t="n">
        <f aca="false">IFERROR(Schedule!$H$92,0)</f>
        <v>-189417739.985601</v>
      </c>
      <c r="C96" s="50" t="n">
        <f aca="false">IFERROR(Schedule!$S$92,0)</f>
        <v>96248869.5429481</v>
      </c>
      <c r="D96" s="50" t="n">
        <f aca="false">IFERROR(Schedule!$G$92,0)</f>
        <v>6899455.29710167</v>
      </c>
      <c r="E96" s="50" t="n">
        <f aca="false">IFERROR(Schedule!$R$92,0)</f>
        <v>12910308.650092</v>
      </c>
      <c r="F96" s="50" t="n">
        <f aca="false">IFERROR(Schedule!$B$92,0)</f>
        <v>10682210.6016055</v>
      </c>
      <c r="G96" s="50" t="n">
        <f aca="false">IFERROR(Schedule!$Q$92,0)</f>
        <v>113212787.697586</v>
      </c>
      <c r="H96" s="50" t="n">
        <f aca="false">IFERROR(Schedule!$D$92,0)</f>
        <v>236808.633235322</v>
      </c>
      <c r="I96" s="50" t="n">
        <f aca="false">IFERROR(Schedule!$P$92,0)</f>
        <v>404626.853886175</v>
      </c>
    </row>
    <row r="97" customFormat="false" ht="15" hidden="false" customHeight="true" outlineLevel="0" collapsed="false">
      <c r="A97" s="55" t="n">
        <v>90</v>
      </c>
      <c r="B97" s="52" t="n">
        <f aca="false">IFERROR(Schedule!$H$93,0)</f>
        <v>-203485203.792</v>
      </c>
      <c r="C97" s="52" t="n">
        <f aca="false">IFERROR(Schedule!$S$93,0)</f>
        <v>103947339.106384</v>
      </c>
      <c r="D97" s="52" t="n">
        <f aca="false">IFERROR(Schedule!$G$93,0)</f>
        <v>7144489.23250023</v>
      </c>
      <c r="E97" s="52" t="n">
        <f aca="false">IFERROR(Schedule!$R$93,0)</f>
        <v>13327067.1095947</v>
      </c>
      <c r="F97" s="52" t="n">
        <f aca="false">IFERROR(Schedule!$B$93,0)</f>
        <v>11056087.9726617</v>
      </c>
      <c r="G97" s="52" t="n">
        <f aca="false">IFERROR(Schedule!$Q$93,0)</f>
        <v>122269810.713393</v>
      </c>
      <c r="H97" s="52" t="n">
        <f aca="false">IFERROR(Schedule!$D$93,0)</f>
        <v>245033.935398558</v>
      </c>
      <c r="I97" s="52" t="n">
        <f aca="false">IFERROR(Schedule!$P$93,0)</f>
        <v>416758.45950276</v>
      </c>
    </row>
    <row r="98" customFormat="false" ht="15" hidden="false" customHeight="true" outlineLevel="0" collapsed="false">
      <c r="A98" s="56" t="n">
        <v>91</v>
      </c>
      <c r="B98" s="50" t="n">
        <f aca="false">IFERROR(Schedule!$H$94,0)</f>
        <v>-218582711.096758</v>
      </c>
      <c r="C98" s="50" t="n">
        <f aca="false">IFERROR(Schedule!$S$94,0)</f>
        <v>112261686.234895</v>
      </c>
      <c r="D98" s="50" t="n">
        <f aca="false">IFERROR(Schedule!$G$94,0)</f>
        <v>7398036.35563773</v>
      </c>
      <c r="E98" s="50" t="n">
        <f aca="false">IFERROR(Schedule!$R$94,0)</f>
        <v>13756321.1228826</v>
      </c>
      <c r="F98" s="50" t="n">
        <f aca="false">IFERROR(Schedule!$B$94,0)</f>
        <v>11443051.0517049</v>
      </c>
      <c r="G98" s="50" t="n">
        <f aca="false">IFERROR(Schedule!$Q$94,0)</f>
        <v>132051395.570464</v>
      </c>
      <c r="H98" s="50" t="n">
        <f aca="false">IFERROR(Schedule!$D$94,0)</f>
        <v>253547.123137507</v>
      </c>
      <c r="I98" s="50" t="n">
        <f aca="false">IFERROR(Schedule!$P$94,0)</f>
        <v>429254.013287843</v>
      </c>
    </row>
    <row r="99" customFormat="false" ht="15" hidden="false" customHeight="true" outlineLevel="0" collapsed="false">
      <c r="A99" s="55" t="n">
        <v>92</v>
      </c>
      <c r="B99" s="52" t="n">
        <f aca="false">IFERROR(Schedule!$H$95,0)</f>
        <v>-234785182.51674</v>
      </c>
      <c r="C99" s="52" t="n">
        <f aca="false">IFERROR(Schedule!$S$95,0)</f>
        <v>121241181.133686</v>
      </c>
      <c r="D99" s="52" t="n">
        <f aca="false">IFERROR(Schedule!$G$95,0)</f>
        <v>7660394.62808505</v>
      </c>
      <c r="E99" s="52" t="n">
        <f aca="false">IFERROR(Schedule!$R$95,0)</f>
        <v>14198445.5565691</v>
      </c>
      <c r="F99" s="52" t="n">
        <f aca="false">IFERROR(Schedule!$B$95,0)</f>
        <v>11843557.8385146</v>
      </c>
      <c r="G99" s="52" t="n">
        <f aca="false">IFERROR(Schedule!$Q$95,0)</f>
        <v>142615507.216101</v>
      </c>
      <c r="H99" s="52" t="n">
        <f aca="false">IFERROR(Schedule!$D$95,0)</f>
        <v>262358.27244732</v>
      </c>
      <c r="I99" s="52" t="n">
        <f aca="false">IFERROR(Schedule!$P$95,0)</f>
        <v>442124.433686478</v>
      </c>
    </row>
    <row r="100" customFormat="false" ht="15" hidden="false" customHeight="true" outlineLevel="0" collapsed="false">
      <c r="A100" s="56" t="n">
        <v>93</v>
      </c>
      <c r="B100" s="50" t="n">
        <f aca="false">IFERROR(Schedule!$H$96,0)</f>
        <v>-252172970.74038</v>
      </c>
      <c r="C100" s="50" t="n">
        <f aca="false">IFERROR(Schedule!$S$96,0)</f>
        <v>130939035.624381</v>
      </c>
      <c r="D100" s="50" t="n">
        <f aca="false">IFERROR(Schedule!$G$96,0)</f>
        <v>7931872.44006803</v>
      </c>
      <c r="E100" s="50" t="n">
        <f aca="false">IFERROR(Schedule!$R$96,0)</f>
        <v>14653826.5232661</v>
      </c>
      <c r="F100" s="50" t="n">
        <f aca="false">IFERROR(Schedule!$B$96,0)</f>
        <v>12258082.3628626</v>
      </c>
      <c r="G100" s="50" t="n">
        <f aca="false">IFERROR(Schedule!$Q$96,0)</f>
        <v>154024747.79339</v>
      </c>
      <c r="H100" s="50" t="n">
        <f aca="false">IFERROR(Schedule!$D$96,0)</f>
        <v>271477.811982976</v>
      </c>
      <c r="I100" s="50" t="n">
        <f aca="false">IFERROR(Schedule!$P$96,0)</f>
        <v>455380.966697073</v>
      </c>
    </row>
    <row r="101" customFormat="false" ht="15" hidden="false" customHeight="true" outlineLevel="0" collapsed="false">
      <c r="A101" s="55" t="n">
        <v>94</v>
      </c>
      <c r="B101" s="52" t="n">
        <f aca="false">IFERROR(Schedule!$H$97,0)</f>
        <v>-270832253.774466</v>
      </c>
      <c r="C101" s="52" t="n">
        <f aca="false">IFERROR(Schedule!$S$97,0)</f>
        <v>141412718.474332</v>
      </c>
      <c r="D101" s="52" t="n">
        <f aca="false">IFERROR(Schedule!$G$97,0)</f>
        <v>8212788.97547041</v>
      </c>
      <c r="E101" s="52" t="n">
        <f aca="false">IFERROR(Schedule!$R$97,0)</f>
        <v>15122861.7189641</v>
      </c>
      <c r="F101" s="52" t="n">
        <f aca="false">IFERROR(Schedule!$B$97,0)</f>
        <v>12687115.2455627</v>
      </c>
      <c r="G101" s="52" t="n">
        <f aca="false">IFERROR(Schedule!$Q$97,0)</f>
        <v>166346727.616861</v>
      </c>
      <c r="H101" s="52" t="n">
        <f aca="false">IFERROR(Schedule!$D$97,0)</f>
        <v>280916.53540238</v>
      </c>
      <c r="I101" s="52" t="n">
        <f aca="false">IFERROR(Schedule!$P$97,0)</f>
        <v>469035.195697985</v>
      </c>
    </row>
    <row r="102" customFormat="false" ht="15" hidden="false" customHeight="true" outlineLevel="0" collapsed="false">
      <c r="A102" s="56" t="n">
        <v>95</v>
      </c>
      <c r="B102" s="50" t="n">
        <f aca="false">IFERROR(Schedule!$H$98,0)</f>
        <v>-290855456.638437</v>
      </c>
      <c r="C102" s="50" t="n">
        <f aca="false">IFERROR(Schedule!$S$98,0)</f>
        <v>152724295.952278</v>
      </c>
      <c r="D102" s="50" t="n">
        <f aca="false">IFERROR(Schedule!$G$98,0)</f>
        <v>8503474.58961188</v>
      </c>
      <c r="E102" s="50" t="n">
        <f aca="false">IFERROR(Schedule!$R$98,0)</f>
        <v>15605960.7705331</v>
      </c>
      <c r="F102" s="50" t="n">
        <f aca="false">IFERROR(Schedule!$B$98,0)</f>
        <v>13131164.2791574</v>
      </c>
      <c r="G102" s="50" t="n">
        <f aca="false">IFERROR(Schedule!$Q$98,0)</f>
        <v>179654465.82621</v>
      </c>
      <c r="H102" s="50" t="n">
        <f aca="false">IFERROR(Schedule!$D$98,0)</f>
        <v>290685.614141464</v>
      </c>
      <c r="I102" s="50" t="n">
        <f aca="false">IFERROR(Schedule!$P$98,0)</f>
        <v>483099.051568924</v>
      </c>
    </row>
    <row r="103" customFormat="false" ht="15" hidden="false" customHeight="true" outlineLevel="0" collapsed="false">
      <c r="A103" s="55" t="n">
        <v>96</v>
      </c>
      <c r="B103" s="52" t="n">
        <f aca="false">IFERROR(Schedule!$H$99,0)</f>
        <v>-312341703.563351</v>
      </c>
      <c r="C103" s="52" t="n">
        <f aca="false">IFERROR(Schedule!$S$99,0)</f>
        <v>164940799.62846</v>
      </c>
      <c r="D103" s="52" t="n">
        <f aca="false">IFERROR(Schedule!$G$99,0)</f>
        <v>8804271.20024829</v>
      </c>
      <c r="E103" s="52" t="n">
        <f aca="false">IFERROR(Schedule!$R$99,0)</f>
        <v>16103545.593649</v>
      </c>
      <c r="F103" s="52" t="n">
        <f aca="false">IFERROR(Schedule!$B$99,0)</f>
        <v>13590755.028928</v>
      </c>
      <c r="G103" s="52" t="n">
        <f aca="false">IFERROR(Schedule!$Q$99,0)</f>
        <v>194026823.092306</v>
      </c>
      <c r="H103" s="52" t="n">
        <f aca="false">IFERROR(Schedule!$D$99,0)</f>
        <v>300796.610636415</v>
      </c>
      <c r="I103" s="52" t="n">
        <f aca="false">IFERROR(Schedule!$P$99,0)</f>
        <v>497584.823115992</v>
      </c>
    </row>
    <row r="104" customFormat="false" ht="15" hidden="false" customHeight="true" outlineLevel="0" collapsed="false">
      <c r="A104" s="56" t="n">
        <v>97</v>
      </c>
      <c r="B104" s="50" t="n">
        <f aca="false">IFERROR(Schedule!$H$100,0)</f>
        <v>-335397302.901411</v>
      </c>
      <c r="C104" s="50" t="n">
        <f aca="false">IFERROR(Schedule!$S$100,0)</f>
        <v>178134623.598737</v>
      </c>
      <c r="D104" s="50" t="n">
        <f aca="false">IFERROR(Schedule!$G$100,0)</f>
        <v>9115532.69225698</v>
      </c>
      <c r="E104" s="50" t="n">
        <f aca="false">IFERROR(Schedule!$R$100,0)</f>
        <v>16616050.7614585</v>
      </c>
      <c r="F104" s="50" t="n">
        <f aca="false">IFERROR(Schedule!$B$100,0)</f>
        <v>14066431.4549404</v>
      </c>
      <c r="G104" s="50" t="n">
        <f aca="false">IFERROR(Schedule!$Q$100,0)</f>
        <v>209548968.939691</v>
      </c>
      <c r="H104" s="50" t="n">
        <f aca="false">IFERROR(Schedule!$D$100,0)</f>
        <v>311261.492008689</v>
      </c>
      <c r="I104" s="50" t="n">
        <f aca="false">IFERROR(Schedule!$P$100,0)</f>
        <v>512505.167809472</v>
      </c>
    </row>
    <row r="105" customFormat="false" ht="15" hidden="false" customHeight="true" outlineLevel="0" collapsed="false">
      <c r="A105" s="55" t="n">
        <v>98</v>
      </c>
      <c r="B105" s="52" t="n">
        <f aca="false">IFERROR(Schedule!$H$101,0)</f>
        <v>-360136267.111452</v>
      </c>
      <c r="C105" s="52" t="n">
        <f aca="false">IFERROR(Schedule!$S$101,0)</f>
        <v>192383953.486636</v>
      </c>
      <c r="D105" s="52" t="n">
        <f aca="false">IFERROR(Schedule!$G$101,0)</f>
        <v>9437625.33648597</v>
      </c>
      <c r="E105" s="52" t="n">
        <f aca="false">IFERROR(Schedule!$R$101,0)</f>
        <v>17143923.8843023</v>
      </c>
      <c r="F105" s="52" t="n">
        <f aca="false">IFERROR(Schedule!$B$101,0)</f>
        <v>14558756.5558633</v>
      </c>
      <c r="G105" s="52" t="n">
        <f aca="false">IFERROR(Schedule!$Q$101,0)</f>
        <v>226312886.454866</v>
      </c>
      <c r="H105" s="52" t="n">
        <f aca="false">IFERROR(Schedule!$D$101,0)</f>
        <v>322092.644228994</v>
      </c>
      <c r="I105" s="52" t="n">
        <f aca="false">IFERROR(Schedule!$P$101,0)</f>
        <v>527873.122843756</v>
      </c>
    </row>
    <row r="106" customFormat="false" ht="15" hidden="false" customHeight="true" outlineLevel="0" collapsed="false">
      <c r="A106" s="56" t="n">
        <v>99</v>
      </c>
      <c r="B106" s="50" t="n">
        <f aca="false">IFERROR(Schedule!$H$102,0)</f>
        <v>-386680870.356788</v>
      </c>
      <c r="C106" s="50" t="n">
        <f aca="false">IFERROR(Schedule!$S$102,0)</f>
        <v>207773229.765567</v>
      </c>
      <c r="D106" s="50" t="n">
        <f aca="false">IFERROR(Schedule!$G$102,0)</f>
        <v>9770928.22326298</v>
      </c>
      <c r="E106" s="50" t="n">
        <f aca="false">IFERROR(Schedule!$R$102,0)</f>
        <v>17687626.0008313</v>
      </c>
      <c r="F106" s="50" t="n">
        <f aca="false">IFERROR(Schedule!$B$102,0)</f>
        <v>15068313.0353186</v>
      </c>
      <c r="G106" s="50" t="n">
        <f aca="false">IFERROR(Schedule!$Q$102,0)</f>
        <v>244417917.371255</v>
      </c>
      <c r="H106" s="50" t="n">
        <f aca="false">IFERROR(Schedule!$D$102,0)</f>
        <v>333302.886777008</v>
      </c>
      <c r="I106" s="50" t="n">
        <f aca="false">IFERROR(Schedule!$P$102,0)</f>
        <v>543702.116529069</v>
      </c>
    </row>
    <row r="107" customFormat="false" ht="15" hidden="false" customHeight="true" outlineLevel="0" collapsed="false">
      <c r="A107" s="55" t="n">
        <v>100</v>
      </c>
      <c r="B107" s="52" t="n">
        <f aca="false">IFERROR(Schedule!$H$103,0)</f>
        <v>-415162246.435207</v>
      </c>
      <c r="C107" s="52" t="n">
        <f aca="false">IFERROR(Schedule!$S$103,0)</f>
        <v>224393648.146813</v>
      </c>
      <c r="D107" s="52" t="n">
        <f aca="false">IFERROR(Schedule!$G$103,0)</f>
        <v>10115833.7110772</v>
      </c>
      <c r="E107" s="52" t="n">
        <f aca="false">IFERROR(Schedule!$R$103,0)</f>
        <v>18247631.9808563</v>
      </c>
      <c r="F107" s="52" t="n">
        <f aca="false">IFERROR(Schedule!$B$103,0)</f>
        <v>15595703.9915547</v>
      </c>
      <c r="G107" s="52" t="n">
        <f aca="false">IFERROR(Schedule!$Q$103,0)</f>
        <v>263971350.760956</v>
      </c>
      <c r="H107" s="52" t="n">
        <f aca="false">IFERROR(Schedule!$D$103,0)</f>
        <v>344905.487814204</v>
      </c>
      <c r="I107" s="52" t="n">
        <f aca="false">IFERROR(Schedule!$P$103,0)</f>
        <v>560005.980024941</v>
      </c>
    </row>
  </sheetData>
  <sheetProtection sheet="true" password="ed9b"/>
  <mergeCells count="3">
    <mergeCell ref="A1:F1"/>
    <mergeCell ref="A2:F2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22"/>
    <col collapsed="false" customWidth="true" hidden="false" outlineLevel="0" max="10" min="8" style="1" width="16"/>
  </cols>
  <sheetData>
    <row r="1" customFormat="false" ht="30" hidden="false" customHeight="true" outlineLevel="0" collapsed="false">
      <c r="A1" s="53" t="s">
        <v>99</v>
      </c>
      <c r="B1" s="53"/>
      <c r="C1" s="53"/>
      <c r="D1" s="53"/>
      <c r="E1" s="53"/>
      <c r="F1" s="53"/>
      <c r="G1" s="53"/>
      <c r="H1" s="53"/>
      <c r="I1" s="53"/>
      <c r="J1" s="53"/>
    </row>
    <row r="2" customFormat="false" ht="21.75" hidden="false" customHeight="true" outlineLevel="0" collapsed="false">
      <c r="A2" s="18" t="s">
        <v>100</v>
      </c>
      <c r="B2" s="57" t="n">
        <f aca="false">Dashboard!$I6</f>
        <v>30</v>
      </c>
      <c r="D2" s="58" t="s">
        <v>101</v>
      </c>
      <c r="E2" s="58"/>
      <c r="F2" s="58"/>
      <c r="G2" s="58"/>
      <c r="H2" s="58"/>
      <c r="I2" s="58"/>
      <c r="J2" s="58"/>
    </row>
    <row r="4" customFormat="false" ht="21.75" hidden="false" customHeight="true" outlineLevel="0" collapsed="false">
      <c r="A4" s="8" t="s">
        <v>102</v>
      </c>
      <c r="B4" s="8"/>
      <c r="D4" s="9" t="s">
        <v>103</v>
      </c>
      <c r="E4" s="9"/>
      <c r="G4" s="59" t="s">
        <v>104</v>
      </c>
      <c r="H4" s="60" t="s">
        <v>105</v>
      </c>
      <c r="I4" s="61" t="s">
        <v>106</v>
      </c>
    </row>
    <row r="5" customFormat="false" ht="19.5" hidden="false" customHeight="true" outlineLevel="0" collapsed="false">
      <c r="A5" s="12" t="s">
        <v>107</v>
      </c>
      <c r="B5" s="33" t="n">
        <f aca="false">IFERROR(INDEX(Schedule!$I:$I,B2+3),0)</f>
        <v>0</v>
      </c>
      <c r="D5" s="12" t="s">
        <v>108</v>
      </c>
      <c r="E5" s="40" t="n">
        <f aca="false">IFERROR(INDEX(Schedule!$T:$T,B2+3),0)</f>
        <v>70696.9651802814</v>
      </c>
      <c r="G5" s="62" t="s">
        <v>109</v>
      </c>
      <c r="H5" s="63" t="n">
        <f aca="false">IFERROR(INDEX(Schedule!$I:$I,B2+3),0)</f>
        <v>0</v>
      </c>
      <c r="I5" s="64" t="n">
        <f aca="false">IFERROR(INDEX(Schedule!$T:$T,B2+3),0)</f>
        <v>70696.9651802814</v>
      </c>
    </row>
    <row r="6" customFormat="false" ht="19.5" hidden="false" customHeight="true" outlineLevel="0" collapsed="false">
      <c r="A6" s="65" t="s">
        <v>110</v>
      </c>
      <c r="B6" s="33" t="n">
        <f aca="false">IFERROR(INDEX(Schedule!$J:$J,B2+3),0)</f>
        <v>16840.7622282158</v>
      </c>
      <c r="D6" s="65" t="s">
        <v>111</v>
      </c>
      <c r="E6" s="40" t="n">
        <f aca="false">IFERROR(INDEX(Schedule!$U:$U,B2+3),0)</f>
        <v>240</v>
      </c>
      <c r="G6" s="66" t="s">
        <v>110</v>
      </c>
      <c r="H6" s="63" t="n">
        <f aca="false">IFERROR(INDEX(Schedule!$J:$J,B2+3),0)</f>
        <v>16840.7622282158</v>
      </c>
      <c r="I6" s="64" t="n">
        <v>0</v>
      </c>
    </row>
    <row r="7" customFormat="false" ht="19.5" hidden="false" customHeight="true" outlineLevel="0" collapsed="false">
      <c r="A7" s="12" t="s">
        <v>112</v>
      </c>
      <c r="B7" s="33" t="n">
        <f aca="false">IFERROR(INDEX(Schedule!$K:$K,B2+3),0)</f>
        <v>1800</v>
      </c>
      <c r="D7" s="12" t="s">
        <v>113</v>
      </c>
      <c r="E7" s="40" t="n">
        <f aca="false">Dashboard!$F28*12</f>
        <v>0</v>
      </c>
      <c r="G7" s="62" t="s">
        <v>114</v>
      </c>
      <c r="H7" s="63" t="n">
        <f aca="false">IFERROR(INDEX(Schedule!$K:$K,B2+3),0)</f>
        <v>1800</v>
      </c>
      <c r="I7" s="64" t="n">
        <f aca="false">IFERROR(INDEX(Schedule!$U:$U,B2+3),0)</f>
        <v>240</v>
      </c>
    </row>
    <row r="8" customFormat="false" ht="19.5" hidden="false" customHeight="true" outlineLevel="0" collapsed="false">
      <c r="A8" s="65" t="s">
        <v>115</v>
      </c>
      <c r="B8" s="33" t="n">
        <f aca="false">IFERROR(INDEX(Schedule!$L:$L,B2+3),0)</f>
        <v>14033.9685235131</v>
      </c>
      <c r="D8" s="65" t="s">
        <v>116</v>
      </c>
      <c r="E8" s="67" t="s">
        <v>116</v>
      </c>
      <c r="G8" s="66" t="s">
        <v>117</v>
      </c>
      <c r="H8" s="63" t="n">
        <f aca="false">IFERROR(INDEX(Schedule!$L:$L,B2+3),0)</f>
        <v>14033.9685235131</v>
      </c>
      <c r="I8" s="64" t="n">
        <v>0</v>
      </c>
    </row>
    <row r="9" customFormat="false" ht="19.5" hidden="false" customHeight="true" outlineLevel="0" collapsed="false">
      <c r="A9" s="12" t="s">
        <v>118</v>
      </c>
      <c r="B9" s="33" t="n">
        <f aca="false">IFERROR(INDEX(Schedule!$M:$M,B2+3),0)</f>
        <v>0</v>
      </c>
      <c r="D9" s="12" t="s">
        <v>116</v>
      </c>
      <c r="E9" s="67" t="s">
        <v>116</v>
      </c>
      <c r="G9" s="62" t="s">
        <v>119</v>
      </c>
      <c r="H9" s="63" t="n">
        <f aca="false">IFERROR(INDEX(Schedule!$M:$M,B2+3)+Dashboard!$C15*12,0)</f>
        <v>0</v>
      </c>
      <c r="I9" s="64" t="n">
        <v>0</v>
      </c>
    </row>
    <row r="10" customFormat="false" ht="19.5" hidden="false" customHeight="true" outlineLevel="0" collapsed="false">
      <c r="A10" s="65" t="s">
        <v>120</v>
      </c>
      <c r="B10" s="33" t="n">
        <f aca="false">Dashboard!$C15*12</f>
        <v>0</v>
      </c>
      <c r="D10" s="65" t="s">
        <v>116</v>
      </c>
      <c r="E10" s="67" t="s">
        <v>116</v>
      </c>
    </row>
    <row r="11" customFormat="false" ht="24" hidden="false" customHeight="true" outlineLevel="0" collapsed="false">
      <c r="A11" s="68" t="s">
        <v>121</v>
      </c>
      <c r="B11" s="69" t="n">
        <f aca="false">SUM(B5:B10)</f>
        <v>32674.7307517289</v>
      </c>
      <c r="D11" s="70" t="s">
        <v>122</v>
      </c>
      <c r="E11" s="71" t="n">
        <f aca="false">E5+E6</f>
        <v>70936.9651802814</v>
      </c>
    </row>
  </sheetData>
  <sheetProtection sheet="true" password="ed9b"/>
  <mergeCells count="4">
    <mergeCell ref="A1:J1"/>
    <mergeCell ref="D2:J2"/>
    <mergeCell ref="A4:B4"/>
    <mergeCell ref="D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2"/>
    <col collapsed="false" customWidth="true" hidden="false" outlineLevel="0" max="6" min="6" style="1" width="18"/>
    <col collapsed="false" customWidth="true" hidden="false" outlineLevel="0" max="7" min="7" style="1" width="2"/>
  </cols>
  <sheetData>
    <row r="1" customFormat="false" ht="43.5" hidden="false" customHeight="true" outlineLevel="0" collapsed="false">
      <c r="A1" s="72" t="s">
        <v>123</v>
      </c>
      <c r="B1" s="72"/>
      <c r="C1" s="72"/>
      <c r="D1" s="72"/>
      <c r="E1" s="72"/>
      <c r="F1" s="72"/>
      <c r="G1" s="72"/>
    </row>
    <row r="2" customFormat="false" ht="18" hidden="false" customHeight="true" outlineLevel="0" collapsed="false">
      <c r="A2" s="73" t="s">
        <v>124</v>
      </c>
      <c r="B2" s="73"/>
      <c r="C2" s="73"/>
      <c r="D2" s="73"/>
      <c r="E2" s="73"/>
      <c r="F2" s="73"/>
      <c r="G2" s="73"/>
    </row>
    <row r="4" customFormat="false" ht="21.75" hidden="false" customHeight="true" outlineLevel="0" collapsed="false">
      <c r="B4" s="11" t="s">
        <v>125</v>
      </c>
      <c r="C4" s="11"/>
    </row>
    <row r="5" customFormat="false" ht="15" hidden="false" customHeight="true" outlineLevel="0" collapsed="false">
      <c r="B5" s="12" t="s">
        <v>13</v>
      </c>
      <c r="C5" s="13" t="n">
        <v>75000</v>
      </c>
    </row>
    <row r="6" customFormat="false" ht="15" hidden="false" customHeight="true" outlineLevel="0" collapsed="false">
      <c r="B6" s="12" t="s">
        <v>16</v>
      </c>
      <c r="C6" s="13" t="n">
        <v>48000</v>
      </c>
    </row>
    <row r="7" customFormat="false" ht="15" hidden="false" customHeight="true" outlineLevel="0" collapsed="false">
      <c r="B7" s="12" t="s">
        <v>126</v>
      </c>
      <c r="C7" s="13" t="n">
        <v>25000</v>
      </c>
    </row>
    <row r="8" customFormat="false" ht="15" hidden="false" customHeight="true" outlineLevel="0" collapsed="false">
      <c r="B8" s="12" t="s">
        <v>20</v>
      </c>
      <c r="C8" s="21" t="n">
        <v>0.3</v>
      </c>
    </row>
    <row r="9" customFormat="false" ht="15" hidden="false" customHeight="true" outlineLevel="0" collapsed="false">
      <c r="B9" s="12" t="s">
        <v>127</v>
      </c>
      <c r="C9" s="29" t="n">
        <v>30</v>
      </c>
    </row>
    <row r="10" customFormat="false" ht="21.75" hidden="false" customHeight="true" outlineLevel="0" collapsed="false">
      <c r="B10" s="11" t="s">
        <v>25</v>
      </c>
      <c r="C10" s="11"/>
    </row>
    <row r="11" customFormat="false" ht="15" hidden="false" customHeight="true" outlineLevel="0" collapsed="false">
      <c r="B11" s="12" t="s">
        <v>128</v>
      </c>
      <c r="C11" s="17" t="n">
        <v>0.07</v>
      </c>
    </row>
    <row r="12" customFormat="false" ht="15" hidden="false" customHeight="true" outlineLevel="0" collapsed="false">
      <c r="B12" s="12" t="s">
        <v>36</v>
      </c>
      <c r="C12" s="17" t="n">
        <v>0.03</v>
      </c>
    </row>
    <row r="13" customFormat="false" ht="15" hidden="false" customHeight="true" outlineLevel="0" collapsed="false">
      <c r="B13" s="12" t="s">
        <v>129</v>
      </c>
      <c r="C13" s="17" t="n">
        <v>0.04</v>
      </c>
    </row>
    <row r="14" customFormat="false" ht="15" hidden="false" customHeight="true" outlineLevel="0" collapsed="false">
      <c r="B14" s="12" t="s">
        <v>130</v>
      </c>
      <c r="C14" s="13" t="n">
        <v>0</v>
      </c>
    </row>
    <row r="15" customFormat="false" ht="21.75" hidden="false" customHeight="true" outlineLevel="0" collapsed="false">
      <c r="B15" s="11" t="s">
        <v>131</v>
      </c>
      <c r="C15" s="11"/>
    </row>
    <row r="16" customFormat="false" ht="15" hidden="false" customHeight="true" outlineLevel="0" collapsed="false">
      <c r="B16" s="12" t="s">
        <v>132</v>
      </c>
      <c r="C16" s="13" t="n">
        <v>2800</v>
      </c>
    </row>
    <row r="17" customFormat="false" ht="15" hidden="false" customHeight="true" outlineLevel="0" collapsed="false">
      <c r="B17" s="12" t="s">
        <v>133</v>
      </c>
      <c r="C17" s="13" t="n">
        <v>2000</v>
      </c>
    </row>
    <row r="19" customFormat="false" ht="21.75" hidden="false" customHeight="true" outlineLevel="0" collapsed="false">
      <c r="B19" s="11" t="s">
        <v>134</v>
      </c>
      <c r="C19" s="11"/>
    </row>
    <row r="20" customFormat="false" ht="15" hidden="false" customHeight="true" outlineLevel="0" collapsed="false">
      <c r="B20" s="74" t="s">
        <v>135</v>
      </c>
      <c r="C20" s="75" t="n">
        <f aca="false">C6/C13</f>
        <v>1200000</v>
      </c>
    </row>
    <row r="21" customFormat="false" ht="15" hidden="false" customHeight="true" outlineLevel="0" collapsed="false">
      <c r="B21" s="18" t="s">
        <v>136</v>
      </c>
      <c r="C21" s="19" t="n">
        <f aca="false">C5*C8</f>
        <v>22500</v>
      </c>
    </row>
    <row r="22" customFormat="false" ht="15" hidden="false" customHeight="true" outlineLevel="0" collapsed="false">
      <c r="B22" s="18" t="s">
        <v>137</v>
      </c>
      <c r="C22" s="19" t="n">
        <f aca="false">C5*C8/12</f>
        <v>1875</v>
      </c>
    </row>
    <row r="23" customFormat="false" ht="15" hidden="false" customHeight="true" outlineLevel="0" collapsed="false">
      <c r="B23" s="18" t="s">
        <v>20</v>
      </c>
      <c r="C23" s="76" t="n">
        <f aca="false">C8</f>
        <v>0.3</v>
      </c>
    </row>
    <row r="24" customFormat="false" ht="15" hidden="false" customHeight="true" outlineLevel="0" collapsed="false">
      <c r="B24" s="32" t="s">
        <v>138</v>
      </c>
      <c r="C24" s="77" t="n">
        <f aca="false">IFERROR(LOG((C6/C13*C11+C5*C8)/(C5*C8),1+C11),99)</f>
        <v>22.977545531977</v>
      </c>
    </row>
    <row r="25" customFormat="false" ht="15" hidden="false" customHeight="true" outlineLevel="0" collapsed="false">
      <c r="B25" s="32" t="s">
        <v>139</v>
      </c>
      <c r="C25" s="78" t="n">
        <f aca="false">C9+C24</f>
        <v>52.977545531977</v>
      </c>
    </row>
    <row r="26" customFormat="false" ht="15" hidden="false" customHeight="true" outlineLevel="0" collapsed="false">
      <c r="B26" s="39" t="s">
        <v>140</v>
      </c>
      <c r="C26" s="79" t="n">
        <f aca="false">IFERROR(LOG((C6/C13*C11+C5*C8-(C16-C17)*12)/(C5*C8-(C16-C17)*12),1+C11),99)</f>
        <v>29.803317876051</v>
      </c>
    </row>
    <row r="27" customFormat="false" ht="15" hidden="false" customHeight="true" outlineLevel="0" collapsed="false">
      <c r="B27" s="32" t="s">
        <v>141</v>
      </c>
      <c r="C27" s="77" t="n">
        <f aca="false">IFERROR(LOG((C6/C13*C11+C5*C8+(C16-C17)*12)/(C5*C8+(C16-C17)*12),1+C11),99)</f>
        <v>19.0012051314537</v>
      </c>
    </row>
    <row r="29" customFormat="false" ht="21.75" hidden="false" customHeight="true" outlineLevel="0" collapsed="false">
      <c r="B29" s="10" t="s">
        <v>142</v>
      </c>
      <c r="C29" s="10"/>
      <c r="D29" s="10"/>
      <c r="E29" s="10"/>
    </row>
    <row r="30" customFormat="false" ht="19.5" hidden="false" customHeight="true" outlineLevel="0" collapsed="false">
      <c r="B30" s="60" t="s">
        <v>94</v>
      </c>
      <c r="C30" s="60" t="s">
        <v>83</v>
      </c>
      <c r="D30" s="60" t="s">
        <v>136</v>
      </c>
      <c r="E30" s="60" t="s">
        <v>143</v>
      </c>
    </row>
    <row r="31" customFormat="false" ht="15" hidden="false" customHeight="true" outlineLevel="0" collapsed="false">
      <c r="B31" s="80" t="n">
        <v>0</v>
      </c>
      <c r="C31" s="81" t="n">
        <f aca="false">C7</f>
        <v>25000</v>
      </c>
      <c r="D31" s="82" t="n">
        <f aca="false">C5*C8</f>
        <v>22500</v>
      </c>
      <c r="E31" s="82" t="n">
        <f aca="false">C6/C13</f>
        <v>1200000</v>
      </c>
    </row>
    <row r="32" customFormat="false" ht="15" hidden="false" customHeight="true" outlineLevel="0" collapsed="false">
      <c r="B32" s="83" t="n">
        <v>1</v>
      </c>
      <c r="C32" s="81" t="n">
        <f aca="false">C31*(1+C11)+D32</f>
        <v>49250</v>
      </c>
      <c r="D32" s="84" t="n">
        <f aca="false">C5*C8</f>
        <v>22500</v>
      </c>
      <c r="E32" s="84" t="n">
        <f aca="false">C6/C13</f>
        <v>1200000</v>
      </c>
    </row>
    <row r="33" customFormat="false" ht="15" hidden="false" customHeight="true" outlineLevel="0" collapsed="false">
      <c r="B33" s="80" t="n">
        <v>2</v>
      </c>
      <c r="C33" s="81" t="n">
        <f aca="false">C32*(1+C11)+D33</f>
        <v>75197.5</v>
      </c>
      <c r="D33" s="82" t="n">
        <f aca="false">C5*C8</f>
        <v>22500</v>
      </c>
      <c r="E33" s="82" t="n">
        <f aca="false">C6/C13</f>
        <v>1200000</v>
      </c>
    </row>
    <row r="34" customFormat="false" ht="15" hidden="false" customHeight="true" outlineLevel="0" collapsed="false">
      <c r="B34" s="83" t="n">
        <v>3</v>
      </c>
      <c r="C34" s="81" t="n">
        <f aca="false">C33*(1+C11)+D34</f>
        <v>102961.325</v>
      </c>
      <c r="D34" s="84" t="n">
        <f aca="false">C5*C8</f>
        <v>22500</v>
      </c>
      <c r="E34" s="84" t="n">
        <f aca="false">C6/C13</f>
        <v>1200000</v>
      </c>
    </row>
    <row r="35" customFormat="false" ht="15" hidden="false" customHeight="true" outlineLevel="0" collapsed="false">
      <c r="B35" s="80" t="n">
        <v>4</v>
      </c>
      <c r="C35" s="81" t="n">
        <f aca="false">C34*(1+C11)+D35</f>
        <v>132668.61775</v>
      </c>
      <c r="D35" s="82" t="n">
        <f aca="false">C5*C8</f>
        <v>22500</v>
      </c>
      <c r="E35" s="82" t="n">
        <f aca="false">C6/C13</f>
        <v>1200000</v>
      </c>
    </row>
    <row r="36" customFormat="false" ht="15" hidden="false" customHeight="true" outlineLevel="0" collapsed="false">
      <c r="B36" s="83" t="n">
        <v>5</v>
      </c>
      <c r="C36" s="81" t="n">
        <f aca="false">C35*(1+C11)+D36</f>
        <v>164455.4209925</v>
      </c>
      <c r="D36" s="84" t="n">
        <f aca="false">C5*C8</f>
        <v>22500</v>
      </c>
      <c r="E36" s="84" t="n">
        <f aca="false">C6/C13</f>
        <v>1200000</v>
      </c>
    </row>
    <row r="37" customFormat="false" ht="15" hidden="false" customHeight="true" outlineLevel="0" collapsed="false">
      <c r="B37" s="80" t="n">
        <v>6</v>
      </c>
      <c r="C37" s="81" t="n">
        <f aca="false">C36*(1+C11)+D37</f>
        <v>198467.300461975</v>
      </c>
      <c r="D37" s="82" t="n">
        <f aca="false">C5*C8</f>
        <v>22500</v>
      </c>
      <c r="E37" s="82" t="n">
        <f aca="false">C6/C13</f>
        <v>1200000</v>
      </c>
    </row>
    <row r="38" customFormat="false" ht="15" hidden="false" customHeight="true" outlineLevel="0" collapsed="false">
      <c r="B38" s="83" t="n">
        <v>7</v>
      </c>
      <c r="C38" s="81" t="n">
        <f aca="false">C37*(1+C11)+D38</f>
        <v>234860.011494313</v>
      </c>
      <c r="D38" s="84" t="n">
        <f aca="false">C5*C8</f>
        <v>22500</v>
      </c>
      <c r="E38" s="84" t="n">
        <f aca="false">C6/C13</f>
        <v>1200000</v>
      </c>
    </row>
    <row r="39" customFormat="false" ht="15" hidden="false" customHeight="true" outlineLevel="0" collapsed="false">
      <c r="B39" s="80" t="n">
        <v>8</v>
      </c>
      <c r="C39" s="81" t="n">
        <f aca="false">C38*(1+C11)+D39</f>
        <v>273800.212298915</v>
      </c>
      <c r="D39" s="82" t="n">
        <f aca="false">C5*C8</f>
        <v>22500</v>
      </c>
      <c r="E39" s="82" t="n">
        <f aca="false">C6/C13</f>
        <v>1200000</v>
      </c>
    </row>
    <row r="40" customFormat="false" ht="15" hidden="false" customHeight="true" outlineLevel="0" collapsed="false">
      <c r="B40" s="83" t="n">
        <v>9</v>
      </c>
      <c r="C40" s="81" t="n">
        <f aca="false">C39*(1+C11)+D40</f>
        <v>315466.227159839</v>
      </c>
      <c r="D40" s="84" t="n">
        <f aca="false">C5*C8</f>
        <v>22500</v>
      </c>
      <c r="E40" s="84" t="n">
        <f aca="false">C6/C13</f>
        <v>1200000</v>
      </c>
    </row>
    <row r="41" customFormat="false" ht="15" hidden="false" customHeight="true" outlineLevel="0" collapsed="false">
      <c r="B41" s="80" t="n">
        <v>10</v>
      </c>
      <c r="C41" s="81" t="n">
        <f aca="false">C40*(1+C11)+D41</f>
        <v>360048.863061028</v>
      </c>
      <c r="D41" s="82" t="n">
        <f aca="false">C5*C8</f>
        <v>22500</v>
      </c>
      <c r="E41" s="82" t="n">
        <f aca="false">C6/C13</f>
        <v>1200000</v>
      </c>
    </row>
    <row r="42" customFormat="false" ht="15" hidden="false" customHeight="true" outlineLevel="0" collapsed="false">
      <c r="B42" s="83" t="n">
        <v>11</v>
      </c>
      <c r="C42" s="81" t="n">
        <f aca="false">C41*(1+C11)+D42</f>
        <v>407752.2834753</v>
      </c>
      <c r="D42" s="84" t="n">
        <f aca="false">C5*C8</f>
        <v>22500</v>
      </c>
      <c r="E42" s="84" t="n">
        <f aca="false">C6/C13</f>
        <v>1200000</v>
      </c>
    </row>
    <row r="43" customFormat="false" ht="15" hidden="false" customHeight="true" outlineLevel="0" collapsed="false">
      <c r="B43" s="80" t="n">
        <v>12</v>
      </c>
      <c r="C43" s="81" t="n">
        <f aca="false">C42*(1+C11)+D43</f>
        <v>458794.943318571</v>
      </c>
      <c r="D43" s="82" t="n">
        <f aca="false">C5*C8</f>
        <v>22500</v>
      </c>
      <c r="E43" s="82" t="n">
        <f aca="false">C6/C13</f>
        <v>1200000</v>
      </c>
    </row>
    <row r="44" customFormat="false" ht="15" hidden="false" customHeight="true" outlineLevel="0" collapsed="false">
      <c r="B44" s="83" t="n">
        <v>13</v>
      </c>
      <c r="C44" s="81" t="n">
        <f aca="false">C43*(1+C11)+D44</f>
        <v>513410.589350871</v>
      </c>
      <c r="D44" s="84" t="n">
        <f aca="false">C5*C8</f>
        <v>22500</v>
      </c>
      <c r="E44" s="84" t="n">
        <f aca="false">C6/C13</f>
        <v>1200000</v>
      </c>
    </row>
    <row r="45" customFormat="false" ht="15" hidden="false" customHeight="true" outlineLevel="0" collapsed="false">
      <c r="B45" s="80" t="n">
        <v>14</v>
      </c>
      <c r="C45" s="81" t="n">
        <f aca="false">C44*(1+C11)+D45</f>
        <v>571849.330605432</v>
      </c>
      <c r="D45" s="82" t="n">
        <f aca="false">C5*C8</f>
        <v>22500</v>
      </c>
      <c r="E45" s="82" t="n">
        <f aca="false">C6/C13</f>
        <v>1200000</v>
      </c>
    </row>
    <row r="46" customFormat="false" ht="15" hidden="false" customHeight="true" outlineLevel="0" collapsed="false">
      <c r="B46" s="83" t="n">
        <v>15</v>
      </c>
      <c r="C46" s="81" t="n">
        <f aca="false">C45*(1+C11)+D46</f>
        <v>634378.783747813</v>
      </c>
      <c r="D46" s="84" t="n">
        <f aca="false">C5*C8</f>
        <v>22500</v>
      </c>
      <c r="E46" s="84" t="n">
        <f aca="false">C6/C13</f>
        <v>1200000</v>
      </c>
    </row>
    <row r="47" customFormat="false" ht="15" hidden="false" customHeight="true" outlineLevel="0" collapsed="false">
      <c r="B47" s="80" t="n">
        <v>16</v>
      </c>
      <c r="C47" s="81" t="n">
        <f aca="false">C46*(1+C11)+D47</f>
        <v>701285.298610159</v>
      </c>
      <c r="D47" s="82" t="n">
        <f aca="false">C5*C8</f>
        <v>22500</v>
      </c>
      <c r="E47" s="82" t="n">
        <f aca="false">C6/C13</f>
        <v>1200000</v>
      </c>
    </row>
    <row r="48" customFormat="false" ht="15" hidden="false" customHeight="true" outlineLevel="0" collapsed="false">
      <c r="B48" s="83" t="n">
        <v>17</v>
      </c>
      <c r="C48" s="81" t="n">
        <f aca="false">C47*(1+C11)+D48</f>
        <v>772875.269512871</v>
      </c>
      <c r="D48" s="84" t="n">
        <f aca="false">C5*C8</f>
        <v>22500</v>
      </c>
      <c r="E48" s="84" t="n">
        <f aca="false">C6/C13</f>
        <v>1200000</v>
      </c>
    </row>
    <row r="49" customFormat="false" ht="15" hidden="false" customHeight="true" outlineLevel="0" collapsed="false">
      <c r="B49" s="80" t="n">
        <v>18</v>
      </c>
      <c r="C49" s="81" t="n">
        <f aca="false">C48*(1+C11)+D49</f>
        <v>849476.538378772</v>
      </c>
      <c r="D49" s="82" t="n">
        <f aca="false">C5*C8</f>
        <v>22500</v>
      </c>
      <c r="E49" s="82" t="n">
        <f aca="false">C6/C13</f>
        <v>1200000</v>
      </c>
    </row>
    <row r="50" customFormat="false" ht="15" hidden="false" customHeight="true" outlineLevel="0" collapsed="false">
      <c r="B50" s="83" t="n">
        <v>19</v>
      </c>
      <c r="C50" s="81" t="n">
        <f aca="false">C49*(1+C11)+D50</f>
        <v>931439.896065286</v>
      </c>
      <c r="D50" s="84" t="n">
        <f aca="false">C5*C8</f>
        <v>22500</v>
      </c>
      <c r="E50" s="84" t="n">
        <f aca="false">C6/C13</f>
        <v>1200000</v>
      </c>
    </row>
    <row r="51" customFormat="false" ht="15" hidden="false" customHeight="true" outlineLevel="0" collapsed="false">
      <c r="B51" s="80" t="n">
        <v>20</v>
      </c>
      <c r="C51" s="81" t="n">
        <f aca="false">C50*(1+C11)+D51</f>
        <v>1019140.68878986</v>
      </c>
      <c r="D51" s="82" t="n">
        <f aca="false">C5*C8</f>
        <v>22500</v>
      </c>
      <c r="E51" s="82" t="n">
        <f aca="false">C6/C13</f>
        <v>1200000</v>
      </c>
    </row>
    <row r="52" customFormat="false" ht="15" hidden="false" customHeight="true" outlineLevel="0" collapsed="false">
      <c r="B52" s="83" t="n">
        <v>21</v>
      </c>
      <c r="C52" s="81" t="n">
        <f aca="false">C51*(1+C11)+D52</f>
        <v>1112980.53700515</v>
      </c>
      <c r="D52" s="84" t="n">
        <f aca="false">C5*C8</f>
        <v>22500</v>
      </c>
      <c r="E52" s="84" t="n">
        <f aca="false">C6/C13</f>
        <v>1200000</v>
      </c>
    </row>
    <row r="53" customFormat="false" ht="15" hidden="false" customHeight="true" outlineLevel="0" collapsed="false">
      <c r="B53" s="80" t="n">
        <v>22</v>
      </c>
      <c r="C53" s="81" t="n">
        <f aca="false">C52*(1+C11)+D53</f>
        <v>1213389.17459551</v>
      </c>
      <c r="D53" s="82" t="n">
        <f aca="false">C5*C8</f>
        <v>22500</v>
      </c>
      <c r="E53" s="82" t="n">
        <f aca="false">C6/C13</f>
        <v>1200000</v>
      </c>
    </row>
    <row r="54" customFormat="false" ht="15" hidden="false" customHeight="true" outlineLevel="0" collapsed="false">
      <c r="B54" s="83" t="n">
        <v>23</v>
      </c>
      <c r="C54" s="81" t="n">
        <f aca="false">C53*(1+C11)+D54</f>
        <v>1320826.41681719</v>
      </c>
      <c r="D54" s="84" t="n">
        <f aca="false">C5*C8</f>
        <v>22500</v>
      </c>
      <c r="E54" s="84" t="n">
        <f aca="false">C6/C13</f>
        <v>1200000</v>
      </c>
    </row>
    <row r="55" customFormat="false" ht="15" hidden="false" customHeight="true" outlineLevel="0" collapsed="false">
      <c r="B55" s="80" t="n">
        <v>24</v>
      </c>
      <c r="C55" s="81" t="n">
        <f aca="false">C54*(1+C11)+D55</f>
        <v>1435784.2659944</v>
      </c>
      <c r="D55" s="82" t="n">
        <f aca="false">C5*C8</f>
        <v>22500</v>
      </c>
      <c r="E55" s="82" t="n">
        <f aca="false">C6/C13</f>
        <v>1200000</v>
      </c>
    </row>
    <row r="56" customFormat="false" ht="15" hidden="false" customHeight="true" outlineLevel="0" collapsed="false">
      <c r="B56" s="83" t="n">
        <v>25</v>
      </c>
      <c r="C56" s="81" t="n">
        <f aca="false">C55*(1+C11)+D56</f>
        <v>1558789.164614</v>
      </c>
      <c r="D56" s="84" t="n">
        <f aca="false">C5*C8</f>
        <v>22500</v>
      </c>
      <c r="E56" s="84" t="n">
        <f aca="false">C6/C13</f>
        <v>1200000</v>
      </c>
    </row>
    <row r="57" customFormat="false" ht="15" hidden="false" customHeight="true" outlineLevel="0" collapsed="false">
      <c r="B57" s="80" t="n">
        <v>26</v>
      </c>
      <c r="C57" s="81" t="n">
        <f aca="false">C56*(1+C11)+D57</f>
        <v>1690404.40613698</v>
      </c>
      <c r="D57" s="82" t="n">
        <f aca="false">C5*C8</f>
        <v>22500</v>
      </c>
      <c r="E57" s="82" t="n">
        <f aca="false">C6/C13</f>
        <v>1200000</v>
      </c>
    </row>
    <row r="58" customFormat="false" ht="15" hidden="false" customHeight="true" outlineLevel="0" collapsed="false">
      <c r="B58" s="83" t="n">
        <v>27</v>
      </c>
      <c r="C58" s="81" t="n">
        <f aca="false">C57*(1+C11)+D58</f>
        <v>1831232.71456657</v>
      </c>
      <c r="D58" s="84" t="n">
        <f aca="false">C5*C8</f>
        <v>22500</v>
      </c>
      <c r="E58" s="84" t="n">
        <f aca="false">C6/C13</f>
        <v>1200000</v>
      </c>
    </row>
    <row r="59" customFormat="false" ht="15" hidden="false" customHeight="true" outlineLevel="0" collapsed="false">
      <c r="B59" s="80" t="n">
        <v>28</v>
      </c>
      <c r="C59" s="81" t="n">
        <f aca="false">C58*(1+C11)+D59</f>
        <v>1981919.00458623</v>
      </c>
      <c r="D59" s="82" t="n">
        <f aca="false">C5*C8</f>
        <v>22500</v>
      </c>
      <c r="E59" s="82" t="n">
        <f aca="false">C6/C13</f>
        <v>1200000</v>
      </c>
    </row>
    <row r="60" customFormat="false" ht="15" hidden="false" customHeight="true" outlineLevel="0" collapsed="false">
      <c r="B60" s="83" t="n">
        <v>29</v>
      </c>
      <c r="C60" s="81" t="n">
        <f aca="false">C59*(1+C11)+D60</f>
        <v>2143153.33490727</v>
      </c>
      <c r="D60" s="84" t="n">
        <f aca="false">C5*C8</f>
        <v>22500</v>
      </c>
      <c r="E60" s="84" t="n">
        <f aca="false">C6/C13</f>
        <v>1200000</v>
      </c>
    </row>
    <row r="61" customFormat="false" ht="15" hidden="false" customHeight="true" outlineLevel="0" collapsed="false">
      <c r="B61" s="80" t="n">
        <v>30</v>
      </c>
      <c r="C61" s="81" t="n">
        <f aca="false">C60*(1+C11)+D61</f>
        <v>2315674.06835078</v>
      </c>
      <c r="D61" s="82" t="n">
        <f aca="false">C5*C8</f>
        <v>22500</v>
      </c>
      <c r="E61" s="82" t="n">
        <f aca="false">C6/C13</f>
        <v>1200000</v>
      </c>
    </row>
    <row r="62" customFormat="false" ht="15" hidden="false" customHeight="true" outlineLevel="0" collapsed="false">
      <c r="B62" s="83" t="n">
        <v>31</v>
      </c>
      <c r="C62" s="81" t="n">
        <f aca="false">C61*(1+C11)+D62</f>
        <v>2500271.25313533</v>
      </c>
      <c r="D62" s="84" t="n">
        <f aca="false">C5*C8</f>
        <v>22500</v>
      </c>
      <c r="E62" s="84" t="n">
        <f aca="false">C6/C13</f>
        <v>1200000</v>
      </c>
    </row>
    <row r="63" customFormat="false" ht="15" hidden="false" customHeight="true" outlineLevel="0" collapsed="false">
      <c r="B63" s="80" t="n">
        <v>32</v>
      </c>
      <c r="C63" s="81" t="n">
        <f aca="false">C62*(1+C11)+D63</f>
        <v>2697790.24085481</v>
      </c>
      <c r="D63" s="82" t="n">
        <f aca="false">C5*C8</f>
        <v>22500</v>
      </c>
      <c r="E63" s="82" t="n">
        <f aca="false">C6/C13</f>
        <v>1200000</v>
      </c>
    </row>
    <row r="64" customFormat="false" ht="15" hidden="false" customHeight="true" outlineLevel="0" collapsed="false">
      <c r="B64" s="83" t="n">
        <v>33</v>
      </c>
      <c r="C64" s="81" t="n">
        <f aca="false">C63*(1+C11)+D64</f>
        <v>2909135.55771464</v>
      </c>
      <c r="D64" s="84" t="n">
        <f aca="false">C5*C8</f>
        <v>22500</v>
      </c>
      <c r="E64" s="84" t="n">
        <f aca="false">C6/C13</f>
        <v>1200000</v>
      </c>
    </row>
    <row r="65" customFormat="false" ht="15" hidden="false" customHeight="true" outlineLevel="0" collapsed="false">
      <c r="B65" s="80" t="n">
        <v>34</v>
      </c>
      <c r="C65" s="81" t="n">
        <f aca="false">C64*(1+C11)+D65</f>
        <v>3135275.04675467</v>
      </c>
      <c r="D65" s="82" t="n">
        <f aca="false">C5*C8</f>
        <v>22500</v>
      </c>
      <c r="E65" s="82" t="n">
        <f aca="false">C6/C13</f>
        <v>1200000</v>
      </c>
    </row>
    <row r="66" customFormat="false" ht="15" hidden="false" customHeight="true" outlineLevel="0" collapsed="false">
      <c r="B66" s="83" t="n">
        <v>35</v>
      </c>
      <c r="C66" s="81" t="n">
        <f aca="false">C65*(1+C11)+D66</f>
        <v>3377244.30002749</v>
      </c>
      <c r="D66" s="84" t="n">
        <f aca="false">C5*C8</f>
        <v>22500</v>
      </c>
      <c r="E66" s="84" t="n">
        <f aca="false">C6/C13</f>
        <v>1200000</v>
      </c>
    </row>
    <row r="67" customFormat="false" ht="15" hidden="false" customHeight="true" outlineLevel="0" collapsed="false">
      <c r="B67" s="80" t="n">
        <v>36</v>
      </c>
      <c r="C67" s="81" t="n">
        <f aca="false">C66*(1+C11)+D67</f>
        <v>3636151.40102942</v>
      </c>
      <c r="D67" s="82" t="n">
        <f aca="false">C5*C8</f>
        <v>22500</v>
      </c>
      <c r="E67" s="82" t="n">
        <f aca="false">C6/C13</f>
        <v>1200000</v>
      </c>
    </row>
    <row r="68" customFormat="false" ht="15" hidden="false" customHeight="true" outlineLevel="0" collapsed="false">
      <c r="B68" s="83" t="n">
        <v>37</v>
      </c>
      <c r="C68" s="81" t="n">
        <f aca="false">C67*(1+C11)+D68</f>
        <v>3913181.99910148</v>
      </c>
      <c r="D68" s="84" t="n">
        <f aca="false">C5*C8</f>
        <v>22500</v>
      </c>
      <c r="E68" s="84" t="n">
        <f aca="false">C6/C13</f>
        <v>1200000</v>
      </c>
    </row>
    <row r="69" customFormat="false" ht="15" hidden="false" customHeight="true" outlineLevel="0" collapsed="false">
      <c r="B69" s="80" t="n">
        <v>38</v>
      </c>
      <c r="C69" s="81" t="n">
        <f aca="false">C68*(1+C11)+D69</f>
        <v>4209604.73903858</v>
      </c>
      <c r="D69" s="82" t="n">
        <f aca="false">C5*C8</f>
        <v>22500</v>
      </c>
      <c r="E69" s="82" t="n">
        <f aca="false">C6/C13</f>
        <v>1200000</v>
      </c>
    </row>
    <row r="70" customFormat="false" ht="15" hidden="false" customHeight="true" outlineLevel="0" collapsed="false">
      <c r="B70" s="83" t="n">
        <v>39</v>
      </c>
      <c r="C70" s="81" t="n">
        <f aca="false">C69*(1+C11)+D70</f>
        <v>4526777.07077128</v>
      </c>
      <c r="D70" s="84" t="n">
        <f aca="false">C5*C8</f>
        <v>22500</v>
      </c>
      <c r="E70" s="84" t="n">
        <f aca="false">C6/C13</f>
        <v>1200000</v>
      </c>
    </row>
    <row r="71" customFormat="false" ht="15" hidden="false" customHeight="true" outlineLevel="0" collapsed="false">
      <c r="B71" s="80" t="n">
        <v>40</v>
      </c>
      <c r="C71" s="81" t="n">
        <f aca="false">C70*(1+C11)+D71</f>
        <v>4866151.46572527</v>
      </c>
      <c r="D71" s="82" t="n">
        <f aca="false">C5*C8</f>
        <v>22500</v>
      </c>
      <c r="E71" s="82" t="n">
        <f aca="false">C6/C13</f>
        <v>1200000</v>
      </c>
    </row>
    <row r="72" customFormat="false" ht="15" hidden="false" customHeight="true" outlineLevel="0" collapsed="false">
      <c r="B72" s="83" t="n">
        <v>41</v>
      </c>
      <c r="C72" s="81" t="n">
        <f aca="false">C71*(1+C11)+D72</f>
        <v>5229282.06832604</v>
      </c>
      <c r="D72" s="84" t="n">
        <f aca="false">C5*C8</f>
        <v>22500</v>
      </c>
      <c r="E72" s="84" t="n">
        <f aca="false">C6/C13</f>
        <v>1200000</v>
      </c>
    </row>
    <row r="73" customFormat="false" ht="15" hidden="false" customHeight="true" outlineLevel="0" collapsed="false">
      <c r="B73" s="80" t="n">
        <v>42</v>
      </c>
      <c r="C73" s="81" t="n">
        <f aca="false">C72*(1+C11)+D73</f>
        <v>5617831.81310887</v>
      </c>
      <c r="D73" s="82" t="n">
        <f aca="false">C5*C8</f>
        <v>22500</v>
      </c>
      <c r="E73" s="82" t="n">
        <f aca="false">C6/C13</f>
        <v>1200000</v>
      </c>
    </row>
    <row r="74" customFormat="false" ht="15" hidden="false" customHeight="true" outlineLevel="0" collapsed="false">
      <c r="B74" s="83" t="n">
        <v>43</v>
      </c>
      <c r="C74" s="81" t="n">
        <f aca="false">C73*(1+C11)+D74</f>
        <v>6033580.04002649</v>
      </c>
      <c r="D74" s="84" t="n">
        <f aca="false">C5*C8</f>
        <v>22500</v>
      </c>
      <c r="E74" s="84" t="n">
        <f aca="false">C6/C13</f>
        <v>1200000</v>
      </c>
    </row>
    <row r="75" customFormat="false" ht="15" hidden="false" customHeight="true" outlineLevel="0" collapsed="false">
      <c r="B75" s="80" t="n">
        <v>44</v>
      </c>
      <c r="C75" s="81" t="n">
        <f aca="false">C74*(1+C11)+D75</f>
        <v>6478430.64282834</v>
      </c>
      <c r="D75" s="82" t="n">
        <f aca="false">C5*C8</f>
        <v>22500</v>
      </c>
      <c r="E75" s="82" t="n">
        <f aca="false">C6/C13</f>
        <v>1200000</v>
      </c>
    </row>
    <row r="76" customFormat="false" ht="15" hidden="false" customHeight="true" outlineLevel="0" collapsed="false">
      <c r="B76" s="83" t="n">
        <v>45</v>
      </c>
      <c r="C76" s="81" t="n">
        <f aca="false">C75*(1+C11)+D76</f>
        <v>6954420.78782633</v>
      </c>
      <c r="D76" s="84" t="n">
        <f aca="false">C5*C8</f>
        <v>22500</v>
      </c>
      <c r="E76" s="84" t="n">
        <f aca="false">C6/C13</f>
        <v>1200000</v>
      </c>
    </row>
    <row r="77" customFormat="false" ht="15" hidden="false" customHeight="true" outlineLevel="0" collapsed="false">
      <c r="B77" s="80" t="n">
        <v>46</v>
      </c>
      <c r="C77" s="81" t="n">
        <f aca="false">C76*(1+C11)+D77</f>
        <v>7463730.24297417</v>
      </c>
      <c r="D77" s="82" t="n">
        <f aca="false">C5*C8</f>
        <v>22500</v>
      </c>
      <c r="E77" s="82" t="n">
        <f aca="false">C6/C13</f>
        <v>1200000</v>
      </c>
    </row>
    <row r="78" customFormat="false" ht="15" hidden="false" customHeight="true" outlineLevel="0" collapsed="false">
      <c r="B78" s="83" t="n">
        <v>47</v>
      </c>
      <c r="C78" s="81" t="n">
        <f aca="false">C77*(1+C11)+D78</f>
        <v>8008691.35998236</v>
      </c>
      <c r="D78" s="84" t="n">
        <f aca="false">C5*C8</f>
        <v>22500</v>
      </c>
      <c r="E78" s="84" t="n">
        <f aca="false">C6/C13</f>
        <v>1200000</v>
      </c>
    </row>
    <row r="79" customFormat="false" ht="15" hidden="false" customHeight="true" outlineLevel="0" collapsed="false">
      <c r="B79" s="80" t="n">
        <v>48</v>
      </c>
      <c r="C79" s="81" t="n">
        <f aca="false">C78*(1+C11)+D79</f>
        <v>8591799.75518113</v>
      </c>
      <c r="D79" s="82" t="n">
        <f aca="false">C5*C8</f>
        <v>22500</v>
      </c>
      <c r="E79" s="82" t="n">
        <f aca="false">C6/C13</f>
        <v>1200000</v>
      </c>
    </row>
    <row r="80" customFormat="false" ht="15" hidden="false" customHeight="true" outlineLevel="0" collapsed="false">
      <c r="B80" s="83" t="n">
        <v>49</v>
      </c>
      <c r="C80" s="81" t="n">
        <f aca="false">C79*(1+C11)+D80</f>
        <v>9215725.73804381</v>
      </c>
      <c r="D80" s="84" t="n">
        <f aca="false">C5*C8</f>
        <v>22500</v>
      </c>
      <c r="E80" s="84" t="n">
        <f aca="false">C6/C13</f>
        <v>1200000</v>
      </c>
    </row>
    <row r="81" customFormat="false" ht="15" hidden="false" customHeight="true" outlineLevel="0" collapsed="false">
      <c r="B81" s="80" t="n">
        <v>50</v>
      </c>
      <c r="C81" s="81" t="n">
        <f aca="false">C80*(1+C11)+D81</f>
        <v>9883326.53970687</v>
      </c>
      <c r="D81" s="82" t="n">
        <f aca="false">C5*C8</f>
        <v>22500</v>
      </c>
      <c r="E81" s="82" t="n">
        <f aca="false">C6/C13</f>
        <v>1200000</v>
      </c>
    </row>
  </sheetData>
  <sheetProtection sheet="true" password="ed9b"/>
  <mergeCells count="7">
    <mergeCell ref="A1:G1"/>
    <mergeCell ref="A2:G2"/>
    <mergeCell ref="B4:C4"/>
    <mergeCell ref="B10:C10"/>
    <mergeCell ref="B15:C15"/>
    <mergeCell ref="B19:C19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5" min="3" style="1" width="14"/>
    <col collapsed="false" customWidth="true" hidden="false" outlineLevel="0" max="8" min="6" style="1" width="16"/>
  </cols>
  <sheetData>
    <row r="1" customFormat="false" ht="24" hidden="false" customHeight="true" outlineLevel="0" collapsed="false">
      <c r="A1" s="60" t="s">
        <v>68</v>
      </c>
      <c r="B1" s="60" t="s">
        <v>144</v>
      </c>
      <c r="C1" s="60" t="s">
        <v>145</v>
      </c>
      <c r="D1" s="60" t="s">
        <v>146</v>
      </c>
      <c r="E1" s="60" t="s">
        <v>147</v>
      </c>
      <c r="F1" s="60" t="s">
        <v>148</v>
      </c>
      <c r="G1" s="60" t="s">
        <v>72</v>
      </c>
      <c r="H1" s="60" t="s">
        <v>73</v>
      </c>
    </row>
    <row r="2" customFormat="false" ht="15.75" hidden="false" customHeight="true" outlineLevel="0" collapsed="false">
      <c r="A2" s="44" t="s">
        <v>149</v>
      </c>
      <c r="B2" s="44"/>
      <c r="C2" s="44"/>
      <c r="D2" s="44"/>
      <c r="E2" s="44"/>
      <c r="F2" s="44"/>
      <c r="G2" s="44"/>
      <c r="H2" s="44"/>
    </row>
    <row r="3" customFormat="false" ht="15" hidden="false" customHeight="true" outlineLevel="0" collapsed="false">
      <c r="A3" s="85" t="n">
        <f aca="false">INT((1-1)/12)+1</f>
        <v>1</v>
      </c>
      <c r="B3" s="85" t="n">
        <f aca="false">MOD(1-1,12)+1</f>
        <v>1</v>
      </c>
      <c r="C3" s="86" t="n">
        <f aca="false">Dashboard!$C26</f>
        <v>0</v>
      </c>
      <c r="D3" s="87" t="n">
        <f aca="false">Dashboard!$C26-(Dashboard!$C6-Dashboard!$C8)*(Dashboard!$C10/12)</f>
        <v>-2333.33333333333</v>
      </c>
      <c r="E3" s="88" t="n">
        <f aca="false">(Dashboard!$C6-Dashboard!$C8)*(Dashboard!$C10/12)</f>
        <v>2333.33333333333</v>
      </c>
      <c r="F3" s="86" t="n">
        <f aca="false">MAX((Dashboard!$C6-Dashboard!$C8)-(Dashboard!$C26-(Dashboard!$C6-Dashboard!$C8)*(Dashboard!$C10/12)),0)</f>
        <v>402333.333333333</v>
      </c>
      <c r="G3" s="89" t="n">
        <f aca="false">(Dashboard!$C6-Dashboard!$C8)*(Dashboard!$C10/12)</f>
        <v>2333.33333333333</v>
      </c>
      <c r="H3" s="90" t="n">
        <f aca="false">Dashboard!$C26-(Dashboard!$C6-Dashboard!$C8)*(Dashboard!$C10/12)</f>
        <v>-2333.33333333333</v>
      </c>
    </row>
    <row r="4" customFormat="false" ht="15" hidden="false" customHeight="true" outlineLevel="0" collapsed="false">
      <c r="A4" s="85" t="n">
        <f aca="false">INT((2-1)/12)+1</f>
        <v>1</v>
      </c>
      <c r="B4" s="85" t="n">
        <f aca="false">MOD(2-1,12)+1</f>
        <v>2</v>
      </c>
      <c r="C4" s="86" t="n">
        <f aca="false">Dashboard!$C26</f>
        <v>0</v>
      </c>
      <c r="D4" s="87" t="n">
        <f aca="false">Dashboard!$C26-F$3*(Dashboard!$C10/12)</f>
        <v>-2346.94444444444</v>
      </c>
      <c r="E4" s="88" t="n">
        <f aca="false">F$3*(Dashboard!$C10/12)</f>
        <v>2346.94444444444</v>
      </c>
      <c r="F4" s="86" t="n">
        <f aca="false">MAX(F$3-(Dashboard!$C26-F$3*(Dashboard!$C10/12)),0)</f>
        <v>404680.277777778</v>
      </c>
      <c r="G4" s="89" t="n">
        <f aca="false">G$3+F$3*(Dashboard!$C10/12)</f>
        <v>4680.27777777778</v>
      </c>
      <c r="H4" s="90" t="n">
        <f aca="false">H$3+Dashboard!$C26-F$3*(Dashboard!$C10/12)</f>
        <v>-4680.27777777778</v>
      </c>
    </row>
    <row r="5" customFormat="false" ht="15" hidden="false" customHeight="true" outlineLevel="0" collapsed="false">
      <c r="A5" s="85" t="n">
        <f aca="false">INT((3-1)/12)+1</f>
        <v>1</v>
      </c>
      <c r="B5" s="85" t="n">
        <f aca="false">MOD(3-1,12)+1</f>
        <v>3</v>
      </c>
      <c r="C5" s="86" t="n">
        <f aca="false">Dashboard!$C26</f>
        <v>0</v>
      </c>
      <c r="D5" s="87" t="n">
        <f aca="false">Dashboard!$C26-F$4*(Dashboard!$C10/12)</f>
        <v>-2360.6349537037</v>
      </c>
      <c r="E5" s="88" t="n">
        <f aca="false">F$4*(Dashboard!$C10/12)</f>
        <v>2360.6349537037</v>
      </c>
      <c r="F5" s="86" t="n">
        <f aca="false">MAX(F$4-(Dashboard!$C26-F$4*(Dashboard!$C10/12)),0)</f>
        <v>407040.912731482</v>
      </c>
      <c r="G5" s="89" t="n">
        <f aca="false">G$4+F$4*(Dashboard!$C10/12)</f>
        <v>7040.91273148148</v>
      </c>
      <c r="H5" s="90" t="n">
        <f aca="false">H$4+Dashboard!$C26-F$4*(Dashboard!$C10/12)</f>
        <v>-7040.91273148148</v>
      </c>
    </row>
    <row r="6" customFormat="false" ht="15" hidden="false" customHeight="true" outlineLevel="0" collapsed="false">
      <c r="A6" s="85" t="n">
        <f aca="false">INT((4-1)/12)+1</f>
        <v>1</v>
      </c>
      <c r="B6" s="85" t="n">
        <f aca="false">MOD(4-1,12)+1</f>
        <v>4</v>
      </c>
      <c r="C6" s="86" t="n">
        <f aca="false">Dashboard!$C26</f>
        <v>0</v>
      </c>
      <c r="D6" s="87" t="n">
        <f aca="false">Dashboard!$C26-F$5*(Dashboard!$C10/12)</f>
        <v>-2374.40532426698</v>
      </c>
      <c r="E6" s="88" t="n">
        <f aca="false">F$5*(Dashboard!$C10/12)</f>
        <v>2374.40532426698</v>
      </c>
      <c r="F6" s="86" t="n">
        <f aca="false">MAX(F$5-(Dashboard!$C26-F$5*(Dashboard!$C10/12)),0)</f>
        <v>409415.318055749</v>
      </c>
      <c r="G6" s="89" t="n">
        <f aca="false">G$5+F$5*(Dashboard!$C10/12)</f>
        <v>9415.31805574846</v>
      </c>
      <c r="H6" s="90" t="n">
        <f aca="false">H$5+Dashboard!$C26-F$5*(Dashboard!$C10/12)</f>
        <v>-9415.31805574846</v>
      </c>
    </row>
    <row r="7" customFormat="false" ht="15" hidden="false" customHeight="true" outlineLevel="0" collapsed="false">
      <c r="A7" s="85" t="n">
        <f aca="false">INT((5-1)/12)+1</f>
        <v>1</v>
      </c>
      <c r="B7" s="85" t="n">
        <f aca="false">MOD(5-1,12)+1</f>
        <v>5</v>
      </c>
      <c r="C7" s="86" t="n">
        <f aca="false">Dashboard!$C26</f>
        <v>0</v>
      </c>
      <c r="D7" s="87" t="n">
        <f aca="false">Dashboard!$C26-F$6*(Dashboard!$C10/12)</f>
        <v>-2388.25602199187</v>
      </c>
      <c r="E7" s="88" t="n">
        <f aca="false">F$6*(Dashboard!$C10/12)</f>
        <v>2388.25602199187</v>
      </c>
      <c r="F7" s="86" t="n">
        <f aca="false">MAX(F$6-(Dashboard!$C26-F$6*(Dashboard!$C10/12)),0)</f>
        <v>411803.57407774</v>
      </c>
      <c r="G7" s="89" t="n">
        <f aca="false">G$6+F$6*(Dashboard!$C10/12)</f>
        <v>11803.5740777403</v>
      </c>
      <c r="H7" s="90" t="n">
        <f aca="false">H$6+Dashboard!$C26-F$6*(Dashboard!$C10/12)</f>
        <v>-11803.5740777403</v>
      </c>
    </row>
    <row r="8" customFormat="false" ht="15" hidden="false" customHeight="true" outlineLevel="0" collapsed="false">
      <c r="A8" s="85" t="n">
        <f aca="false">INT((6-1)/12)+1</f>
        <v>1</v>
      </c>
      <c r="B8" s="85" t="n">
        <f aca="false">MOD(6-1,12)+1</f>
        <v>6</v>
      </c>
      <c r="C8" s="86" t="n">
        <f aca="false">Dashboard!$C26</f>
        <v>0</v>
      </c>
      <c r="D8" s="87" t="n">
        <f aca="false">Dashboard!$C26-F$7*(Dashboard!$C10/12)</f>
        <v>-2402.18751545349</v>
      </c>
      <c r="E8" s="88" t="n">
        <f aca="false">F$7*(Dashboard!$C10/12)</f>
        <v>2402.18751545349</v>
      </c>
      <c r="F8" s="86" t="n">
        <f aca="false">MAX(F$7-(Dashboard!$C26-F$7*(Dashboard!$C10/12)),0)</f>
        <v>414205.761593194</v>
      </c>
      <c r="G8" s="89" t="n">
        <f aca="false">G$7+F$7*(Dashboard!$C10/12)</f>
        <v>14205.7615931938</v>
      </c>
      <c r="H8" s="90" t="n">
        <f aca="false">H$7+Dashboard!$C26-F$7*(Dashboard!$C10/12)</f>
        <v>-14205.7615931938</v>
      </c>
    </row>
    <row r="9" customFormat="false" ht="15" hidden="false" customHeight="true" outlineLevel="0" collapsed="false">
      <c r="A9" s="85" t="n">
        <f aca="false">INT((7-1)/12)+1</f>
        <v>1</v>
      </c>
      <c r="B9" s="85" t="n">
        <f aca="false">MOD(7-1,12)+1</f>
        <v>7</v>
      </c>
      <c r="C9" s="86" t="n">
        <f aca="false">Dashboard!$C26</f>
        <v>0</v>
      </c>
      <c r="D9" s="87" t="n">
        <f aca="false">Dashboard!$C26-F$8*(Dashboard!$C10/12)</f>
        <v>-2416.2002759603</v>
      </c>
      <c r="E9" s="88" t="n">
        <f aca="false">F$8*(Dashboard!$C10/12)</f>
        <v>2416.2002759603</v>
      </c>
      <c r="F9" s="86" t="n">
        <f aca="false">MAX(F$8-(Dashboard!$C26-F$8*(Dashboard!$C10/12)),0)</f>
        <v>416621.961869154</v>
      </c>
      <c r="G9" s="89" t="n">
        <f aca="false">G$8+F$8*(Dashboard!$C10/12)</f>
        <v>16621.9618691541</v>
      </c>
      <c r="H9" s="90" t="n">
        <f aca="false">H$8+Dashboard!$C26-F$8*(Dashboard!$C10/12)</f>
        <v>-16621.9618691541</v>
      </c>
    </row>
    <row r="10" customFormat="false" ht="15" hidden="false" customHeight="true" outlineLevel="0" collapsed="false">
      <c r="A10" s="85" t="n">
        <f aca="false">INT((8-1)/12)+1</f>
        <v>1</v>
      </c>
      <c r="B10" s="85" t="n">
        <f aca="false">MOD(8-1,12)+1</f>
        <v>8</v>
      </c>
      <c r="C10" s="86" t="n">
        <f aca="false">Dashboard!$C26</f>
        <v>0</v>
      </c>
      <c r="D10" s="87" t="n">
        <f aca="false">Dashboard!$C26-F$9*(Dashboard!$C10/12)</f>
        <v>-2430.29477757007</v>
      </c>
      <c r="E10" s="88" t="n">
        <f aca="false">F$9*(Dashboard!$C10/12)</f>
        <v>2430.29477757007</v>
      </c>
      <c r="F10" s="86" t="n">
        <f aca="false">MAX(F$9-(Dashboard!$C26-F$9*(Dashboard!$C10/12)),0)</f>
        <v>419052.256646724</v>
      </c>
      <c r="G10" s="89" t="n">
        <f aca="false">G$9+F$9*(Dashboard!$C10/12)</f>
        <v>19052.2566467242</v>
      </c>
      <c r="H10" s="90" t="n">
        <f aca="false">H$9+Dashboard!$C26-F$9*(Dashboard!$C10/12)</f>
        <v>-19052.2566467242</v>
      </c>
    </row>
    <row r="11" customFormat="false" ht="15" hidden="false" customHeight="true" outlineLevel="0" collapsed="false">
      <c r="A11" s="85" t="n">
        <f aca="false">INT((9-1)/12)+1</f>
        <v>1</v>
      </c>
      <c r="B11" s="85" t="n">
        <f aca="false">MOD(9-1,12)+1</f>
        <v>9</v>
      </c>
      <c r="C11" s="86" t="n">
        <f aca="false">Dashboard!$C26</f>
        <v>0</v>
      </c>
      <c r="D11" s="87" t="n">
        <f aca="false">Dashboard!$C26-F$10*(Dashboard!$C10/12)</f>
        <v>-2444.47149710589</v>
      </c>
      <c r="E11" s="88" t="n">
        <f aca="false">F$10*(Dashboard!$C10/12)</f>
        <v>2444.47149710589</v>
      </c>
      <c r="F11" s="86" t="n">
        <f aca="false">MAX(F$10-(Dashboard!$C26-F$10*(Dashboard!$C10/12)),0)</f>
        <v>421496.72814383</v>
      </c>
      <c r="G11" s="89" t="n">
        <f aca="false">G$10+F$10*(Dashboard!$C10/12)</f>
        <v>21496.7281438301</v>
      </c>
      <c r="H11" s="90" t="n">
        <f aca="false">H$10+Dashboard!$C26-F$10*(Dashboard!$C10/12)</f>
        <v>-21496.7281438301</v>
      </c>
    </row>
    <row r="12" customFormat="false" ht="15" hidden="false" customHeight="true" outlineLevel="0" collapsed="false">
      <c r="A12" s="85" t="n">
        <f aca="false">INT((10-1)/12)+1</f>
        <v>1</v>
      </c>
      <c r="B12" s="85" t="n">
        <f aca="false">MOD(10-1,12)+1</f>
        <v>10</v>
      </c>
      <c r="C12" s="86" t="n">
        <f aca="false">Dashboard!$C26</f>
        <v>0</v>
      </c>
      <c r="D12" s="87" t="n">
        <f aca="false">Dashboard!$C26-F$11*(Dashboard!$C10/12)</f>
        <v>-2458.73091417234</v>
      </c>
      <c r="E12" s="88" t="n">
        <f aca="false">F$11*(Dashboard!$C10/12)</f>
        <v>2458.73091417234</v>
      </c>
      <c r="F12" s="86" t="n">
        <f aca="false">MAX(F$11-(Dashboard!$C26-F$11*(Dashboard!$C10/12)),0)</f>
        <v>423955.459058002</v>
      </c>
      <c r="G12" s="89" t="n">
        <f aca="false">G$11+F$11*(Dashboard!$C10/12)</f>
        <v>23955.4590580024</v>
      </c>
      <c r="H12" s="90" t="n">
        <f aca="false">H$11+Dashboard!$C26-F$11*(Dashboard!$C10/12)</f>
        <v>-23955.4590580024</v>
      </c>
    </row>
    <row r="13" customFormat="false" ht="15" hidden="false" customHeight="true" outlineLevel="0" collapsed="false">
      <c r="A13" s="85" t="n">
        <f aca="false">INT((11-1)/12)+1</f>
        <v>1</v>
      </c>
      <c r="B13" s="85" t="n">
        <f aca="false">MOD(11-1,12)+1</f>
        <v>11</v>
      </c>
      <c r="C13" s="86" t="n">
        <f aca="false">Dashboard!$C26</f>
        <v>0</v>
      </c>
      <c r="D13" s="87" t="n">
        <f aca="false">Dashboard!$C26-F$12*(Dashboard!$C10/12)</f>
        <v>-2473.07351117168</v>
      </c>
      <c r="E13" s="88" t="n">
        <f aca="false">F$12*(Dashboard!$C10/12)</f>
        <v>2473.07351117168</v>
      </c>
      <c r="F13" s="86" t="n">
        <f aca="false">MAX(F$12-(Dashboard!$C26-F$12*(Dashboard!$C10/12)),0)</f>
        <v>426428.532569174</v>
      </c>
      <c r="G13" s="89" t="n">
        <f aca="false">G$12+F$12*(Dashboard!$C10/12)</f>
        <v>26428.5325691741</v>
      </c>
      <c r="H13" s="90" t="n">
        <f aca="false">H$12+Dashboard!$C26-F$12*(Dashboard!$C10/12)</f>
        <v>-26428.5325691741</v>
      </c>
    </row>
    <row r="14" customFormat="false" ht="15" hidden="false" customHeight="true" outlineLevel="0" collapsed="false">
      <c r="A14" s="91" t="n">
        <f aca="false">INT((12-1)/12)+1</f>
        <v>1</v>
      </c>
      <c r="B14" s="91" t="n">
        <f aca="false">MOD(12-1,12)+1</f>
        <v>12</v>
      </c>
      <c r="C14" s="92" t="n">
        <f aca="false">Dashboard!$C26</f>
        <v>0</v>
      </c>
      <c r="D14" s="93" t="n">
        <f aca="false">Dashboard!$C26-F$13*(Dashboard!$C10/12)</f>
        <v>-2487.49977332018</v>
      </c>
      <c r="E14" s="94" t="n">
        <f aca="false">F$13*(Dashboard!$C10/12)</f>
        <v>2487.49977332018</v>
      </c>
      <c r="F14" s="92" t="n">
        <f aca="false">MAX(F$13-(Dashboard!$C26-F$13*(Dashboard!$C10/12)),0)</f>
        <v>428916.032342494</v>
      </c>
      <c r="G14" s="95" t="n">
        <f aca="false">G$13+F$13*(Dashboard!$C10/12)</f>
        <v>28916.0323424943</v>
      </c>
      <c r="H14" s="96" t="n">
        <f aca="false">H$13+Dashboard!$C26-F$13*(Dashboard!$C10/12)</f>
        <v>-28916.0323424943</v>
      </c>
    </row>
    <row r="15" customFormat="false" ht="15" hidden="false" customHeight="true" outlineLevel="0" collapsed="false">
      <c r="A15" s="91" t="n">
        <f aca="false">INT((13-1)/12)+1</f>
        <v>2</v>
      </c>
      <c r="B15" s="91" t="n">
        <f aca="false">MOD(13-1,12)+1</f>
        <v>1</v>
      </c>
      <c r="C15" s="92" t="n">
        <f aca="false">Dashboard!$C26</f>
        <v>0</v>
      </c>
      <c r="D15" s="93" t="n">
        <f aca="false">Dashboard!$C26-F$14*(Dashboard!$C10/12)</f>
        <v>-2502.01018866455</v>
      </c>
      <c r="E15" s="94" t="n">
        <f aca="false">F$14*(Dashboard!$C10/12)</f>
        <v>2502.01018866455</v>
      </c>
      <c r="F15" s="92" t="n">
        <f aca="false">MAX(F$14-(Dashboard!$C26-F$14*(Dashboard!$C10/12)),0)</f>
        <v>431418.042531159</v>
      </c>
      <c r="G15" s="95" t="n">
        <f aca="false">G$14+F$14*(Dashboard!$C10/12)</f>
        <v>31418.0425311588</v>
      </c>
      <c r="H15" s="96" t="n">
        <f aca="false">H$14+Dashboard!$C26-F$14*(Dashboard!$C10/12)</f>
        <v>-31418.0425311588</v>
      </c>
    </row>
    <row r="16" customFormat="false" ht="15" hidden="false" customHeight="true" outlineLevel="0" collapsed="false">
      <c r="A16" s="91" t="n">
        <f aca="false">INT((14-1)/12)+1</f>
        <v>2</v>
      </c>
      <c r="B16" s="91" t="n">
        <f aca="false">MOD(14-1,12)+1</f>
        <v>2</v>
      </c>
      <c r="C16" s="92" t="n">
        <f aca="false">Dashboard!$C26</f>
        <v>0</v>
      </c>
      <c r="D16" s="93" t="n">
        <f aca="false">Dashboard!$C26-F$15*(Dashboard!$C10/12)</f>
        <v>-2516.60524809843</v>
      </c>
      <c r="E16" s="94" t="n">
        <f aca="false">F$15*(Dashboard!$C10/12)</f>
        <v>2516.60524809843</v>
      </c>
      <c r="F16" s="92" t="n">
        <f aca="false">MAX(F$15-(Dashboard!$C26-F$15*(Dashboard!$C10/12)),0)</f>
        <v>433934.647779257</v>
      </c>
      <c r="G16" s="95" t="n">
        <f aca="false">G$15+F$15*(Dashboard!$C10/12)</f>
        <v>33934.6477792573</v>
      </c>
      <c r="H16" s="96" t="n">
        <f aca="false">H$15+Dashboard!$C26-F$15*(Dashboard!$C10/12)</f>
        <v>-33934.6477792573</v>
      </c>
    </row>
    <row r="17" customFormat="false" ht="15" hidden="false" customHeight="true" outlineLevel="0" collapsed="false">
      <c r="A17" s="91" t="n">
        <f aca="false">INT((15-1)/12)+1</f>
        <v>2</v>
      </c>
      <c r="B17" s="91" t="n">
        <f aca="false">MOD(15-1,12)+1</f>
        <v>3</v>
      </c>
      <c r="C17" s="92" t="n">
        <f aca="false">Dashboard!$C26</f>
        <v>0</v>
      </c>
      <c r="D17" s="93" t="n">
        <f aca="false">Dashboard!$C26-F$16*(Dashboard!$C10/12)</f>
        <v>-2531.285445379</v>
      </c>
      <c r="E17" s="94" t="n">
        <f aca="false">F$16*(Dashboard!$C10/12)</f>
        <v>2531.285445379</v>
      </c>
      <c r="F17" s="92" t="n">
        <f aca="false">MAX(F$16-(Dashboard!$C26-F$16*(Dashboard!$C10/12)),0)</f>
        <v>436465.933224636</v>
      </c>
      <c r="G17" s="95" t="n">
        <f aca="false">G$16+F$16*(Dashboard!$C10/12)</f>
        <v>36465.9332246363</v>
      </c>
      <c r="H17" s="96" t="n">
        <f aca="false">H$16+Dashboard!$C26-F$16*(Dashboard!$C10/12)</f>
        <v>-36465.9332246363</v>
      </c>
    </row>
    <row r="18" customFormat="false" ht="15" hidden="false" customHeight="true" outlineLevel="0" collapsed="false">
      <c r="A18" s="91" t="n">
        <f aca="false">INT((16-1)/12)+1</f>
        <v>2</v>
      </c>
      <c r="B18" s="91" t="n">
        <f aca="false">MOD(16-1,12)+1</f>
        <v>4</v>
      </c>
      <c r="C18" s="92" t="n">
        <f aca="false">Dashboard!$C26</f>
        <v>0</v>
      </c>
      <c r="D18" s="93" t="n">
        <f aca="false">Dashboard!$C26-F$17*(Dashboard!$C10/12)</f>
        <v>-2546.05127714371</v>
      </c>
      <c r="E18" s="94" t="n">
        <f aca="false">F$17*(Dashboard!$C10/12)</f>
        <v>2546.05127714371</v>
      </c>
      <c r="F18" s="92" t="n">
        <f aca="false">MAX(F$17-(Dashboard!$C26-F$17*(Dashboard!$C10/12)),0)</f>
        <v>439011.98450178</v>
      </c>
      <c r="G18" s="95" t="n">
        <f aca="false">G$17+F$17*(Dashboard!$C10/12)</f>
        <v>39011.98450178</v>
      </c>
      <c r="H18" s="96" t="n">
        <f aca="false">H$17+Dashboard!$C26-F$17*(Dashboard!$C10/12)</f>
        <v>-39011.98450178</v>
      </c>
    </row>
    <row r="19" customFormat="false" ht="15" hidden="false" customHeight="true" outlineLevel="0" collapsed="false">
      <c r="A19" s="91" t="n">
        <f aca="false">INT((17-1)/12)+1</f>
        <v>2</v>
      </c>
      <c r="B19" s="91" t="n">
        <f aca="false">MOD(17-1,12)+1</f>
        <v>5</v>
      </c>
      <c r="C19" s="92" t="n">
        <f aca="false">Dashboard!$C26</f>
        <v>0</v>
      </c>
      <c r="D19" s="93" t="n">
        <f aca="false">Dashboard!$C26-F$18*(Dashboard!$C10/12)</f>
        <v>-2560.90324292705</v>
      </c>
      <c r="E19" s="94" t="n">
        <f aca="false">F$18*(Dashboard!$C10/12)</f>
        <v>2560.90324292705</v>
      </c>
      <c r="F19" s="92" t="n">
        <f aca="false">MAX(F$18-(Dashboard!$C26-F$18*(Dashboard!$C10/12)),0)</f>
        <v>441572.887744707</v>
      </c>
      <c r="G19" s="95" t="n">
        <f aca="false">G$18+F$18*(Dashboard!$C10/12)</f>
        <v>41572.887744707</v>
      </c>
      <c r="H19" s="96" t="n">
        <f aca="false">H$18+Dashboard!$C26-F$18*(Dashboard!$C10/12)</f>
        <v>-41572.887744707</v>
      </c>
    </row>
    <row r="20" customFormat="false" ht="15" hidden="false" customHeight="true" outlineLevel="0" collapsed="false">
      <c r="A20" s="91" t="n">
        <f aca="false">INT((18-1)/12)+1</f>
        <v>2</v>
      </c>
      <c r="B20" s="91" t="n">
        <f aca="false">MOD(18-1,12)+1</f>
        <v>6</v>
      </c>
      <c r="C20" s="92" t="n">
        <f aca="false">Dashboard!$C26</f>
        <v>0</v>
      </c>
      <c r="D20" s="93" t="n">
        <f aca="false">Dashboard!$C26-F$19*(Dashboard!$C10/12)</f>
        <v>-2575.84184517746</v>
      </c>
      <c r="E20" s="94" t="n">
        <f aca="false">F$19*(Dashboard!$C10/12)</f>
        <v>2575.84184517746</v>
      </c>
      <c r="F20" s="92" t="n">
        <f aca="false">MAX(F$19-(Dashboard!$C26-F$19*(Dashboard!$C10/12)),0)</f>
        <v>444148.729589884</v>
      </c>
      <c r="G20" s="95" t="n">
        <f aca="false">G$19+F$19*(Dashboard!$C10/12)</f>
        <v>44148.7295898845</v>
      </c>
      <c r="H20" s="96" t="n">
        <f aca="false">H$19+Dashboard!$C26-F$19*(Dashboard!$C10/12)</f>
        <v>-44148.7295898845</v>
      </c>
    </row>
    <row r="21" customFormat="false" ht="15" hidden="false" customHeight="true" outlineLevel="0" collapsed="false">
      <c r="A21" s="91" t="n">
        <f aca="false">INT((19-1)/12)+1</f>
        <v>2</v>
      </c>
      <c r="B21" s="91" t="n">
        <f aca="false">MOD(19-1,12)+1</f>
        <v>7</v>
      </c>
      <c r="C21" s="92" t="n">
        <f aca="false">Dashboard!$C26</f>
        <v>0</v>
      </c>
      <c r="D21" s="93" t="n">
        <f aca="false">Dashboard!$C26-F$20*(Dashboard!$C10/12)</f>
        <v>-2590.86758927433</v>
      </c>
      <c r="E21" s="94" t="n">
        <f aca="false">F$20*(Dashboard!$C10/12)</f>
        <v>2590.86758927433</v>
      </c>
      <c r="F21" s="92" t="n">
        <f aca="false">MAX(F$20-(Dashboard!$C26-F$20*(Dashboard!$C10/12)),0)</f>
        <v>446739.597179159</v>
      </c>
      <c r="G21" s="95" t="n">
        <f aca="false">G$20+F$20*(Dashboard!$C10/12)</f>
        <v>46739.5971791588</v>
      </c>
      <c r="H21" s="96" t="n">
        <f aca="false">H$20+Dashboard!$C26-F$20*(Dashboard!$C10/12)</f>
        <v>-46739.5971791588</v>
      </c>
    </row>
    <row r="22" customFormat="false" ht="15" hidden="false" customHeight="true" outlineLevel="0" collapsed="false">
      <c r="A22" s="91" t="n">
        <f aca="false">INT((20-1)/12)+1</f>
        <v>2</v>
      </c>
      <c r="B22" s="91" t="n">
        <f aca="false">MOD(20-1,12)+1</f>
        <v>8</v>
      </c>
      <c r="C22" s="92" t="n">
        <f aca="false">Dashboard!$C26</f>
        <v>0</v>
      </c>
      <c r="D22" s="93" t="n">
        <f aca="false">Dashboard!$C26-F$21*(Dashboard!$C10/12)</f>
        <v>-2605.98098354509</v>
      </c>
      <c r="E22" s="94" t="n">
        <f aca="false">F$21*(Dashboard!$C10/12)</f>
        <v>2605.98098354509</v>
      </c>
      <c r="F22" s="92" t="n">
        <f aca="false">MAX(F$21-(Dashboard!$C26-F$21*(Dashboard!$C10/12)),0)</f>
        <v>449345.578162704</v>
      </c>
      <c r="G22" s="95" t="n">
        <f aca="false">G$21+F$21*(Dashboard!$C10/12)</f>
        <v>49345.5781627039</v>
      </c>
      <c r="H22" s="96" t="n">
        <f aca="false">H$21+Dashboard!$C26-F$21*(Dashboard!$C10/12)</f>
        <v>-49345.5781627039</v>
      </c>
    </row>
    <row r="23" customFormat="false" ht="15" hidden="false" customHeight="true" outlineLevel="0" collapsed="false">
      <c r="A23" s="91" t="n">
        <f aca="false">INT((21-1)/12)+1</f>
        <v>2</v>
      </c>
      <c r="B23" s="91" t="n">
        <f aca="false">MOD(21-1,12)+1</f>
        <v>9</v>
      </c>
      <c r="C23" s="92" t="n">
        <f aca="false">Dashboard!$C26</f>
        <v>0</v>
      </c>
      <c r="D23" s="93" t="n">
        <f aca="false">Dashboard!$C26-F$22*(Dashboard!$C10/12)</f>
        <v>-2621.18253928244</v>
      </c>
      <c r="E23" s="94" t="n">
        <f aca="false">F$22*(Dashboard!$C10/12)</f>
        <v>2621.18253928244</v>
      </c>
      <c r="F23" s="92" t="n">
        <f aca="false">MAX(F$22-(Dashboard!$C26-F$22*(Dashboard!$C10/12)),0)</f>
        <v>451966.760701986</v>
      </c>
      <c r="G23" s="95" t="n">
        <f aca="false">G$22+F$22*(Dashboard!$C10/12)</f>
        <v>51966.7607019863</v>
      </c>
      <c r="H23" s="96" t="n">
        <f aca="false">H$22+Dashboard!$C26-F$22*(Dashboard!$C10/12)</f>
        <v>-51966.7607019863</v>
      </c>
    </row>
    <row r="24" customFormat="false" ht="15" hidden="false" customHeight="true" outlineLevel="0" collapsed="false">
      <c r="A24" s="91" t="n">
        <f aca="false">INT((22-1)/12)+1</f>
        <v>2</v>
      </c>
      <c r="B24" s="91" t="n">
        <f aca="false">MOD(22-1,12)+1</f>
        <v>10</v>
      </c>
      <c r="C24" s="92" t="n">
        <f aca="false">Dashboard!$C26</f>
        <v>0</v>
      </c>
      <c r="D24" s="93" t="n">
        <f aca="false">Dashboard!$C26-F$23*(Dashboard!$C10/12)</f>
        <v>-2636.47277076159</v>
      </c>
      <c r="E24" s="94" t="n">
        <f aca="false">F$23*(Dashboard!$C10/12)</f>
        <v>2636.47277076159</v>
      </c>
      <c r="F24" s="92" t="n">
        <f aca="false">MAX(F$23-(Dashboard!$C26-F$23*(Dashboard!$C10/12)),0)</f>
        <v>454603.233472748</v>
      </c>
      <c r="G24" s="95" t="n">
        <f aca="false">G$23+F$23*(Dashboard!$C10/12)</f>
        <v>54603.2334727479</v>
      </c>
      <c r="H24" s="96" t="n">
        <f aca="false">H$23+Dashboard!$C26-F$23*(Dashboard!$C10/12)</f>
        <v>-54603.2334727479</v>
      </c>
    </row>
    <row r="25" customFormat="false" ht="15" hidden="false" customHeight="true" outlineLevel="0" collapsed="false">
      <c r="A25" s="91" t="n">
        <f aca="false">INT((23-1)/12)+1</f>
        <v>2</v>
      </c>
      <c r="B25" s="91" t="n">
        <f aca="false">MOD(23-1,12)+1</f>
        <v>11</v>
      </c>
      <c r="C25" s="92" t="n">
        <f aca="false">Dashboard!$C26</f>
        <v>0</v>
      </c>
      <c r="D25" s="93" t="n">
        <f aca="false">Dashboard!$C26-F$24*(Dashboard!$C10/12)</f>
        <v>-2651.8521952577</v>
      </c>
      <c r="E25" s="94" t="n">
        <f aca="false">F$24*(Dashboard!$C10/12)</f>
        <v>2651.8521952577</v>
      </c>
      <c r="F25" s="92" t="n">
        <f aca="false">MAX(F$24-(Dashboard!$C26-F$24*(Dashboard!$C10/12)),0)</f>
        <v>457255.085668006</v>
      </c>
      <c r="G25" s="95" t="n">
        <f aca="false">G$24+F$24*(Dashboard!$C10/12)</f>
        <v>57255.0856680056</v>
      </c>
      <c r="H25" s="96" t="n">
        <f aca="false">H$24+Dashboard!$C26-F$24*(Dashboard!$C10/12)</f>
        <v>-57255.0856680056</v>
      </c>
    </row>
    <row r="26" customFormat="false" ht="15" hidden="false" customHeight="true" outlineLevel="0" collapsed="false">
      <c r="A26" s="85" t="n">
        <f aca="false">INT((24-1)/12)+1</f>
        <v>2</v>
      </c>
      <c r="B26" s="85" t="n">
        <f aca="false">MOD(24-1,12)+1</f>
        <v>12</v>
      </c>
      <c r="C26" s="86" t="n">
        <f aca="false">Dashboard!$C26</f>
        <v>0</v>
      </c>
      <c r="D26" s="87" t="n">
        <f aca="false">Dashboard!$C26-F$25*(Dashboard!$C10/12)</f>
        <v>-2667.32133306337</v>
      </c>
      <c r="E26" s="88" t="n">
        <f aca="false">F$25*(Dashboard!$C10/12)</f>
        <v>2667.32133306337</v>
      </c>
      <c r="F26" s="86" t="n">
        <f aca="false">MAX(F$25-(Dashboard!$C26-F$25*(Dashboard!$C10/12)),0)</f>
        <v>459922.407001069</v>
      </c>
      <c r="G26" s="89" t="n">
        <f aca="false">G$25+F$25*(Dashboard!$C10/12)</f>
        <v>59922.407001069</v>
      </c>
      <c r="H26" s="90" t="n">
        <f aca="false">H$25+Dashboard!$C26-F$25*(Dashboard!$C10/12)</f>
        <v>-59922.407001069</v>
      </c>
    </row>
    <row r="27" customFormat="false" ht="15" hidden="false" customHeight="true" outlineLevel="0" collapsed="false">
      <c r="A27" s="85" t="n">
        <f aca="false">INT((25-1)/12)+1</f>
        <v>3</v>
      </c>
      <c r="B27" s="85" t="n">
        <f aca="false">MOD(25-1,12)+1</f>
        <v>1</v>
      </c>
      <c r="C27" s="86" t="n">
        <f aca="false">Dashboard!$C26</f>
        <v>0</v>
      </c>
      <c r="D27" s="87" t="n">
        <f aca="false">Dashboard!$C26-F$26*(Dashboard!$C10/12)</f>
        <v>-2682.88070750624</v>
      </c>
      <c r="E27" s="88" t="n">
        <f aca="false">F$26*(Dashboard!$C10/12)</f>
        <v>2682.88070750624</v>
      </c>
      <c r="F27" s="86" t="n">
        <f aca="false">MAX(F$26-(Dashboard!$C26-F$26*(Dashboard!$C10/12)),0)</f>
        <v>462605.287708575</v>
      </c>
      <c r="G27" s="89" t="n">
        <f aca="false">G$26+F$26*(Dashboard!$C10/12)</f>
        <v>62605.2877085752</v>
      </c>
      <c r="H27" s="90" t="n">
        <f aca="false">H$26+Dashboard!$C26-F$26*(Dashboard!$C10/12)</f>
        <v>-62605.2877085752</v>
      </c>
    </row>
    <row r="28" customFormat="false" ht="15" hidden="false" customHeight="true" outlineLevel="0" collapsed="false">
      <c r="A28" s="85" t="n">
        <f aca="false">INT((26-1)/12)+1</f>
        <v>3</v>
      </c>
      <c r="B28" s="85" t="n">
        <f aca="false">MOD(26-1,12)+1</f>
        <v>2</v>
      </c>
      <c r="C28" s="86" t="n">
        <f aca="false">Dashboard!$C26</f>
        <v>0</v>
      </c>
      <c r="D28" s="87" t="n">
        <f aca="false">Dashboard!$C26-F$27*(Dashboard!$C10/12)</f>
        <v>-2698.53084496669</v>
      </c>
      <c r="E28" s="88" t="n">
        <f aca="false">F$27*(Dashboard!$C10/12)</f>
        <v>2698.53084496669</v>
      </c>
      <c r="F28" s="86" t="n">
        <f aca="false">MAX(F$27-(Dashboard!$C26-F$27*(Dashboard!$C10/12)),0)</f>
        <v>465303.818553542</v>
      </c>
      <c r="G28" s="89" t="n">
        <f aca="false">G$27+F$27*(Dashboard!$C10/12)</f>
        <v>65303.8185535419</v>
      </c>
      <c r="H28" s="90" t="n">
        <f aca="false">H$27+Dashboard!$C26-F$27*(Dashboard!$C10/12)</f>
        <v>-65303.8185535419</v>
      </c>
    </row>
    <row r="29" customFormat="false" ht="15" hidden="false" customHeight="true" outlineLevel="0" collapsed="false">
      <c r="A29" s="85" t="n">
        <f aca="false">INT((27-1)/12)+1</f>
        <v>3</v>
      </c>
      <c r="B29" s="85" t="n">
        <f aca="false">MOD(27-1,12)+1</f>
        <v>3</v>
      </c>
      <c r="C29" s="86" t="n">
        <f aca="false">Dashboard!$C26</f>
        <v>0</v>
      </c>
      <c r="D29" s="87" t="n">
        <f aca="false">Dashboard!$C26-F$28*(Dashboard!$C10/12)</f>
        <v>-2714.27227489566</v>
      </c>
      <c r="E29" s="88" t="n">
        <f aca="false">F$28*(Dashboard!$C10/12)</f>
        <v>2714.27227489566</v>
      </c>
      <c r="F29" s="86" t="n">
        <f aca="false">MAX(F$28-(Dashboard!$C26-F$28*(Dashboard!$C10/12)),0)</f>
        <v>468018.090828438</v>
      </c>
      <c r="G29" s="89" t="n">
        <f aca="false">G$28+F$28*(Dashboard!$C10/12)</f>
        <v>68018.0908284376</v>
      </c>
      <c r="H29" s="90" t="n">
        <f aca="false">H$28+Dashboard!$C26-F$28*(Dashboard!$C10/12)</f>
        <v>-68018.0908284376</v>
      </c>
    </row>
    <row r="30" customFormat="false" ht="15" hidden="false" customHeight="true" outlineLevel="0" collapsed="false">
      <c r="A30" s="85" t="n">
        <f aca="false">INT((28-1)/12)+1</f>
        <v>3</v>
      </c>
      <c r="B30" s="85" t="n">
        <f aca="false">MOD(28-1,12)+1</f>
        <v>4</v>
      </c>
      <c r="C30" s="86" t="n">
        <f aca="false">Dashboard!$C26</f>
        <v>0</v>
      </c>
      <c r="D30" s="87" t="n">
        <f aca="false">Dashboard!$C26-F$29*(Dashboard!$C10/12)</f>
        <v>-2730.10552983255</v>
      </c>
      <c r="E30" s="88" t="n">
        <f aca="false">F$29*(Dashboard!$C10/12)</f>
        <v>2730.10552983255</v>
      </c>
      <c r="F30" s="86" t="n">
        <f aca="false">MAX(F$29-(Dashboard!$C26-F$29*(Dashboard!$C10/12)),0)</f>
        <v>470748.19635827</v>
      </c>
      <c r="G30" s="89" t="n">
        <f aca="false">G$29+F$29*(Dashboard!$C10/12)</f>
        <v>70748.1963582701</v>
      </c>
      <c r="H30" s="90" t="n">
        <f aca="false">H$29+Dashboard!$C26-F$29*(Dashboard!$C10/12)</f>
        <v>-70748.1963582701</v>
      </c>
    </row>
    <row r="31" customFormat="false" ht="15" hidden="false" customHeight="true" outlineLevel="0" collapsed="false">
      <c r="A31" s="85" t="n">
        <f aca="false">INT((29-1)/12)+1</f>
        <v>3</v>
      </c>
      <c r="B31" s="85" t="n">
        <f aca="false">MOD(29-1,12)+1</f>
        <v>5</v>
      </c>
      <c r="C31" s="86" t="n">
        <f aca="false">Dashboard!$C26</f>
        <v>0</v>
      </c>
      <c r="D31" s="87" t="n">
        <f aca="false">Dashboard!$C26-F$30*(Dashboard!$C10/12)</f>
        <v>-2746.03114542324</v>
      </c>
      <c r="E31" s="88" t="n">
        <f aca="false">F$30*(Dashboard!$C10/12)</f>
        <v>2746.03114542324</v>
      </c>
      <c r="F31" s="86" t="n">
        <f aca="false">MAX(F$30-(Dashboard!$C26-F$30*(Dashboard!$C10/12)),0)</f>
        <v>473494.227503693</v>
      </c>
      <c r="G31" s="89" t="n">
        <f aca="false">G$30+F$30*(Dashboard!$C10/12)</f>
        <v>73494.2275036934</v>
      </c>
      <c r="H31" s="90" t="n">
        <f aca="false">H$30+Dashboard!$C26-F$30*(Dashboard!$C10/12)</f>
        <v>-73494.2275036934</v>
      </c>
    </row>
    <row r="32" customFormat="false" ht="15" hidden="false" customHeight="true" outlineLevel="0" collapsed="false">
      <c r="A32" s="85" t="n">
        <f aca="false">INT((30-1)/12)+1</f>
        <v>3</v>
      </c>
      <c r="B32" s="85" t="n">
        <f aca="false">MOD(30-1,12)+1</f>
        <v>6</v>
      </c>
      <c r="C32" s="86" t="n">
        <f aca="false">Dashboard!$C26</f>
        <v>0</v>
      </c>
      <c r="D32" s="87" t="n">
        <f aca="false">Dashboard!$C26-F$31*(Dashboard!$C10/12)</f>
        <v>-2762.04966043821</v>
      </c>
      <c r="E32" s="88" t="n">
        <f aca="false">F$31*(Dashboard!$C10/12)</f>
        <v>2762.04966043821</v>
      </c>
      <c r="F32" s="86" t="n">
        <f aca="false">MAX(F$31-(Dashboard!$C26-F$31*(Dashboard!$C10/12)),0)</f>
        <v>476256.277164131</v>
      </c>
      <c r="G32" s="89" t="n">
        <f aca="false">G$31+F$31*(Dashboard!$C10/12)</f>
        <v>76256.2771641316</v>
      </c>
      <c r="H32" s="90" t="n">
        <f aca="false">H$31+Dashboard!$C26-F$31*(Dashboard!$C10/12)</f>
        <v>-76256.2771641316</v>
      </c>
    </row>
    <row r="33" customFormat="false" ht="15" hidden="false" customHeight="true" outlineLevel="0" collapsed="false">
      <c r="A33" s="85" t="n">
        <f aca="false">INT((31-1)/12)+1</f>
        <v>3</v>
      </c>
      <c r="B33" s="85" t="n">
        <f aca="false">MOD(31-1,12)+1</f>
        <v>7</v>
      </c>
      <c r="C33" s="86" t="n">
        <f aca="false">Dashboard!$C26</f>
        <v>0</v>
      </c>
      <c r="D33" s="87" t="n">
        <f aca="false">Dashboard!$C26-F$32*(Dashboard!$C10/12)</f>
        <v>-2778.16161679077</v>
      </c>
      <c r="E33" s="88" t="n">
        <f aca="false">F$32*(Dashboard!$C10/12)</f>
        <v>2778.16161679077</v>
      </c>
      <c r="F33" s="86" t="n">
        <f aca="false">MAX(F$32-(Dashboard!$C26-F$32*(Dashboard!$C10/12)),0)</f>
        <v>479034.438780922</v>
      </c>
      <c r="G33" s="89" t="n">
        <f aca="false">G$32+F$32*(Dashboard!$C10/12)</f>
        <v>79034.4387809223</v>
      </c>
      <c r="H33" s="90" t="n">
        <f aca="false">H$32+Dashboard!$C26-F$32*(Dashboard!$C10/12)</f>
        <v>-79034.4387809223</v>
      </c>
    </row>
    <row r="34" customFormat="false" ht="15" hidden="false" customHeight="true" outlineLevel="0" collapsed="false">
      <c r="A34" s="85" t="n">
        <f aca="false">INT((32-1)/12)+1</f>
        <v>3</v>
      </c>
      <c r="B34" s="85" t="n">
        <f aca="false">MOD(32-1,12)+1</f>
        <v>8</v>
      </c>
      <c r="C34" s="86" t="n">
        <f aca="false">Dashboard!$C26</f>
        <v>0</v>
      </c>
      <c r="D34" s="87" t="n">
        <f aca="false">Dashboard!$C26-F$33*(Dashboard!$C10/12)</f>
        <v>-2794.36755955538</v>
      </c>
      <c r="E34" s="88" t="n">
        <f aca="false">F$33*(Dashboard!$C10/12)</f>
        <v>2794.36755955538</v>
      </c>
      <c r="F34" s="86" t="n">
        <f aca="false">MAX(F$33-(Dashboard!$C26-F$33*(Dashboard!$C10/12)),0)</f>
        <v>481828.806340478</v>
      </c>
      <c r="G34" s="89" t="n">
        <f aca="false">G$33+F$33*(Dashboard!$C10/12)</f>
        <v>81828.8063404777</v>
      </c>
      <c r="H34" s="90" t="n">
        <f aca="false">H$33+Dashboard!$C26-F$33*(Dashboard!$C10/12)</f>
        <v>-81828.8063404777</v>
      </c>
    </row>
    <row r="35" customFormat="false" ht="15" hidden="false" customHeight="true" outlineLevel="0" collapsed="false">
      <c r="A35" s="85" t="n">
        <f aca="false">INT((33-1)/12)+1</f>
        <v>3</v>
      </c>
      <c r="B35" s="85" t="n">
        <f aca="false">MOD(33-1,12)+1</f>
        <v>9</v>
      </c>
      <c r="C35" s="86" t="n">
        <f aca="false">Dashboard!$C26</f>
        <v>0</v>
      </c>
      <c r="D35" s="87" t="n">
        <f aca="false">Dashboard!$C26-F$34*(Dashboard!$C10/12)</f>
        <v>-2810.66803698612</v>
      </c>
      <c r="E35" s="88" t="n">
        <f aca="false">F$34*(Dashboard!$C10/12)</f>
        <v>2810.66803698612</v>
      </c>
      <c r="F35" s="86" t="n">
        <f aca="false">MAX(F$34-(Dashboard!$C26-F$34*(Dashboard!$C10/12)),0)</f>
        <v>484639.474377464</v>
      </c>
      <c r="G35" s="89" t="n">
        <f aca="false">G$34+F$34*(Dashboard!$C10/12)</f>
        <v>84639.4743774638</v>
      </c>
      <c r="H35" s="90" t="n">
        <f aca="false">H$34+Dashboard!$C26-F$34*(Dashboard!$C10/12)</f>
        <v>-84639.4743774638</v>
      </c>
    </row>
    <row r="36" customFormat="false" ht="15" hidden="false" customHeight="true" outlineLevel="0" collapsed="false">
      <c r="A36" s="85" t="n">
        <f aca="false">INT((34-1)/12)+1</f>
        <v>3</v>
      </c>
      <c r="B36" s="85" t="n">
        <f aca="false">MOD(34-1,12)+1</f>
        <v>10</v>
      </c>
      <c r="C36" s="86" t="n">
        <f aca="false">Dashboard!$C26</f>
        <v>0</v>
      </c>
      <c r="D36" s="87" t="n">
        <f aca="false">Dashboard!$C26-F$35*(Dashboard!$C10/12)</f>
        <v>-2827.06360053521</v>
      </c>
      <c r="E36" s="88" t="n">
        <f aca="false">F$35*(Dashboard!$C10/12)</f>
        <v>2827.06360053521</v>
      </c>
      <c r="F36" s="86" t="n">
        <f aca="false">MAX(F$35-(Dashboard!$C26-F$35*(Dashboard!$C10/12)),0)</f>
        <v>487466.537977999</v>
      </c>
      <c r="G36" s="89" t="n">
        <f aca="false">G$35+F$35*(Dashboard!$C10/12)</f>
        <v>87466.537977999</v>
      </c>
      <c r="H36" s="90" t="n">
        <f aca="false">H$35+Dashboard!$C26-F$35*(Dashboard!$C10/12)</f>
        <v>-87466.537977999</v>
      </c>
    </row>
    <row r="37" customFormat="false" ht="15" hidden="false" customHeight="true" outlineLevel="0" collapsed="false">
      <c r="A37" s="85" t="n">
        <f aca="false">INT((35-1)/12)+1</f>
        <v>3</v>
      </c>
      <c r="B37" s="85" t="n">
        <f aca="false">MOD(35-1,12)+1</f>
        <v>11</v>
      </c>
      <c r="C37" s="86" t="n">
        <f aca="false">Dashboard!$C26</f>
        <v>0</v>
      </c>
      <c r="D37" s="87" t="n">
        <f aca="false">Dashboard!$C26-F$36*(Dashboard!$C10/12)</f>
        <v>-2843.55480487166</v>
      </c>
      <c r="E37" s="88" t="n">
        <f aca="false">F$36*(Dashboard!$C10/12)</f>
        <v>2843.55480487166</v>
      </c>
      <c r="F37" s="86" t="n">
        <f aca="false">MAX(F$36-(Dashboard!$C26-F$36*(Dashboard!$C10/12)),0)</f>
        <v>490310.092782871</v>
      </c>
      <c r="G37" s="89" t="n">
        <f aca="false">G$36+F$36*(Dashboard!$C10/12)</f>
        <v>90310.0927828707</v>
      </c>
      <c r="H37" s="90" t="n">
        <f aca="false">H$36+Dashboard!$C26-F$36*(Dashboard!$C10/12)</f>
        <v>-90310.0927828707</v>
      </c>
    </row>
    <row r="38" customFormat="false" ht="15" hidden="false" customHeight="true" outlineLevel="0" collapsed="false">
      <c r="A38" s="91" t="n">
        <f aca="false">INT((36-1)/12)+1</f>
        <v>3</v>
      </c>
      <c r="B38" s="91" t="n">
        <f aca="false">MOD(36-1,12)+1</f>
        <v>12</v>
      </c>
      <c r="C38" s="92" t="n">
        <f aca="false">Dashboard!$C26</f>
        <v>0</v>
      </c>
      <c r="D38" s="93" t="n">
        <f aca="false">Dashboard!$C26-F$37*(Dashboard!$C10/12)</f>
        <v>-2860.14220790008</v>
      </c>
      <c r="E38" s="94" t="n">
        <f aca="false">F$37*(Dashboard!$C10/12)</f>
        <v>2860.14220790008</v>
      </c>
      <c r="F38" s="92" t="n">
        <f aca="false">MAX(F$37-(Dashboard!$C26-F$37*(Dashboard!$C10/12)),0)</f>
        <v>493170.234990771</v>
      </c>
      <c r="G38" s="95" t="n">
        <f aca="false">G$37+F$37*(Dashboard!$C10/12)</f>
        <v>93170.2349907708</v>
      </c>
      <c r="H38" s="96" t="n">
        <f aca="false">H$37+Dashboard!$C26-F$37*(Dashboard!$C10/12)</f>
        <v>-93170.2349907708</v>
      </c>
    </row>
    <row r="39" customFormat="false" ht="15" hidden="false" customHeight="true" outlineLevel="0" collapsed="false">
      <c r="A39" s="91" t="n">
        <f aca="false">INT((37-1)/12)+1</f>
        <v>4</v>
      </c>
      <c r="B39" s="91" t="n">
        <f aca="false">MOD(37-1,12)+1</f>
        <v>1</v>
      </c>
      <c r="C39" s="92" t="n">
        <f aca="false">Dashboard!$C26</f>
        <v>0</v>
      </c>
      <c r="D39" s="93" t="n">
        <f aca="false">Dashboard!$C26-F$38*(Dashboard!$C10/12)</f>
        <v>-2876.8263707795</v>
      </c>
      <c r="E39" s="94" t="n">
        <f aca="false">F$38*(Dashboard!$C10/12)</f>
        <v>2876.8263707795</v>
      </c>
      <c r="F39" s="92" t="n">
        <f aca="false">MAX(F$38-(Dashboard!$C26-F$38*(Dashboard!$C10/12)),0)</f>
        <v>496047.06136155</v>
      </c>
      <c r="G39" s="95" t="n">
        <f aca="false">G$38+F$38*(Dashboard!$C10/12)</f>
        <v>96047.0613615503</v>
      </c>
      <c r="H39" s="96" t="n">
        <f aca="false">H$38+Dashboard!$C26-F$38*(Dashboard!$C10/12)</f>
        <v>-96047.0613615503</v>
      </c>
    </row>
    <row r="40" customFormat="false" ht="15" hidden="false" customHeight="true" outlineLevel="0" collapsed="false">
      <c r="A40" s="91" t="n">
        <f aca="false">INT((38-1)/12)+1</f>
        <v>4</v>
      </c>
      <c r="B40" s="91" t="n">
        <f aca="false">MOD(38-1,12)+1</f>
        <v>2</v>
      </c>
      <c r="C40" s="92" t="n">
        <f aca="false">Dashboard!$C26</f>
        <v>0</v>
      </c>
      <c r="D40" s="93" t="n">
        <f aca="false">Dashboard!$C26-F$39*(Dashboard!$C10/12)</f>
        <v>-2893.60785794238</v>
      </c>
      <c r="E40" s="94" t="n">
        <f aca="false">F$39*(Dashboard!$C10/12)</f>
        <v>2893.60785794238</v>
      </c>
      <c r="F40" s="92" t="n">
        <f aca="false">MAX(F$39-(Dashboard!$C26-F$39*(Dashboard!$C10/12)),0)</f>
        <v>498940.669219493</v>
      </c>
      <c r="G40" s="95" t="n">
        <f aca="false">G$39+F$39*(Dashboard!$C10/12)</f>
        <v>98940.6692194926</v>
      </c>
      <c r="H40" s="96" t="n">
        <f aca="false">H$39+Dashboard!$C26-F$39*(Dashboard!$C10/12)</f>
        <v>-98940.6692194926</v>
      </c>
    </row>
    <row r="41" customFormat="false" ht="15" hidden="false" customHeight="true" outlineLevel="0" collapsed="false">
      <c r="A41" s="91" t="n">
        <f aca="false">INT((39-1)/12)+1</f>
        <v>4</v>
      </c>
      <c r="B41" s="91" t="n">
        <f aca="false">MOD(39-1,12)+1</f>
        <v>3</v>
      </c>
      <c r="C41" s="92" t="n">
        <f aca="false">Dashboard!$C26</f>
        <v>0</v>
      </c>
      <c r="D41" s="93" t="n">
        <f aca="false">Dashboard!$C26-F$40*(Dashboard!$C10/12)</f>
        <v>-2910.48723711371</v>
      </c>
      <c r="E41" s="94" t="n">
        <f aca="false">F$40*(Dashboard!$C10/12)</f>
        <v>2910.48723711371</v>
      </c>
      <c r="F41" s="92" t="n">
        <f aca="false">MAX(F$40-(Dashboard!$C26-F$40*(Dashboard!$C10/12)),0)</f>
        <v>501851.156456606</v>
      </c>
      <c r="G41" s="95" t="n">
        <f aca="false">G$40+F$40*(Dashboard!$C10/12)</f>
        <v>101851.156456606</v>
      </c>
      <c r="H41" s="96" t="n">
        <f aca="false">H$40+Dashboard!$C26-F$40*(Dashboard!$C10/12)</f>
        <v>-101851.156456606</v>
      </c>
    </row>
    <row r="42" customFormat="false" ht="15" hidden="false" customHeight="true" outlineLevel="0" collapsed="false">
      <c r="A42" s="91" t="n">
        <f aca="false">INT((40-1)/12)+1</f>
        <v>4</v>
      </c>
      <c r="B42" s="91" t="n">
        <f aca="false">MOD(40-1,12)+1</f>
        <v>4</v>
      </c>
      <c r="C42" s="92" t="n">
        <f aca="false">Dashboard!$C26</f>
        <v>0</v>
      </c>
      <c r="D42" s="93" t="n">
        <f aca="false">Dashboard!$C26-F$41*(Dashboard!$C10/12)</f>
        <v>-2927.4650793302</v>
      </c>
      <c r="E42" s="94" t="n">
        <f aca="false">F$41*(Dashboard!$C10/12)</f>
        <v>2927.4650793302</v>
      </c>
      <c r="F42" s="92" t="n">
        <f aca="false">MAX(F$41-(Dashboard!$C26-F$41*(Dashboard!$C10/12)),0)</f>
        <v>504778.621535936</v>
      </c>
      <c r="G42" s="95" t="n">
        <f aca="false">G$41+F$41*(Dashboard!$C10/12)</f>
        <v>104778.621535937</v>
      </c>
      <c r="H42" s="96" t="n">
        <f aca="false">H$41+Dashboard!$C26-F$41*(Dashboard!$C10/12)</f>
        <v>-104778.621535937</v>
      </c>
    </row>
    <row r="43" customFormat="false" ht="15" hidden="false" customHeight="true" outlineLevel="0" collapsed="false">
      <c r="A43" s="91" t="n">
        <f aca="false">INT((41-1)/12)+1</f>
        <v>4</v>
      </c>
      <c r="B43" s="91" t="n">
        <f aca="false">MOD(41-1,12)+1</f>
        <v>5</v>
      </c>
      <c r="C43" s="92" t="n">
        <f aca="false">Dashboard!$C26</f>
        <v>0</v>
      </c>
      <c r="D43" s="93" t="n">
        <f aca="false">Dashboard!$C26-F$42*(Dashboard!$C10/12)</f>
        <v>-2944.54195895963</v>
      </c>
      <c r="E43" s="94" t="n">
        <f aca="false">F$42*(Dashboard!$C10/12)</f>
        <v>2944.54195895963</v>
      </c>
      <c r="F43" s="92" t="n">
        <f aca="false">MAX(F$42-(Dashboard!$C26-F$42*(Dashboard!$C10/12)),0)</f>
        <v>507723.163494896</v>
      </c>
      <c r="G43" s="95" t="n">
        <f aca="false">G$42+F$42*(Dashboard!$C10/12)</f>
        <v>107723.163494896</v>
      </c>
      <c r="H43" s="96" t="n">
        <f aca="false">H$42+Dashboard!$C26-F$42*(Dashboard!$C10/12)</f>
        <v>-107723.163494896</v>
      </c>
    </row>
    <row r="44" customFormat="false" ht="15" hidden="false" customHeight="true" outlineLevel="0" collapsed="false">
      <c r="A44" s="91" t="n">
        <f aca="false">INT((42-1)/12)+1</f>
        <v>4</v>
      </c>
      <c r="B44" s="91" t="n">
        <f aca="false">MOD(42-1,12)+1</f>
        <v>6</v>
      </c>
      <c r="C44" s="92" t="n">
        <f aca="false">Dashboard!$C26</f>
        <v>0</v>
      </c>
      <c r="D44" s="93" t="n">
        <f aca="false">Dashboard!$C26-F$43*(Dashboard!$C10/12)</f>
        <v>-2961.71845372023</v>
      </c>
      <c r="E44" s="94" t="n">
        <f aca="false">F$43*(Dashboard!$C10/12)</f>
        <v>2961.71845372023</v>
      </c>
      <c r="F44" s="92" t="n">
        <f aca="false">MAX(F$43-(Dashboard!$C26-F$43*(Dashboard!$C10/12)),0)</f>
        <v>510684.881948616</v>
      </c>
      <c r="G44" s="95" t="n">
        <f aca="false">G$43+F$43*(Dashboard!$C10/12)</f>
        <v>110684.881948616</v>
      </c>
      <c r="H44" s="96" t="n">
        <f aca="false">H$43+Dashboard!$C26-F$43*(Dashboard!$C10/12)</f>
        <v>-110684.881948616</v>
      </c>
    </row>
    <row r="45" customFormat="false" ht="15" hidden="false" customHeight="true" outlineLevel="0" collapsed="false">
      <c r="A45" s="91" t="n">
        <f aca="false">INT((43-1)/12)+1</f>
        <v>4</v>
      </c>
      <c r="B45" s="91" t="n">
        <f aca="false">MOD(43-1,12)+1</f>
        <v>7</v>
      </c>
      <c r="C45" s="92" t="n">
        <f aca="false">Dashboard!$C26</f>
        <v>0</v>
      </c>
      <c r="D45" s="93" t="n">
        <f aca="false">Dashboard!$C26-F$44*(Dashboard!$C10/12)</f>
        <v>-2978.99514470026</v>
      </c>
      <c r="E45" s="94" t="n">
        <f aca="false">F$44*(Dashboard!$C10/12)</f>
        <v>2978.99514470026</v>
      </c>
      <c r="F45" s="92" t="n">
        <f aca="false">MAX(F$44-(Dashboard!$C26-F$44*(Dashboard!$C10/12)),0)</f>
        <v>513663.877093317</v>
      </c>
      <c r="G45" s="95" t="n">
        <f aca="false">G$44+F$44*(Dashboard!$C10/12)</f>
        <v>113663.877093317</v>
      </c>
      <c r="H45" s="96" t="n">
        <f aca="false">H$44+Dashboard!$C26-F$44*(Dashboard!$C10/12)</f>
        <v>-113663.877093317</v>
      </c>
    </row>
    <row r="46" customFormat="false" ht="15" hidden="false" customHeight="true" outlineLevel="0" collapsed="false">
      <c r="A46" s="91" t="n">
        <f aca="false">INT((44-1)/12)+1</f>
        <v>4</v>
      </c>
      <c r="B46" s="91" t="n">
        <f aca="false">MOD(44-1,12)+1</f>
        <v>8</v>
      </c>
      <c r="C46" s="92" t="n">
        <f aca="false">Dashboard!$C26</f>
        <v>0</v>
      </c>
      <c r="D46" s="93" t="n">
        <f aca="false">Dashboard!$C26-F$45*(Dashboard!$C10/12)</f>
        <v>-2996.37261637768</v>
      </c>
      <c r="E46" s="94" t="n">
        <f aca="false">F$45*(Dashboard!$C10/12)</f>
        <v>2996.37261637768</v>
      </c>
      <c r="F46" s="92" t="n">
        <f aca="false">MAX(F$45-(Dashboard!$C26-F$45*(Dashboard!$C10/12)),0)</f>
        <v>516660.249709694</v>
      </c>
      <c r="G46" s="95" t="n">
        <f aca="false">G$45+F$45*(Dashboard!$C10/12)</f>
        <v>116660.249709694</v>
      </c>
      <c r="H46" s="96" t="n">
        <f aca="false">H$45+Dashboard!$C26-F$45*(Dashboard!$C10/12)</f>
        <v>-116660.249709694</v>
      </c>
    </row>
    <row r="47" customFormat="false" ht="15" hidden="false" customHeight="true" outlineLevel="0" collapsed="false">
      <c r="A47" s="91" t="n">
        <f aca="false">INT((45-1)/12)+1</f>
        <v>4</v>
      </c>
      <c r="B47" s="91" t="n">
        <f aca="false">MOD(45-1,12)+1</f>
        <v>9</v>
      </c>
      <c r="C47" s="92" t="n">
        <f aca="false">Dashboard!$C26</f>
        <v>0</v>
      </c>
      <c r="D47" s="93" t="n">
        <f aca="false">Dashboard!$C26-F$46*(Dashboard!$C10/12)</f>
        <v>-3013.85145663988</v>
      </c>
      <c r="E47" s="94" t="n">
        <f aca="false">F$46*(Dashboard!$C10/12)</f>
        <v>3013.85145663988</v>
      </c>
      <c r="F47" s="92" t="n">
        <f aca="false">MAX(F$46-(Dashboard!$C26-F$46*(Dashboard!$C10/12)),0)</f>
        <v>519674.101166334</v>
      </c>
      <c r="G47" s="95" t="n">
        <f aca="false">G$46+F$46*(Dashboard!$C10/12)</f>
        <v>119674.101166334</v>
      </c>
      <c r="H47" s="96" t="n">
        <f aca="false">H$46+Dashboard!$C26-F$46*(Dashboard!$C10/12)</f>
        <v>-119674.101166334</v>
      </c>
    </row>
    <row r="48" customFormat="false" ht="15" hidden="false" customHeight="true" outlineLevel="0" collapsed="false">
      <c r="A48" s="91" t="n">
        <f aca="false">INT((46-1)/12)+1</f>
        <v>4</v>
      </c>
      <c r="B48" s="91" t="n">
        <f aca="false">MOD(46-1,12)+1</f>
        <v>10</v>
      </c>
      <c r="C48" s="92" t="n">
        <f aca="false">Dashboard!$C26</f>
        <v>0</v>
      </c>
      <c r="D48" s="93" t="n">
        <f aca="false">Dashboard!$C26-F$47*(Dashboard!$C10/12)</f>
        <v>-3031.43225680362</v>
      </c>
      <c r="E48" s="94" t="n">
        <f aca="false">F$47*(Dashboard!$C10/12)</f>
        <v>3031.43225680362</v>
      </c>
      <c r="F48" s="92" t="n">
        <f aca="false">MAX(F$47-(Dashboard!$C26-F$47*(Dashboard!$C10/12)),0)</f>
        <v>522705.533423138</v>
      </c>
      <c r="G48" s="95" t="n">
        <f aca="false">G$47+F$47*(Dashboard!$C10/12)</f>
        <v>122705.533423138</v>
      </c>
      <c r="H48" s="96" t="n">
        <f aca="false">H$47+Dashboard!$C26-F$47*(Dashboard!$C10/12)</f>
        <v>-122705.533423138</v>
      </c>
    </row>
    <row r="49" customFormat="false" ht="15" hidden="false" customHeight="true" outlineLevel="0" collapsed="false">
      <c r="A49" s="91" t="n">
        <f aca="false">INT((47-1)/12)+1</f>
        <v>4</v>
      </c>
      <c r="B49" s="91" t="n">
        <f aca="false">MOD(47-1,12)+1</f>
        <v>11</v>
      </c>
      <c r="C49" s="92" t="n">
        <f aca="false">Dashboard!$C26</f>
        <v>0</v>
      </c>
      <c r="D49" s="93" t="n">
        <f aca="false">Dashboard!$C26-F$48*(Dashboard!$C10/12)</f>
        <v>-3049.11561163497</v>
      </c>
      <c r="E49" s="94" t="n">
        <f aca="false">F$48*(Dashboard!$C10/12)</f>
        <v>3049.11561163497</v>
      </c>
      <c r="F49" s="92" t="n">
        <f aca="false">MAX(F$48-(Dashboard!$C26-F$48*(Dashboard!$C10/12)),0)</f>
        <v>525754.649034773</v>
      </c>
      <c r="G49" s="95" t="n">
        <f aca="false">G$48+F$48*(Dashboard!$C10/12)</f>
        <v>125754.649034773</v>
      </c>
      <c r="H49" s="96" t="n">
        <f aca="false">H$48+Dashboard!$C26-F$48*(Dashboard!$C10/12)</f>
        <v>-125754.649034773</v>
      </c>
    </row>
    <row r="50" customFormat="false" ht="15" hidden="false" customHeight="true" outlineLevel="0" collapsed="false">
      <c r="A50" s="85" t="n">
        <f aca="false">INT((48-1)/12)+1</f>
        <v>4</v>
      </c>
      <c r="B50" s="85" t="n">
        <f aca="false">MOD(48-1,12)+1</f>
        <v>12</v>
      </c>
      <c r="C50" s="86" t="n">
        <f aca="false">Dashboard!$C26</f>
        <v>0</v>
      </c>
      <c r="D50" s="87" t="n">
        <f aca="false">Dashboard!$C26-F$49*(Dashboard!$C10/12)</f>
        <v>-3066.90211936951</v>
      </c>
      <c r="E50" s="88" t="n">
        <f aca="false">F$49*(Dashboard!$C10/12)</f>
        <v>3066.90211936951</v>
      </c>
      <c r="F50" s="86" t="n">
        <f aca="false">MAX(F$49-(Dashboard!$C26-F$49*(Dashboard!$C10/12)),0)</f>
        <v>528821.551154142</v>
      </c>
      <c r="G50" s="89" t="n">
        <f aca="false">G$49+F$49*(Dashboard!$C10/12)</f>
        <v>128821.551154142</v>
      </c>
      <c r="H50" s="90" t="n">
        <f aca="false">H$49+Dashboard!$C26-F$49*(Dashboard!$C10/12)</f>
        <v>-128821.551154142</v>
      </c>
    </row>
    <row r="51" customFormat="false" ht="15" hidden="false" customHeight="true" outlineLevel="0" collapsed="false">
      <c r="A51" s="85" t="n">
        <f aca="false">INT((49-1)/12)+1</f>
        <v>5</v>
      </c>
      <c r="B51" s="85" t="n">
        <f aca="false">MOD(49-1,12)+1</f>
        <v>1</v>
      </c>
      <c r="C51" s="86" t="n">
        <f aca="false">Dashboard!$C26</f>
        <v>0</v>
      </c>
      <c r="D51" s="87" t="n">
        <f aca="false">Dashboard!$C26-F$50*(Dashboard!$C10/12)</f>
        <v>-3084.7923817325</v>
      </c>
      <c r="E51" s="88" t="n">
        <f aca="false">F$50*(Dashboard!$C10/12)</f>
        <v>3084.7923817325</v>
      </c>
      <c r="F51" s="86" t="n">
        <f aca="false">MAX(F$50-(Dashboard!$C26-F$50*(Dashboard!$C10/12)),0)</f>
        <v>531906.343535875</v>
      </c>
      <c r="G51" s="89" t="n">
        <f aca="false">G$50+F$50*(Dashboard!$C10/12)</f>
        <v>131906.343535875</v>
      </c>
      <c r="H51" s="90" t="n">
        <f aca="false">H$50+Dashboard!$C26-F$50*(Dashboard!$C10/12)</f>
        <v>-131906.343535875</v>
      </c>
    </row>
    <row r="52" customFormat="false" ht="15" hidden="false" customHeight="true" outlineLevel="0" collapsed="false">
      <c r="A52" s="85" t="n">
        <f aca="false">INT((50-1)/12)+1</f>
        <v>5</v>
      </c>
      <c r="B52" s="85" t="n">
        <f aca="false">MOD(50-1,12)+1</f>
        <v>2</v>
      </c>
      <c r="C52" s="86" t="n">
        <f aca="false">Dashboard!$C26</f>
        <v>0</v>
      </c>
      <c r="D52" s="87" t="n">
        <f aca="false">Dashboard!$C26-F$51*(Dashboard!$C10/12)</f>
        <v>-3102.78700395927</v>
      </c>
      <c r="E52" s="88" t="n">
        <f aca="false">F$51*(Dashboard!$C10/12)</f>
        <v>3102.78700395927</v>
      </c>
      <c r="F52" s="86" t="n">
        <f aca="false">MAX(F$51-(Dashboard!$C26-F$51*(Dashboard!$C10/12)),0)</f>
        <v>535009.130539834</v>
      </c>
      <c r="G52" s="89" t="n">
        <f aca="false">G$51+F$51*(Dashboard!$C10/12)</f>
        <v>135009.130539834</v>
      </c>
      <c r="H52" s="90" t="n">
        <f aca="false">H$51+Dashboard!$C26-F$51*(Dashboard!$C10/12)</f>
        <v>-135009.130539834</v>
      </c>
    </row>
    <row r="53" customFormat="false" ht="15" hidden="false" customHeight="true" outlineLevel="0" collapsed="false">
      <c r="A53" s="85" t="n">
        <f aca="false">INT((51-1)/12)+1</f>
        <v>5</v>
      </c>
      <c r="B53" s="85" t="n">
        <f aca="false">MOD(51-1,12)+1</f>
        <v>3</v>
      </c>
      <c r="C53" s="86" t="n">
        <f aca="false">Dashboard!$C26</f>
        <v>0</v>
      </c>
      <c r="D53" s="87" t="n">
        <f aca="false">Dashboard!$C26-F$52*(Dashboard!$C10/12)</f>
        <v>-3120.8865948157</v>
      </c>
      <c r="E53" s="88" t="n">
        <f aca="false">F$52*(Dashboard!$C10/12)</f>
        <v>3120.8865948157</v>
      </c>
      <c r="F53" s="86" t="n">
        <f aca="false">MAX(F$52-(Dashboard!$C26-F$52*(Dashboard!$C10/12)),0)</f>
        <v>538130.01713465</v>
      </c>
      <c r="G53" s="89" t="n">
        <f aca="false">G$52+F$52*(Dashboard!$C10/12)</f>
        <v>138130.01713465</v>
      </c>
      <c r="H53" s="90" t="n">
        <f aca="false">H$52+Dashboard!$C26-F$52*(Dashboard!$C10/12)</f>
        <v>-138130.01713465</v>
      </c>
    </row>
    <row r="54" customFormat="false" ht="15" hidden="false" customHeight="true" outlineLevel="0" collapsed="false">
      <c r="A54" s="85" t="n">
        <f aca="false">INT((52-1)/12)+1</f>
        <v>5</v>
      </c>
      <c r="B54" s="85" t="n">
        <f aca="false">MOD(52-1,12)+1</f>
        <v>4</v>
      </c>
      <c r="C54" s="86" t="n">
        <f aca="false">Dashboard!$C26</f>
        <v>0</v>
      </c>
      <c r="D54" s="87" t="n">
        <f aca="false">Dashboard!$C26-F$53*(Dashboard!$C10/12)</f>
        <v>-3139.09176661879</v>
      </c>
      <c r="E54" s="88" t="n">
        <f aca="false">F$53*(Dashboard!$C10/12)</f>
        <v>3139.09176661879</v>
      </c>
      <c r="F54" s="86" t="n">
        <f aca="false">MAX(F$53-(Dashboard!$C26-F$53*(Dashboard!$C10/12)),0)</f>
        <v>541269.108901268</v>
      </c>
      <c r="G54" s="89" t="n">
        <f aca="false">G$53+F$53*(Dashboard!$C10/12)</f>
        <v>141269.108901269</v>
      </c>
      <c r="H54" s="90" t="n">
        <f aca="false">H$53+Dashboard!$C26-F$53*(Dashboard!$C10/12)</f>
        <v>-141269.108901269</v>
      </c>
    </row>
    <row r="55" customFormat="false" ht="15" hidden="false" customHeight="true" outlineLevel="0" collapsed="false">
      <c r="A55" s="85" t="n">
        <f aca="false">INT((53-1)/12)+1</f>
        <v>5</v>
      </c>
      <c r="B55" s="85" t="n">
        <f aca="false">MOD(53-1,12)+1</f>
        <v>5</v>
      </c>
      <c r="C55" s="86" t="n">
        <f aca="false">Dashboard!$C26</f>
        <v>0</v>
      </c>
      <c r="D55" s="87" t="n">
        <f aca="false">Dashboard!$C26-F$54*(Dashboard!$C10/12)</f>
        <v>-3157.4031352574</v>
      </c>
      <c r="E55" s="88" t="n">
        <f aca="false">F$54*(Dashboard!$C10/12)</f>
        <v>3157.4031352574</v>
      </c>
      <c r="F55" s="86" t="n">
        <f aca="false">MAX(F$54-(Dashboard!$C26-F$54*(Dashboard!$C10/12)),0)</f>
        <v>544426.512036526</v>
      </c>
      <c r="G55" s="89" t="n">
        <f aca="false">G$54+F$54*(Dashboard!$C10/12)</f>
        <v>144426.512036526</v>
      </c>
      <c r="H55" s="90" t="n">
        <f aca="false">H$54+Dashboard!$C26-F$54*(Dashboard!$C10/12)</f>
        <v>-144426.512036526</v>
      </c>
    </row>
    <row r="56" customFormat="false" ht="15" hidden="false" customHeight="true" outlineLevel="0" collapsed="false">
      <c r="A56" s="85" t="n">
        <f aca="false">INT((54-1)/12)+1</f>
        <v>5</v>
      </c>
      <c r="B56" s="85" t="n">
        <f aca="false">MOD(54-1,12)+1</f>
        <v>6</v>
      </c>
      <c r="C56" s="86" t="n">
        <f aca="false">Dashboard!$C26</f>
        <v>0</v>
      </c>
      <c r="D56" s="87" t="n">
        <f aca="false">Dashboard!$C26-F$55*(Dashboard!$C10/12)</f>
        <v>-3175.82132021307</v>
      </c>
      <c r="E56" s="88" t="n">
        <f aca="false">F$55*(Dashboard!$C10/12)</f>
        <v>3175.82132021307</v>
      </c>
      <c r="F56" s="86" t="n">
        <f aca="false">MAX(F$55-(Dashboard!$C26-F$55*(Dashboard!$C10/12)),0)</f>
        <v>547602.333356739</v>
      </c>
      <c r="G56" s="89" t="n">
        <f aca="false">G$55+F$55*(Dashboard!$C10/12)</f>
        <v>147602.333356739</v>
      </c>
      <c r="H56" s="90" t="n">
        <f aca="false">H$55+Dashboard!$C26-F$55*(Dashboard!$C10/12)</f>
        <v>-147602.333356739</v>
      </c>
    </row>
    <row r="57" customFormat="false" ht="15" hidden="false" customHeight="true" outlineLevel="0" collapsed="false">
      <c r="A57" s="85" t="n">
        <f aca="false">INT((55-1)/12)+1</f>
        <v>5</v>
      </c>
      <c r="B57" s="85" t="n">
        <f aca="false">MOD(55-1,12)+1</f>
        <v>7</v>
      </c>
      <c r="C57" s="86" t="n">
        <f aca="false">Dashboard!$C26</f>
        <v>0</v>
      </c>
      <c r="D57" s="87" t="n">
        <f aca="false">Dashboard!$C26-F$56*(Dashboard!$C10/12)</f>
        <v>-3194.34694458098</v>
      </c>
      <c r="E57" s="88" t="n">
        <f aca="false">F$56*(Dashboard!$C10/12)</f>
        <v>3194.34694458098</v>
      </c>
      <c r="F57" s="86" t="n">
        <f aca="false">MAX(F$56-(Dashboard!$C26-F$56*(Dashboard!$C10/12)),0)</f>
        <v>550796.68030132</v>
      </c>
      <c r="G57" s="89" t="n">
        <f aca="false">G$56+F$56*(Dashboard!$C10/12)</f>
        <v>150796.68030132</v>
      </c>
      <c r="H57" s="90" t="n">
        <f aca="false">H$56+Dashboard!$C26-F$56*(Dashboard!$C10/12)</f>
        <v>-150796.68030132</v>
      </c>
    </row>
    <row r="58" customFormat="false" ht="15" hidden="false" customHeight="true" outlineLevel="0" collapsed="false">
      <c r="A58" s="85" t="n">
        <f aca="false">INT((56-1)/12)+1</f>
        <v>5</v>
      </c>
      <c r="B58" s="85" t="n">
        <f aca="false">MOD(56-1,12)+1</f>
        <v>8</v>
      </c>
      <c r="C58" s="86" t="n">
        <f aca="false">Dashboard!$C26</f>
        <v>0</v>
      </c>
      <c r="D58" s="87" t="n">
        <f aca="false">Dashboard!$C26-F$57*(Dashboard!$C10/12)</f>
        <v>-3212.98063509103</v>
      </c>
      <c r="E58" s="88" t="n">
        <f aca="false">F$57*(Dashboard!$C10/12)</f>
        <v>3212.98063509103</v>
      </c>
      <c r="F58" s="86" t="n">
        <f aca="false">MAX(F$57-(Dashboard!$C26-F$57*(Dashboard!$C10/12)),0)</f>
        <v>554009.660936411</v>
      </c>
      <c r="G58" s="89" t="n">
        <f aca="false">G$57+F$57*(Dashboard!$C10/12)</f>
        <v>154009.660936411</v>
      </c>
      <c r="H58" s="90" t="n">
        <f aca="false">H$57+Dashboard!$C26-F$57*(Dashboard!$C10/12)</f>
        <v>-154009.660936411</v>
      </c>
    </row>
    <row r="59" customFormat="false" ht="15" hidden="false" customHeight="true" outlineLevel="0" collapsed="false">
      <c r="A59" s="85" t="n">
        <f aca="false">INT((57-1)/12)+1</f>
        <v>5</v>
      </c>
      <c r="B59" s="85" t="n">
        <f aca="false">MOD(57-1,12)+1</f>
        <v>9</v>
      </c>
      <c r="C59" s="86" t="n">
        <f aca="false">Dashboard!$C26</f>
        <v>0</v>
      </c>
      <c r="D59" s="87" t="n">
        <f aca="false">Dashboard!$C26-F$58*(Dashboard!$C10/12)</f>
        <v>-3231.72302212906</v>
      </c>
      <c r="E59" s="88" t="n">
        <f aca="false">F$58*(Dashboard!$C10/12)</f>
        <v>3231.72302212906</v>
      </c>
      <c r="F59" s="86" t="n">
        <f aca="false">MAX(F$58-(Dashboard!$C26-F$58*(Dashboard!$C10/12)),0)</f>
        <v>557241.38395854</v>
      </c>
      <c r="G59" s="89" t="n">
        <f aca="false">G$58+F$58*(Dashboard!$C10/12)</f>
        <v>157241.38395854</v>
      </c>
      <c r="H59" s="90" t="n">
        <f aca="false">H$58+Dashboard!$C26-F$58*(Dashboard!$C10/12)</f>
        <v>-157241.38395854</v>
      </c>
    </row>
    <row r="60" customFormat="false" ht="15" hidden="false" customHeight="true" outlineLevel="0" collapsed="false">
      <c r="A60" s="85" t="n">
        <f aca="false">INT((58-1)/12)+1</f>
        <v>5</v>
      </c>
      <c r="B60" s="85" t="n">
        <f aca="false">MOD(58-1,12)+1</f>
        <v>10</v>
      </c>
      <c r="C60" s="86" t="n">
        <f aca="false">Dashboard!$C26</f>
        <v>0</v>
      </c>
      <c r="D60" s="87" t="n">
        <f aca="false">Dashboard!$C26-F$59*(Dashboard!$C10/12)</f>
        <v>-3250.57473975815</v>
      </c>
      <c r="E60" s="88" t="n">
        <f aca="false">F$59*(Dashboard!$C10/12)</f>
        <v>3250.57473975815</v>
      </c>
      <c r="F60" s="86" t="n">
        <f aca="false">MAX(F$59-(Dashboard!$C26-F$59*(Dashboard!$C10/12)),0)</f>
        <v>560491.958698298</v>
      </c>
      <c r="G60" s="89" t="n">
        <f aca="false">G$59+F$59*(Dashboard!$C10/12)</f>
        <v>160491.958698298</v>
      </c>
      <c r="H60" s="90" t="n">
        <f aca="false">H$59+Dashboard!$C26-F$59*(Dashboard!$C10/12)</f>
        <v>-160491.958698298</v>
      </c>
    </row>
    <row r="61" customFormat="false" ht="15" hidden="false" customHeight="true" outlineLevel="0" collapsed="false">
      <c r="A61" s="85" t="n">
        <f aca="false">INT((59-1)/12)+1</f>
        <v>5</v>
      </c>
      <c r="B61" s="85" t="n">
        <f aca="false">MOD(59-1,12)+1</f>
        <v>11</v>
      </c>
      <c r="C61" s="86" t="n">
        <f aca="false">Dashboard!$C26</f>
        <v>0</v>
      </c>
      <c r="D61" s="87" t="n">
        <f aca="false">Dashboard!$C26-F$60*(Dashboard!$C10/12)</f>
        <v>-3269.53642574007</v>
      </c>
      <c r="E61" s="88" t="n">
        <f aca="false">F$60*(Dashboard!$C10/12)</f>
        <v>3269.53642574007</v>
      </c>
      <c r="F61" s="86" t="n">
        <f aca="false">MAX(F$60-(Dashboard!$C26-F$60*(Dashboard!$C10/12)),0)</f>
        <v>563761.495124038</v>
      </c>
      <c r="G61" s="89" t="n">
        <f aca="false">G$60+F$60*(Dashboard!$C10/12)</f>
        <v>163761.495124038</v>
      </c>
      <c r="H61" s="90" t="n">
        <f aca="false">H$60+Dashboard!$C26-F$60*(Dashboard!$C10/12)</f>
        <v>-163761.495124038</v>
      </c>
    </row>
    <row r="62" customFormat="false" ht="15" hidden="false" customHeight="true" outlineLevel="0" collapsed="false">
      <c r="A62" s="91" t="n">
        <f aca="false">INT((60-1)/12)+1</f>
        <v>5</v>
      </c>
      <c r="B62" s="91" t="n">
        <f aca="false">MOD(60-1,12)+1</f>
        <v>12</v>
      </c>
      <c r="C62" s="92" t="n">
        <f aca="false">Dashboard!$C26</f>
        <v>0</v>
      </c>
      <c r="D62" s="93" t="n">
        <f aca="false">Dashboard!$C26-F$61*(Dashboard!$C10/12)</f>
        <v>-3288.60872155689</v>
      </c>
      <c r="E62" s="94" t="n">
        <f aca="false">F$61*(Dashboard!$C10/12)</f>
        <v>3288.60872155689</v>
      </c>
      <c r="F62" s="92" t="n">
        <f aca="false">MAX(F$61-(Dashboard!$C26-F$61*(Dashboard!$C10/12)),0)</f>
        <v>567050.103845595</v>
      </c>
      <c r="G62" s="95" t="n">
        <f aca="false">G$61+F$61*(Dashboard!$C10/12)</f>
        <v>167050.103845595</v>
      </c>
      <c r="H62" s="96" t="n">
        <f aca="false">H$61+Dashboard!$C26-F$61*(Dashboard!$C10/12)</f>
        <v>-167050.103845595</v>
      </c>
    </row>
    <row r="63" customFormat="false" ht="15" hidden="false" customHeight="true" outlineLevel="0" collapsed="false">
      <c r="A63" s="91" t="n">
        <f aca="false">INT((61-1)/12)+1</f>
        <v>6</v>
      </c>
      <c r="B63" s="91" t="n">
        <f aca="false">MOD(61-1,12)+1</f>
        <v>1</v>
      </c>
      <c r="C63" s="92" t="n">
        <f aca="false">Dashboard!$C26</f>
        <v>0</v>
      </c>
      <c r="D63" s="93" t="n">
        <f aca="false">Dashboard!$C26-F$62*(Dashboard!$C10/12)</f>
        <v>-3307.79227243264</v>
      </c>
      <c r="E63" s="94" t="n">
        <f aca="false">F$62*(Dashboard!$C10/12)</f>
        <v>3307.79227243264</v>
      </c>
      <c r="F63" s="92" t="n">
        <f aca="false">MAX(F$62-(Dashboard!$C26-F$62*(Dashboard!$C10/12)),0)</f>
        <v>570357.896118028</v>
      </c>
      <c r="G63" s="95" t="n">
        <f aca="false">G$62+F$62*(Dashboard!$C10/12)</f>
        <v>170357.896118028</v>
      </c>
      <c r="H63" s="96" t="n">
        <f aca="false">H$62+Dashboard!$C26-F$62*(Dashboard!$C10/12)</f>
        <v>-170357.896118028</v>
      </c>
    </row>
    <row r="64" customFormat="false" ht="15" hidden="false" customHeight="true" outlineLevel="0" collapsed="false">
      <c r="A64" s="91" t="n">
        <f aca="false">INT((62-1)/12)+1</f>
        <v>6</v>
      </c>
      <c r="B64" s="91" t="n">
        <f aca="false">MOD(62-1,12)+1</f>
        <v>2</v>
      </c>
      <c r="C64" s="92" t="n">
        <f aca="false">Dashboard!$C26</f>
        <v>0</v>
      </c>
      <c r="D64" s="93" t="n">
        <f aca="false">Dashboard!$C26-F$63*(Dashboard!$C10/12)</f>
        <v>-3327.08772735516</v>
      </c>
      <c r="E64" s="94" t="n">
        <f aca="false">F$63*(Dashboard!$C10/12)</f>
        <v>3327.08772735516</v>
      </c>
      <c r="F64" s="92" t="n">
        <f aca="false">MAX(F$63-(Dashboard!$C26-F$63*(Dashboard!$C10/12)),0)</f>
        <v>573684.983845383</v>
      </c>
      <c r="G64" s="95" t="n">
        <f aca="false">G$63+F$63*(Dashboard!$C10/12)</f>
        <v>173684.983845383</v>
      </c>
      <c r="H64" s="96" t="n">
        <f aca="false">H$63+Dashboard!$C26-F$63*(Dashboard!$C10/12)</f>
        <v>-173684.983845383</v>
      </c>
    </row>
    <row r="65" customFormat="false" ht="15" hidden="false" customHeight="true" outlineLevel="0" collapsed="false">
      <c r="A65" s="91" t="n">
        <f aca="false">INT((63-1)/12)+1</f>
        <v>6</v>
      </c>
      <c r="B65" s="91" t="n">
        <f aca="false">MOD(63-1,12)+1</f>
        <v>3</v>
      </c>
      <c r="C65" s="92" t="n">
        <f aca="false">Dashboard!$C26</f>
        <v>0</v>
      </c>
      <c r="D65" s="93" t="n">
        <f aca="false">Dashboard!$C26-F$64*(Dashboard!$C10/12)</f>
        <v>-3346.49573909807</v>
      </c>
      <c r="E65" s="94" t="n">
        <f aca="false">F$64*(Dashboard!$C10/12)</f>
        <v>3346.49573909807</v>
      </c>
      <c r="F65" s="92" t="n">
        <f aca="false">MAX(F$64-(Dashboard!$C26-F$64*(Dashboard!$C10/12)),0)</f>
        <v>577031.479584481</v>
      </c>
      <c r="G65" s="95" t="n">
        <f aca="false">G$64+F$64*(Dashboard!$C10/12)</f>
        <v>177031.479584481</v>
      </c>
      <c r="H65" s="96" t="n">
        <f aca="false">H$64+Dashboard!$C26-F$64*(Dashboard!$C10/12)</f>
        <v>-177031.479584481</v>
      </c>
    </row>
    <row r="66" customFormat="false" ht="15" hidden="false" customHeight="true" outlineLevel="0" collapsed="false">
      <c r="A66" s="91" t="n">
        <f aca="false">INT((64-1)/12)+1</f>
        <v>6</v>
      </c>
      <c r="B66" s="91" t="n">
        <f aca="false">MOD(64-1,12)+1</f>
        <v>4</v>
      </c>
      <c r="C66" s="92" t="n">
        <f aca="false">Dashboard!$C26</f>
        <v>0</v>
      </c>
      <c r="D66" s="93" t="n">
        <f aca="false">Dashboard!$C26-F$65*(Dashboard!$C10/12)</f>
        <v>-3366.01696424281</v>
      </c>
      <c r="E66" s="94" t="n">
        <f aca="false">F$65*(Dashboard!$C10/12)</f>
        <v>3366.01696424281</v>
      </c>
      <c r="F66" s="92" t="n">
        <f aca="false">MAX(F$65-(Dashboard!$C26-F$65*(Dashboard!$C10/12)),0)</f>
        <v>580397.496548724</v>
      </c>
      <c r="G66" s="95" t="n">
        <f aca="false">G$65+F$65*(Dashboard!$C10/12)</f>
        <v>180397.496548724</v>
      </c>
      <c r="H66" s="96" t="n">
        <f aca="false">H$65+Dashboard!$C26-F$65*(Dashboard!$C10/12)</f>
        <v>-180397.496548724</v>
      </c>
    </row>
    <row r="67" customFormat="false" ht="15" hidden="false" customHeight="true" outlineLevel="0" collapsed="false">
      <c r="A67" s="91" t="n">
        <f aca="false">INT((65-1)/12)+1</f>
        <v>6</v>
      </c>
      <c r="B67" s="91" t="n">
        <f aca="false">MOD(65-1,12)+1</f>
        <v>5</v>
      </c>
      <c r="C67" s="92" t="n">
        <f aca="false">Dashboard!$C26</f>
        <v>0</v>
      </c>
      <c r="D67" s="93" t="n">
        <f aca="false">Dashboard!$C26-F$66*(Dashboard!$C10/12)</f>
        <v>-3385.65206320089</v>
      </c>
      <c r="E67" s="94" t="n">
        <f aca="false">F$66*(Dashboard!$C10/12)</f>
        <v>3385.65206320089</v>
      </c>
      <c r="F67" s="92" t="n">
        <f aca="false">MAX(F$66-(Dashboard!$C26-F$66*(Dashboard!$C10/12)),0)</f>
        <v>583783.148611925</v>
      </c>
      <c r="G67" s="95" t="n">
        <f aca="false">G$66+F$66*(Dashboard!$C10/12)</f>
        <v>183783.148611925</v>
      </c>
      <c r="H67" s="96" t="n">
        <f aca="false">H$66+Dashboard!$C26-F$66*(Dashboard!$C10/12)</f>
        <v>-183783.148611925</v>
      </c>
    </row>
    <row r="68" customFormat="false" ht="15" hidden="false" customHeight="true" outlineLevel="0" collapsed="false">
      <c r="A68" s="91" t="n">
        <f aca="false">INT((66-1)/12)+1</f>
        <v>6</v>
      </c>
      <c r="B68" s="91" t="n">
        <f aca="false">MOD(66-1,12)+1</f>
        <v>6</v>
      </c>
      <c r="C68" s="92" t="n">
        <f aca="false">Dashboard!$C26</f>
        <v>0</v>
      </c>
      <c r="D68" s="93" t="n">
        <f aca="false">Dashboard!$C26-F$67*(Dashboard!$C10/12)</f>
        <v>-3405.40170023623</v>
      </c>
      <c r="E68" s="94" t="n">
        <f aca="false">F$67*(Dashboard!$C10/12)</f>
        <v>3405.40170023623</v>
      </c>
      <c r="F68" s="92" t="n">
        <f aca="false">MAX(F$67-(Dashboard!$C26-F$67*(Dashboard!$C10/12)),0)</f>
        <v>587188.550312161</v>
      </c>
      <c r="G68" s="95" t="n">
        <f aca="false">G$67+F$67*(Dashboard!$C10/12)</f>
        <v>187188.550312161</v>
      </c>
      <c r="H68" s="96" t="n">
        <f aca="false">H$67+Dashboard!$C26-F$67*(Dashboard!$C10/12)</f>
        <v>-187188.550312161</v>
      </c>
    </row>
    <row r="69" customFormat="false" ht="15" hidden="false" customHeight="true" outlineLevel="0" collapsed="false">
      <c r="A69" s="91" t="n">
        <f aca="false">INT((67-1)/12)+1</f>
        <v>6</v>
      </c>
      <c r="B69" s="91" t="n">
        <f aca="false">MOD(67-1,12)+1</f>
        <v>7</v>
      </c>
      <c r="C69" s="92" t="n">
        <f aca="false">Dashboard!$C26</f>
        <v>0</v>
      </c>
      <c r="D69" s="93" t="n">
        <f aca="false">Dashboard!$C26-F$68*(Dashboard!$C10/12)</f>
        <v>-3425.2665434876</v>
      </c>
      <c r="E69" s="94" t="n">
        <f aca="false">F$68*(Dashboard!$C10/12)</f>
        <v>3425.2665434876</v>
      </c>
      <c r="F69" s="92" t="n">
        <f aca="false">MAX(F$68-(Dashboard!$C26-F$68*(Dashboard!$C10/12)),0)</f>
        <v>590613.816855648</v>
      </c>
      <c r="G69" s="95" t="n">
        <f aca="false">G$68+F$68*(Dashboard!$C10/12)</f>
        <v>190613.816855649</v>
      </c>
      <c r="H69" s="96" t="n">
        <f aca="false">H$68+Dashboard!$C26-F$68*(Dashboard!$C10/12)</f>
        <v>-190613.816855649</v>
      </c>
    </row>
    <row r="70" customFormat="false" ht="15" hidden="false" customHeight="true" outlineLevel="0" collapsed="false">
      <c r="A70" s="91" t="n">
        <f aca="false">INT((68-1)/12)+1</f>
        <v>6</v>
      </c>
      <c r="B70" s="91" t="n">
        <f aca="false">MOD(68-1,12)+1</f>
        <v>8</v>
      </c>
      <c r="C70" s="92" t="n">
        <f aca="false">Dashboard!$C26</f>
        <v>0</v>
      </c>
      <c r="D70" s="93" t="n">
        <f aca="false">Dashboard!$C26-F$69*(Dashboard!$C10/12)</f>
        <v>-3445.24726499128</v>
      </c>
      <c r="E70" s="94" t="n">
        <f aca="false">F$69*(Dashboard!$C10/12)</f>
        <v>3445.24726499128</v>
      </c>
      <c r="F70" s="92" t="n">
        <f aca="false">MAX(F$69-(Dashboard!$C26-F$69*(Dashboard!$C10/12)),0)</f>
        <v>594059.06412064</v>
      </c>
      <c r="G70" s="95" t="n">
        <f aca="false">G$69+F$69*(Dashboard!$C10/12)</f>
        <v>194059.06412064</v>
      </c>
      <c r="H70" s="96" t="n">
        <f aca="false">H$69+Dashboard!$C26-F$69*(Dashboard!$C10/12)</f>
        <v>-194059.06412064</v>
      </c>
    </row>
    <row r="71" customFormat="false" ht="15" hidden="false" customHeight="true" outlineLevel="0" collapsed="false">
      <c r="A71" s="91" t="n">
        <f aca="false">INT((69-1)/12)+1</f>
        <v>6</v>
      </c>
      <c r="B71" s="91" t="n">
        <f aca="false">MOD(69-1,12)+1</f>
        <v>9</v>
      </c>
      <c r="C71" s="92" t="n">
        <f aca="false">Dashboard!$C26</f>
        <v>0</v>
      </c>
      <c r="D71" s="93" t="n">
        <f aca="false">Dashboard!$C26-F$70*(Dashboard!$C10/12)</f>
        <v>-3465.34454070373</v>
      </c>
      <c r="E71" s="94" t="n">
        <f aca="false">F$70*(Dashboard!$C10/12)</f>
        <v>3465.34454070373</v>
      </c>
      <c r="F71" s="92" t="n">
        <f aca="false">MAX(F$70-(Dashboard!$C26-F$70*(Dashboard!$C10/12)),0)</f>
        <v>597524.408661343</v>
      </c>
      <c r="G71" s="95" t="n">
        <f aca="false">G$70+F$70*(Dashboard!$C10/12)</f>
        <v>197524.408661344</v>
      </c>
      <c r="H71" s="96" t="n">
        <f aca="false">H$70+Dashboard!$C26-F$70*(Dashboard!$C10/12)</f>
        <v>-197524.408661344</v>
      </c>
    </row>
    <row r="72" customFormat="false" ht="15" hidden="false" customHeight="true" outlineLevel="0" collapsed="false">
      <c r="A72" s="91" t="n">
        <f aca="false">INT((70-1)/12)+1</f>
        <v>6</v>
      </c>
      <c r="B72" s="91" t="n">
        <f aca="false">MOD(70-1,12)+1</f>
        <v>10</v>
      </c>
      <c r="C72" s="92" t="n">
        <f aca="false">Dashboard!$C26</f>
        <v>0</v>
      </c>
      <c r="D72" s="93" t="n">
        <f aca="false">Dashboard!$C26-F$71*(Dashboard!$C10/12)</f>
        <v>-3485.5590505245</v>
      </c>
      <c r="E72" s="94" t="n">
        <f aca="false">F$71*(Dashboard!$C10/12)</f>
        <v>3485.5590505245</v>
      </c>
      <c r="F72" s="92" t="n">
        <f aca="false">MAX(F$71-(Dashboard!$C26-F$71*(Dashboard!$C10/12)),0)</f>
        <v>601009.967711868</v>
      </c>
      <c r="G72" s="95" t="n">
        <f aca="false">G$71+F$71*(Dashboard!$C10/12)</f>
        <v>201009.967711868</v>
      </c>
      <c r="H72" s="96" t="n">
        <f aca="false">H$71+Dashboard!$C26-F$71*(Dashboard!$C10/12)</f>
        <v>-201009.967711868</v>
      </c>
    </row>
    <row r="73" customFormat="false" ht="15" hidden="false" customHeight="true" outlineLevel="0" collapsed="false">
      <c r="A73" s="91" t="n">
        <f aca="false">INT((71-1)/12)+1</f>
        <v>6</v>
      </c>
      <c r="B73" s="91" t="n">
        <f aca="false">MOD(71-1,12)+1</f>
        <v>11</v>
      </c>
      <c r="C73" s="92" t="n">
        <f aca="false">Dashboard!$C26</f>
        <v>0</v>
      </c>
      <c r="D73" s="93" t="n">
        <f aca="false">Dashboard!$C26-F$72*(Dashboard!$C10/12)</f>
        <v>-3505.89147831923</v>
      </c>
      <c r="E73" s="94" t="n">
        <f aca="false">F$72*(Dashboard!$C10/12)</f>
        <v>3505.89147831923</v>
      </c>
      <c r="F73" s="92" t="n">
        <f aca="false">MAX(F$72-(Dashboard!$C26-F$72*(Dashboard!$C10/12)),0)</f>
        <v>604515.859190187</v>
      </c>
      <c r="G73" s="95" t="n">
        <f aca="false">G$72+F$72*(Dashboard!$C10/12)</f>
        <v>204515.859190187</v>
      </c>
      <c r="H73" s="96" t="n">
        <f aca="false">H$72+Dashboard!$C26-F$72*(Dashboard!$C10/12)</f>
        <v>-204515.859190187</v>
      </c>
    </row>
    <row r="74" customFormat="false" ht="15" hidden="false" customHeight="true" outlineLevel="0" collapsed="false">
      <c r="A74" s="85" t="n">
        <f aca="false">INT((72-1)/12)+1</f>
        <v>6</v>
      </c>
      <c r="B74" s="85" t="n">
        <f aca="false">MOD(72-1,12)+1</f>
        <v>12</v>
      </c>
      <c r="C74" s="86" t="n">
        <f aca="false">Dashboard!$C26</f>
        <v>0</v>
      </c>
      <c r="D74" s="87" t="n">
        <f aca="false">Dashboard!$C26-F$73*(Dashboard!$C10/12)</f>
        <v>-3526.34251194276</v>
      </c>
      <c r="E74" s="88" t="n">
        <f aca="false">F$73*(Dashboard!$C10/12)</f>
        <v>3526.34251194276</v>
      </c>
      <c r="F74" s="86" t="n">
        <f aca="false">MAX(F$73-(Dashboard!$C26-F$73*(Dashboard!$C10/12)),0)</f>
        <v>608042.20170213</v>
      </c>
      <c r="G74" s="89" t="n">
        <f aca="false">G$73+F$73*(Dashboard!$C10/12)</f>
        <v>208042.20170213</v>
      </c>
      <c r="H74" s="90" t="n">
        <f aca="false">H$73+Dashboard!$C26-F$73*(Dashboard!$C10/12)</f>
        <v>-208042.20170213</v>
      </c>
    </row>
    <row r="75" customFormat="false" ht="15" hidden="false" customHeight="true" outlineLevel="0" collapsed="false">
      <c r="A75" s="85" t="n">
        <f aca="false">INT((73-1)/12)+1</f>
        <v>7</v>
      </c>
      <c r="B75" s="85" t="n">
        <f aca="false">MOD(73-1,12)+1</f>
        <v>1</v>
      </c>
      <c r="C75" s="86" t="n">
        <f aca="false">Dashboard!$C26</f>
        <v>0</v>
      </c>
      <c r="D75" s="87" t="n">
        <f aca="false">Dashboard!$C26-F$74*(Dashboard!$C10/12)</f>
        <v>-3546.91284326242</v>
      </c>
      <c r="E75" s="88" t="n">
        <f aca="false">F$74*(Dashboard!$C10/12)</f>
        <v>3546.91284326242</v>
      </c>
      <c r="F75" s="86" t="n">
        <f aca="false">MAX(F$74-(Dashboard!$C26-F$74*(Dashboard!$C10/12)),0)</f>
        <v>611589.114545392</v>
      </c>
      <c r="G75" s="89" t="n">
        <f aca="false">G$74+F$74*(Dashboard!$C10/12)</f>
        <v>211589.114545393</v>
      </c>
      <c r="H75" s="90" t="n">
        <f aca="false">H$74+Dashboard!$C26-F$74*(Dashboard!$C10/12)</f>
        <v>-211589.114545393</v>
      </c>
    </row>
    <row r="76" customFormat="false" ht="15" hidden="false" customHeight="true" outlineLevel="0" collapsed="false">
      <c r="A76" s="85" t="n">
        <f aca="false">INT((74-1)/12)+1</f>
        <v>7</v>
      </c>
      <c r="B76" s="85" t="n">
        <f aca="false">MOD(74-1,12)+1</f>
        <v>2</v>
      </c>
      <c r="C76" s="86" t="n">
        <f aca="false">Dashboard!$C26</f>
        <v>0</v>
      </c>
      <c r="D76" s="87" t="n">
        <f aca="false">Dashboard!$C26-F$75*(Dashboard!$C10/12)</f>
        <v>-3567.60316818145</v>
      </c>
      <c r="E76" s="88" t="n">
        <f aca="false">F$75*(Dashboard!$C10/12)</f>
        <v>3567.60316818145</v>
      </c>
      <c r="F76" s="86" t="n">
        <f aca="false">MAX(F$75-(Dashboard!$C26-F$75*(Dashboard!$C10/12)),0)</f>
        <v>615156.717713574</v>
      </c>
      <c r="G76" s="89" t="n">
        <f aca="false">G$75+F$75*(Dashboard!$C10/12)</f>
        <v>215156.717713574</v>
      </c>
      <c r="H76" s="90" t="n">
        <f aca="false">H$75+Dashboard!$C26-F$75*(Dashboard!$C10/12)</f>
        <v>-215156.717713574</v>
      </c>
    </row>
    <row r="77" customFormat="false" ht="15" hidden="false" customHeight="true" outlineLevel="0" collapsed="false">
      <c r="A77" s="85" t="n">
        <f aca="false">INT((75-1)/12)+1</f>
        <v>7</v>
      </c>
      <c r="B77" s="85" t="n">
        <f aca="false">MOD(75-1,12)+1</f>
        <v>3</v>
      </c>
      <c r="C77" s="86" t="n">
        <f aca="false">Dashboard!$C26</f>
        <v>0</v>
      </c>
      <c r="D77" s="87" t="n">
        <f aca="false">Dashboard!$C26-F$76*(Dashboard!$C10/12)</f>
        <v>-3588.41418666251</v>
      </c>
      <c r="E77" s="88" t="n">
        <f aca="false">F$76*(Dashboard!$C10/12)</f>
        <v>3588.41418666251</v>
      </c>
      <c r="F77" s="86" t="n">
        <f aca="false">MAX(F$76-(Dashboard!$C26-F$76*(Dashboard!$C10/12)),0)</f>
        <v>618745.131900236</v>
      </c>
      <c r="G77" s="89" t="n">
        <f aca="false">G$76+F$76*(Dashboard!$C10/12)</f>
        <v>218745.131900236</v>
      </c>
      <c r="H77" s="90" t="n">
        <f aca="false">H$76+Dashboard!$C26-F$76*(Dashboard!$C10/12)</f>
        <v>-218745.131900236</v>
      </c>
    </row>
    <row r="78" customFormat="false" ht="15" hidden="false" customHeight="true" outlineLevel="0" collapsed="false">
      <c r="A78" s="85" t="n">
        <f aca="false">INT((76-1)/12)+1</f>
        <v>7</v>
      </c>
      <c r="B78" s="85" t="n">
        <f aca="false">MOD(76-1,12)+1</f>
        <v>4</v>
      </c>
      <c r="C78" s="86" t="n">
        <f aca="false">Dashboard!$C26</f>
        <v>0</v>
      </c>
      <c r="D78" s="87" t="n">
        <f aca="false">Dashboard!$C26-F$77*(Dashboard!$C10/12)</f>
        <v>-3609.34660275138</v>
      </c>
      <c r="E78" s="88" t="n">
        <f aca="false">F$77*(Dashboard!$C10/12)</f>
        <v>3609.34660275138</v>
      </c>
      <c r="F78" s="86" t="n">
        <f aca="false">MAX(F$77-(Dashboard!$C26-F$77*(Dashboard!$C10/12)),0)</f>
        <v>622354.478502988</v>
      </c>
      <c r="G78" s="89" t="n">
        <f aca="false">G$77+F$77*(Dashboard!$C10/12)</f>
        <v>222354.478502988</v>
      </c>
      <c r="H78" s="90" t="n">
        <f aca="false">H$77+Dashboard!$C26-F$77*(Dashboard!$C10/12)</f>
        <v>-222354.478502988</v>
      </c>
    </row>
    <row r="79" customFormat="false" ht="15" hidden="false" customHeight="true" outlineLevel="0" collapsed="false">
      <c r="A79" s="85" t="n">
        <f aca="false">INT((77-1)/12)+1</f>
        <v>7</v>
      </c>
      <c r="B79" s="85" t="n">
        <f aca="false">MOD(77-1,12)+1</f>
        <v>5</v>
      </c>
      <c r="C79" s="86" t="n">
        <f aca="false">Dashboard!$C26</f>
        <v>0</v>
      </c>
      <c r="D79" s="87" t="n">
        <f aca="false">Dashboard!$C26-F$78*(Dashboard!$C10/12)</f>
        <v>-3630.40112460076</v>
      </c>
      <c r="E79" s="88" t="n">
        <f aca="false">F$78*(Dashboard!$C10/12)</f>
        <v>3630.40112460076</v>
      </c>
      <c r="F79" s="86" t="n">
        <f aca="false">MAX(F$78-(Dashboard!$C26-F$78*(Dashboard!$C10/12)),0)</f>
        <v>625984.879627588</v>
      </c>
      <c r="G79" s="89" t="n">
        <f aca="false">G$78+F$78*(Dashboard!$C10/12)</f>
        <v>225984.879627589</v>
      </c>
      <c r="H79" s="90" t="n">
        <f aca="false">H$78+Dashboard!$C26-F$78*(Dashboard!$C10/12)</f>
        <v>-225984.879627589</v>
      </c>
    </row>
    <row r="80" customFormat="false" ht="15" hidden="false" customHeight="true" outlineLevel="0" collapsed="false">
      <c r="A80" s="85" t="n">
        <f aca="false">INT((78-1)/12)+1</f>
        <v>7</v>
      </c>
      <c r="B80" s="85" t="n">
        <f aca="false">MOD(78-1,12)+1</f>
        <v>6</v>
      </c>
      <c r="C80" s="86" t="n">
        <f aca="false">Dashboard!$C26</f>
        <v>0</v>
      </c>
      <c r="D80" s="87" t="n">
        <f aca="false">Dashboard!$C26-F$79*(Dashboard!$C10/12)</f>
        <v>-3651.57846449427</v>
      </c>
      <c r="E80" s="88" t="n">
        <f aca="false">F$79*(Dashboard!$C10/12)</f>
        <v>3651.57846449427</v>
      </c>
      <c r="F80" s="86" t="n">
        <f aca="false">MAX(F$79-(Dashboard!$C26-F$79*(Dashboard!$C10/12)),0)</f>
        <v>629636.458092083</v>
      </c>
      <c r="G80" s="89" t="n">
        <f aca="false">G$79+F$79*(Dashboard!$C10/12)</f>
        <v>229636.458092083</v>
      </c>
      <c r="H80" s="90" t="n">
        <f aca="false">H$79+Dashboard!$C26-F$79*(Dashboard!$C10/12)</f>
        <v>-229636.458092083</v>
      </c>
    </row>
    <row r="81" customFormat="false" ht="15" hidden="false" customHeight="true" outlineLevel="0" collapsed="false">
      <c r="A81" s="85" t="n">
        <f aca="false">INT((79-1)/12)+1</f>
        <v>7</v>
      </c>
      <c r="B81" s="85" t="n">
        <f aca="false">MOD(79-1,12)+1</f>
        <v>7</v>
      </c>
      <c r="C81" s="86" t="n">
        <f aca="false">Dashboard!$C26</f>
        <v>0</v>
      </c>
      <c r="D81" s="87" t="n">
        <f aca="false">Dashboard!$C26-F$80*(Dashboard!$C10/12)</f>
        <v>-3672.87933887048</v>
      </c>
      <c r="E81" s="88" t="n">
        <f aca="false">F$80*(Dashboard!$C10/12)</f>
        <v>3672.87933887048</v>
      </c>
      <c r="F81" s="86" t="n">
        <f aca="false">MAX(F$80-(Dashboard!$C26-F$80*(Dashboard!$C10/12)),0)</f>
        <v>633309.337430953</v>
      </c>
      <c r="G81" s="89" t="n">
        <f aca="false">G$80+F$80*(Dashboard!$C10/12)</f>
        <v>233309.337430953</v>
      </c>
      <c r="H81" s="90" t="n">
        <f aca="false">H$80+Dashboard!$C26-F$80*(Dashboard!$C10/12)</f>
        <v>-233309.337430953</v>
      </c>
    </row>
    <row r="82" customFormat="false" ht="15" hidden="false" customHeight="true" outlineLevel="0" collapsed="false">
      <c r="A82" s="85" t="n">
        <f aca="false">INT((80-1)/12)+1</f>
        <v>7</v>
      </c>
      <c r="B82" s="85" t="n">
        <f aca="false">MOD(80-1,12)+1</f>
        <v>8</v>
      </c>
      <c r="C82" s="86" t="n">
        <f aca="false">Dashboard!$C26</f>
        <v>0</v>
      </c>
      <c r="D82" s="87" t="n">
        <f aca="false">Dashboard!$C26-F$81*(Dashboard!$C10/12)</f>
        <v>-3694.30446834723</v>
      </c>
      <c r="E82" s="88" t="n">
        <f aca="false">F$81*(Dashboard!$C10/12)</f>
        <v>3694.30446834723</v>
      </c>
      <c r="F82" s="86" t="n">
        <f aca="false">MAX(F$81-(Dashboard!$C26-F$81*(Dashboard!$C10/12)),0)</f>
        <v>637003.6418993</v>
      </c>
      <c r="G82" s="89" t="n">
        <f aca="false">G$81+F$81*(Dashboard!$C10/12)</f>
        <v>237003.641899301</v>
      </c>
      <c r="H82" s="90" t="n">
        <f aca="false">H$81+Dashboard!$C26-F$81*(Dashboard!$C10/12)</f>
        <v>-237003.641899301</v>
      </c>
    </row>
    <row r="83" customFormat="false" ht="15" hidden="false" customHeight="true" outlineLevel="0" collapsed="false">
      <c r="A83" s="85" t="n">
        <f aca="false">INT((81-1)/12)+1</f>
        <v>7</v>
      </c>
      <c r="B83" s="85" t="n">
        <f aca="false">MOD(81-1,12)+1</f>
        <v>9</v>
      </c>
      <c r="C83" s="86" t="n">
        <f aca="false">Dashboard!$C26</f>
        <v>0</v>
      </c>
      <c r="D83" s="87" t="n">
        <f aca="false">Dashboard!$C26-F$82*(Dashboard!$C10/12)</f>
        <v>-3715.85457774592</v>
      </c>
      <c r="E83" s="88" t="n">
        <f aca="false">F$82*(Dashboard!$C10/12)</f>
        <v>3715.85457774592</v>
      </c>
      <c r="F83" s="86" t="n">
        <f aca="false">MAX(F$82-(Dashboard!$C26-F$82*(Dashboard!$C10/12)),0)</f>
        <v>640719.496477046</v>
      </c>
      <c r="G83" s="89" t="n">
        <f aca="false">G$82+F$82*(Dashboard!$C10/12)</f>
        <v>240719.496477047</v>
      </c>
      <c r="H83" s="90" t="n">
        <f aca="false">H$82+Dashboard!$C26-F$82*(Dashboard!$C10/12)</f>
        <v>-240719.496477047</v>
      </c>
    </row>
    <row r="84" customFormat="false" ht="15" hidden="false" customHeight="true" outlineLevel="0" collapsed="false">
      <c r="A84" s="85" t="n">
        <f aca="false">INT((82-1)/12)+1</f>
        <v>7</v>
      </c>
      <c r="B84" s="85" t="n">
        <f aca="false">MOD(82-1,12)+1</f>
        <v>10</v>
      </c>
      <c r="C84" s="86" t="n">
        <f aca="false">Dashboard!$C26</f>
        <v>0</v>
      </c>
      <c r="D84" s="87" t="n">
        <f aca="false">Dashboard!$C26-F$83*(Dashboard!$C10/12)</f>
        <v>-3737.5303961161</v>
      </c>
      <c r="E84" s="88" t="n">
        <f aca="false">F$83*(Dashboard!$C10/12)</f>
        <v>3737.5303961161</v>
      </c>
      <c r="F84" s="86" t="n">
        <f aca="false">MAX(F$83-(Dashboard!$C26-F$83*(Dashboard!$C10/12)),0)</f>
        <v>644457.026873162</v>
      </c>
      <c r="G84" s="89" t="n">
        <f aca="false">G$83+F$83*(Dashboard!$C10/12)</f>
        <v>244457.026873163</v>
      </c>
      <c r="H84" s="90" t="n">
        <f aca="false">H$83+Dashboard!$C26-F$83*(Dashboard!$C10/12)</f>
        <v>-244457.026873163</v>
      </c>
    </row>
    <row r="85" customFormat="false" ht="15" hidden="false" customHeight="true" outlineLevel="0" collapsed="false">
      <c r="A85" s="85" t="n">
        <f aca="false">INT((83-1)/12)+1</f>
        <v>7</v>
      </c>
      <c r="B85" s="85" t="n">
        <f aca="false">MOD(83-1,12)+1</f>
        <v>11</v>
      </c>
      <c r="C85" s="86" t="n">
        <f aca="false">Dashboard!$C26</f>
        <v>0</v>
      </c>
      <c r="D85" s="87" t="n">
        <f aca="false">Dashboard!$C26-F$84*(Dashboard!$C10/12)</f>
        <v>-3759.33265676011</v>
      </c>
      <c r="E85" s="88" t="n">
        <f aca="false">F$84*(Dashboard!$C10/12)</f>
        <v>3759.33265676011</v>
      </c>
      <c r="F85" s="86" t="n">
        <f aca="false">MAX(F$84-(Dashboard!$C26-F$84*(Dashboard!$C10/12)),0)</f>
        <v>648216.359529923</v>
      </c>
      <c r="G85" s="89" t="n">
        <f aca="false">G$84+F$84*(Dashboard!$C10/12)</f>
        <v>248216.359529923</v>
      </c>
      <c r="H85" s="90" t="n">
        <f aca="false">H$84+Dashboard!$C26-F$84*(Dashboard!$C10/12)</f>
        <v>-248216.359529923</v>
      </c>
    </row>
    <row r="86" customFormat="false" ht="15" hidden="false" customHeight="true" outlineLevel="0" collapsed="false">
      <c r="A86" s="91" t="n">
        <f aca="false">INT((84-1)/12)+1</f>
        <v>7</v>
      </c>
      <c r="B86" s="91" t="n">
        <f aca="false">MOD(84-1,12)+1</f>
        <v>12</v>
      </c>
      <c r="C86" s="92" t="n">
        <f aca="false">Dashboard!$C26</f>
        <v>0</v>
      </c>
      <c r="D86" s="93" t="n">
        <f aca="false">Dashboard!$C26-F$85*(Dashboard!$C10/12)</f>
        <v>-3781.26209725788</v>
      </c>
      <c r="E86" s="94" t="n">
        <f aca="false">F$85*(Dashboard!$C10/12)</f>
        <v>3781.26209725788</v>
      </c>
      <c r="F86" s="92" t="n">
        <f aca="false">MAX(F$85-(Dashboard!$C26-F$85*(Dashboard!$C10/12)),0)</f>
        <v>651997.62162718</v>
      </c>
      <c r="G86" s="95" t="n">
        <f aca="false">G$85+F$85*(Dashboard!$C10/12)</f>
        <v>251997.621627181</v>
      </c>
      <c r="H86" s="96" t="n">
        <f aca="false">H$85+Dashboard!$C26-F$85*(Dashboard!$C10/12)</f>
        <v>-251997.621627181</v>
      </c>
    </row>
    <row r="87" customFormat="false" ht="15" hidden="false" customHeight="true" outlineLevel="0" collapsed="false">
      <c r="A87" s="91" t="n">
        <f aca="false">INT((85-1)/12)+1</f>
        <v>8</v>
      </c>
      <c r="B87" s="91" t="n">
        <f aca="false">MOD(85-1,12)+1</f>
        <v>1</v>
      </c>
      <c r="C87" s="92" t="n">
        <f aca="false">Dashboard!$C26</f>
        <v>0</v>
      </c>
      <c r="D87" s="93" t="n">
        <f aca="false">Dashboard!$C26-F$86*(Dashboard!$C10/12)</f>
        <v>-3803.31945949189</v>
      </c>
      <c r="E87" s="94" t="n">
        <f aca="false">F$86*(Dashboard!$C10/12)</f>
        <v>3803.31945949189</v>
      </c>
      <c r="F87" s="92" t="n">
        <f aca="false">MAX(F$86-(Dashboard!$C26-F$86*(Dashboard!$C10/12)),0)</f>
        <v>655800.941086672</v>
      </c>
      <c r="G87" s="95" t="n">
        <f aca="false">G$86+F$86*(Dashboard!$C10/12)</f>
        <v>255800.941086673</v>
      </c>
      <c r="H87" s="96" t="n">
        <f aca="false">H$86+Dashboard!$C26-F$86*(Dashboard!$C10/12)</f>
        <v>-255800.941086673</v>
      </c>
    </row>
    <row r="88" customFormat="false" ht="15" hidden="false" customHeight="true" outlineLevel="0" collapsed="false">
      <c r="A88" s="91" t="n">
        <f aca="false">INT((86-1)/12)+1</f>
        <v>8</v>
      </c>
      <c r="B88" s="91" t="n">
        <f aca="false">MOD(86-1,12)+1</f>
        <v>2</v>
      </c>
      <c r="C88" s="92" t="n">
        <f aca="false">Dashboard!$C26</f>
        <v>0</v>
      </c>
      <c r="D88" s="93" t="n">
        <f aca="false">Dashboard!$C26-F$87*(Dashboard!$C10/12)</f>
        <v>-3825.50548967226</v>
      </c>
      <c r="E88" s="94" t="n">
        <f aca="false">F$87*(Dashboard!$C10/12)</f>
        <v>3825.50548967226</v>
      </c>
      <c r="F88" s="92" t="n">
        <f aca="false">MAX(F$87-(Dashboard!$C26-F$87*(Dashboard!$C10/12)),0)</f>
        <v>659626.446576345</v>
      </c>
      <c r="G88" s="95" t="n">
        <f aca="false">G$87+F$87*(Dashboard!$C10/12)</f>
        <v>259626.446576345</v>
      </c>
      <c r="H88" s="96" t="n">
        <f aca="false">H$87+Dashboard!$C26-F$87*(Dashboard!$C10/12)</f>
        <v>-259626.446576345</v>
      </c>
    </row>
    <row r="89" customFormat="false" ht="15" hidden="false" customHeight="true" outlineLevel="0" collapsed="false">
      <c r="A89" s="91" t="n">
        <f aca="false">INT((87-1)/12)+1</f>
        <v>8</v>
      </c>
      <c r="B89" s="91" t="n">
        <f aca="false">MOD(87-1,12)+1</f>
        <v>3</v>
      </c>
      <c r="C89" s="92" t="n">
        <f aca="false">Dashboard!$C26</f>
        <v>0</v>
      </c>
      <c r="D89" s="93" t="n">
        <f aca="false">Dashboard!$C26-F$88*(Dashboard!$C10/12)</f>
        <v>-3847.82093836201</v>
      </c>
      <c r="E89" s="94" t="n">
        <f aca="false">F$88*(Dashboard!$C10/12)</f>
        <v>3847.82093836201</v>
      </c>
      <c r="F89" s="92" t="n">
        <f aca="false">MAX(F$88-(Dashboard!$C26-F$88*(Dashboard!$C10/12)),0)</f>
        <v>663474.267514707</v>
      </c>
      <c r="G89" s="95" t="n">
        <f aca="false">G$88+F$88*(Dashboard!$C10/12)</f>
        <v>263474.267514707</v>
      </c>
      <c r="H89" s="96" t="n">
        <f aca="false">H$88+Dashboard!$C26-F$88*(Dashboard!$C10/12)</f>
        <v>-263474.267514707</v>
      </c>
    </row>
    <row r="90" customFormat="false" ht="15" hidden="false" customHeight="true" outlineLevel="0" collapsed="false">
      <c r="A90" s="91" t="n">
        <f aca="false">INT((88-1)/12)+1</f>
        <v>8</v>
      </c>
      <c r="B90" s="91" t="n">
        <f aca="false">MOD(88-1,12)+1</f>
        <v>4</v>
      </c>
      <c r="C90" s="92" t="n">
        <f aca="false">Dashboard!$C26</f>
        <v>0</v>
      </c>
      <c r="D90" s="93" t="n">
        <f aca="false">Dashboard!$C26-F$89*(Dashboard!$C10/12)</f>
        <v>-3870.26656050246</v>
      </c>
      <c r="E90" s="94" t="n">
        <f aca="false">F$89*(Dashboard!$C10/12)</f>
        <v>3870.26656050246</v>
      </c>
      <c r="F90" s="92" t="n">
        <f aca="false">MAX(F$89-(Dashboard!$C26-F$89*(Dashboard!$C10/12)),0)</f>
        <v>667344.534075209</v>
      </c>
      <c r="G90" s="95" t="n">
        <f aca="false">G$89+F$89*(Dashboard!$C10/12)</f>
        <v>267344.534075209</v>
      </c>
      <c r="H90" s="96" t="n">
        <f aca="false">H$89+Dashboard!$C26-F$89*(Dashboard!$C10/12)</f>
        <v>-267344.534075209</v>
      </c>
    </row>
    <row r="91" customFormat="false" ht="15" hidden="false" customHeight="true" outlineLevel="0" collapsed="false">
      <c r="A91" s="91" t="n">
        <f aca="false">INT((89-1)/12)+1</f>
        <v>8</v>
      </c>
      <c r="B91" s="91" t="n">
        <f aca="false">MOD(89-1,12)+1</f>
        <v>5</v>
      </c>
      <c r="C91" s="92" t="n">
        <f aca="false">Dashboard!$C26</f>
        <v>0</v>
      </c>
      <c r="D91" s="93" t="n">
        <f aca="false">Dashboard!$C26-F$90*(Dashboard!$C10/12)</f>
        <v>-3892.84311543872</v>
      </c>
      <c r="E91" s="94" t="n">
        <f aca="false">F$90*(Dashboard!$C10/12)</f>
        <v>3892.84311543872</v>
      </c>
      <c r="F91" s="92" t="n">
        <f aca="false">MAX(F$90-(Dashboard!$C26-F$90*(Dashboard!$C10/12)),0)</f>
        <v>671237.377190648</v>
      </c>
      <c r="G91" s="95" t="n">
        <f aca="false">G$90+F$90*(Dashboard!$C10/12)</f>
        <v>271237.377190648</v>
      </c>
      <c r="H91" s="96" t="n">
        <f aca="false">H$90+Dashboard!$C26-F$90*(Dashboard!$C10/12)</f>
        <v>-271237.377190648</v>
      </c>
    </row>
    <row r="92" customFormat="false" ht="15" hidden="false" customHeight="true" outlineLevel="0" collapsed="false">
      <c r="A92" s="91" t="n">
        <f aca="false">INT((90-1)/12)+1</f>
        <v>8</v>
      </c>
      <c r="B92" s="91" t="n">
        <f aca="false">MOD(90-1,12)+1</f>
        <v>6</v>
      </c>
      <c r="C92" s="92" t="n">
        <f aca="false">Dashboard!$C26</f>
        <v>0</v>
      </c>
      <c r="D92" s="93" t="n">
        <f aca="false">Dashboard!$C26-F$91*(Dashboard!$C10/12)</f>
        <v>-3915.55136694545</v>
      </c>
      <c r="E92" s="94" t="n">
        <f aca="false">F$91*(Dashboard!$C10/12)</f>
        <v>3915.55136694545</v>
      </c>
      <c r="F92" s="92" t="n">
        <f aca="false">MAX(F$91-(Dashboard!$C26-F$91*(Dashboard!$C10/12)),0)</f>
        <v>675152.928557593</v>
      </c>
      <c r="G92" s="95" t="n">
        <f aca="false">G$91+F$91*(Dashboard!$C10/12)</f>
        <v>275152.928557593</v>
      </c>
      <c r="H92" s="96" t="n">
        <f aca="false">H$91+Dashboard!$C26-F$91*(Dashboard!$C10/12)</f>
        <v>-275152.928557593</v>
      </c>
    </row>
    <row r="93" customFormat="false" ht="15" hidden="false" customHeight="true" outlineLevel="0" collapsed="false">
      <c r="A93" s="91" t="n">
        <f aca="false">INT((91-1)/12)+1</f>
        <v>8</v>
      </c>
      <c r="B93" s="91" t="n">
        <f aca="false">MOD(91-1,12)+1</f>
        <v>7</v>
      </c>
      <c r="C93" s="92" t="n">
        <f aca="false">Dashboard!$C26</f>
        <v>0</v>
      </c>
      <c r="D93" s="93" t="n">
        <f aca="false">Dashboard!$C26-F$92*(Dashboard!$C10/12)</f>
        <v>-3938.39208325263</v>
      </c>
      <c r="E93" s="94" t="n">
        <f aca="false">F$92*(Dashboard!$C10/12)</f>
        <v>3938.39208325263</v>
      </c>
      <c r="F93" s="92" t="n">
        <f aca="false">MAX(F$92-(Dashboard!$C26-F$92*(Dashboard!$C10/12)),0)</f>
        <v>679091.320640846</v>
      </c>
      <c r="G93" s="95" t="n">
        <f aca="false">G$92+F$92*(Dashboard!$C10/12)</f>
        <v>279091.320640846</v>
      </c>
      <c r="H93" s="96" t="n">
        <f aca="false">H$92+Dashboard!$C26-F$92*(Dashboard!$C10/12)</f>
        <v>-279091.320640846</v>
      </c>
    </row>
    <row r="94" customFormat="false" ht="15" hidden="false" customHeight="true" outlineLevel="0" collapsed="false">
      <c r="A94" s="91" t="n">
        <f aca="false">INT((92-1)/12)+1</f>
        <v>8</v>
      </c>
      <c r="B94" s="91" t="n">
        <f aca="false">MOD(92-1,12)+1</f>
        <v>8</v>
      </c>
      <c r="C94" s="92" t="n">
        <f aca="false">Dashboard!$C26</f>
        <v>0</v>
      </c>
      <c r="D94" s="93" t="n">
        <f aca="false">Dashboard!$C26-F$93*(Dashboard!$C10/12)</f>
        <v>-3961.3660370716</v>
      </c>
      <c r="E94" s="94" t="n">
        <f aca="false">F$93*(Dashboard!$C10/12)</f>
        <v>3961.3660370716</v>
      </c>
      <c r="F94" s="92" t="n">
        <f aca="false">MAX(F$93-(Dashboard!$C26-F$93*(Dashboard!$C10/12)),0)</f>
        <v>683052.686677918</v>
      </c>
      <c r="G94" s="95" t="n">
        <f aca="false">G$93+F$93*(Dashboard!$C10/12)</f>
        <v>283052.686677918</v>
      </c>
      <c r="H94" s="96" t="n">
        <f aca="false">H$93+Dashboard!$C26-F$93*(Dashboard!$C10/12)</f>
        <v>-283052.686677918</v>
      </c>
    </row>
    <row r="95" customFormat="false" ht="15" hidden="false" customHeight="true" outlineLevel="0" collapsed="false">
      <c r="A95" s="91" t="n">
        <f aca="false">INT((93-1)/12)+1</f>
        <v>8</v>
      </c>
      <c r="B95" s="91" t="n">
        <f aca="false">MOD(93-1,12)+1</f>
        <v>9</v>
      </c>
      <c r="C95" s="92" t="n">
        <f aca="false">Dashboard!$C26</f>
        <v>0</v>
      </c>
      <c r="D95" s="93" t="n">
        <f aca="false">Dashboard!$C26-F$94*(Dashboard!$C10/12)</f>
        <v>-3984.47400562119</v>
      </c>
      <c r="E95" s="94" t="n">
        <f aca="false">F$94*(Dashboard!$C10/12)</f>
        <v>3984.47400562119</v>
      </c>
      <c r="F95" s="92" t="n">
        <f aca="false">MAX(F$94-(Dashboard!$C26-F$94*(Dashboard!$C10/12)),0)</f>
        <v>687037.160683539</v>
      </c>
      <c r="G95" s="95" t="n">
        <f aca="false">G$94+F$94*(Dashboard!$C10/12)</f>
        <v>287037.160683539</v>
      </c>
      <c r="H95" s="96" t="n">
        <f aca="false">H$94+Dashboard!$C26-F$94*(Dashboard!$C10/12)</f>
        <v>-287037.160683539</v>
      </c>
    </row>
    <row r="96" customFormat="false" ht="15" hidden="false" customHeight="true" outlineLevel="0" collapsed="false">
      <c r="A96" s="91" t="n">
        <f aca="false">INT((94-1)/12)+1</f>
        <v>8</v>
      </c>
      <c r="B96" s="91" t="n">
        <f aca="false">MOD(94-1,12)+1</f>
        <v>10</v>
      </c>
      <c r="C96" s="92" t="n">
        <f aca="false">Dashboard!$C26</f>
        <v>0</v>
      </c>
      <c r="D96" s="93" t="n">
        <f aca="false">Dashboard!$C26-F$95*(Dashboard!$C10/12)</f>
        <v>-4007.71677065398</v>
      </c>
      <c r="E96" s="94" t="n">
        <f aca="false">F$95*(Dashboard!$C10/12)</f>
        <v>4007.71677065398</v>
      </c>
      <c r="F96" s="92" t="n">
        <f aca="false">MAX(F$95-(Dashboard!$C26-F$95*(Dashboard!$C10/12)),0)</f>
        <v>691044.877454193</v>
      </c>
      <c r="G96" s="95" t="n">
        <f aca="false">G$95+F$95*(Dashboard!$C10/12)</f>
        <v>291044.877454193</v>
      </c>
      <c r="H96" s="96" t="n">
        <f aca="false">H$95+Dashboard!$C26-F$95*(Dashboard!$C10/12)</f>
        <v>-291044.877454193</v>
      </c>
    </row>
    <row r="97" customFormat="false" ht="15" hidden="false" customHeight="true" outlineLevel="0" collapsed="false">
      <c r="A97" s="91" t="n">
        <f aca="false">INT((95-1)/12)+1</f>
        <v>8</v>
      </c>
      <c r="B97" s="91" t="n">
        <f aca="false">MOD(95-1,12)+1</f>
        <v>11</v>
      </c>
      <c r="C97" s="92" t="n">
        <f aca="false">Dashboard!$C26</f>
        <v>0</v>
      </c>
      <c r="D97" s="93" t="n">
        <f aca="false">Dashboard!$C26-F$96*(Dashboard!$C10/12)</f>
        <v>-4031.09511848279</v>
      </c>
      <c r="E97" s="94" t="n">
        <f aca="false">F$96*(Dashboard!$C10/12)</f>
        <v>4031.09511848279</v>
      </c>
      <c r="F97" s="92" t="n">
        <f aca="false">MAX(F$96-(Dashboard!$C26-F$96*(Dashboard!$C10/12)),0)</f>
        <v>695075.972572675</v>
      </c>
      <c r="G97" s="95" t="n">
        <f aca="false">G$96+F$96*(Dashboard!$C10/12)</f>
        <v>295075.972572676</v>
      </c>
      <c r="H97" s="96" t="n">
        <f aca="false">H$96+Dashboard!$C26-F$96*(Dashboard!$C10/12)</f>
        <v>-295075.972572676</v>
      </c>
    </row>
    <row r="98" customFormat="false" ht="15" hidden="false" customHeight="true" outlineLevel="0" collapsed="false">
      <c r="A98" s="85" t="n">
        <f aca="false">INT((96-1)/12)+1</f>
        <v>8</v>
      </c>
      <c r="B98" s="85" t="n">
        <f aca="false">MOD(96-1,12)+1</f>
        <v>12</v>
      </c>
      <c r="C98" s="86" t="n">
        <f aca="false">Dashboard!$C26</f>
        <v>0</v>
      </c>
      <c r="D98" s="87" t="n">
        <f aca="false">Dashboard!$C26-F$97*(Dashboard!$C10/12)</f>
        <v>-4054.60984000727</v>
      </c>
      <c r="E98" s="88" t="n">
        <f aca="false">F$97*(Dashboard!$C10/12)</f>
        <v>4054.60984000727</v>
      </c>
      <c r="F98" s="86" t="n">
        <f aca="false">MAX(F$97-(Dashboard!$C26-F$97*(Dashboard!$C10/12)),0)</f>
        <v>699130.582412683</v>
      </c>
      <c r="G98" s="89" t="n">
        <f aca="false">G$97+F$97*(Dashboard!$C10/12)</f>
        <v>299130.582412683</v>
      </c>
      <c r="H98" s="90" t="n">
        <f aca="false">H$97+Dashboard!$C26-F$97*(Dashboard!$C10/12)</f>
        <v>-299130.582412683</v>
      </c>
    </row>
    <row r="99" customFormat="false" ht="15" hidden="false" customHeight="true" outlineLevel="0" collapsed="false">
      <c r="A99" s="85" t="n">
        <f aca="false">INT((97-1)/12)+1</f>
        <v>9</v>
      </c>
      <c r="B99" s="85" t="n">
        <f aca="false">MOD(97-1,12)+1</f>
        <v>1</v>
      </c>
      <c r="C99" s="86" t="n">
        <f aca="false">Dashboard!$C26</f>
        <v>0</v>
      </c>
      <c r="D99" s="87" t="n">
        <f aca="false">Dashboard!$C26-F$98*(Dashboard!$C10/12)</f>
        <v>-4078.26173074065</v>
      </c>
      <c r="E99" s="88" t="n">
        <f aca="false">F$98*(Dashboard!$C10/12)</f>
        <v>4078.26173074065</v>
      </c>
      <c r="F99" s="86" t="n">
        <f aca="false">MAX(F$98-(Dashboard!$C26-F$98*(Dashboard!$C10/12)),0)</f>
        <v>703208.844143423</v>
      </c>
      <c r="G99" s="89" t="n">
        <f aca="false">G$98+F$98*(Dashboard!$C10/12)</f>
        <v>303208.844143423</v>
      </c>
      <c r="H99" s="90" t="n">
        <f aca="false">H$98+Dashboard!$C26-F$98*(Dashboard!$C10/12)</f>
        <v>-303208.844143423</v>
      </c>
    </row>
    <row r="100" customFormat="false" ht="15" hidden="false" customHeight="true" outlineLevel="0" collapsed="false">
      <c r="A100" s="85" t="n">
        <f aca="false">INT((98-1)/12)+1</f>
        <v>9</v>
      </c>
      <c r="B100" s="85" t="n">
        <f aca="false">MOD(98-1,12)+1</f>
        <v>2</v>
      </c>
      <c r="C100" s="86" t="n">
        <f aca="false">Dashboard!$C26</f>
        <v>0</v>
      </c>
      <c r="D100" s="87" t="n">
        <f aca="false">Dashboard!$C26-F$99*(Dashboard!$C10/12)</f>
        <v>-4102.05159083664</v>
      </c>
      <c r="E100" s="88" t="n">
        <f aca="false">F$99*(Dashboard!$C10/12)</f>
        <v>4102.05159083664</v>
      </c>
      <c r="F100" s="86" t="n">
        <f aca="false">MAX(F$99-(Dashboard!$C26-F$99*(Dashboard!$C10/12)),0)</f>
        <v>707310.89573426</v>
      </c>
      <c r="G100" s="89" t="n">
        <f aca="false">G$99+F$99*(Dashboard!$C10/12)</f>
        <v>307310.89573426</v>
      </c>
      <c r="H100" s="90" t="n">
        <f aca="false">H$99+Dashboard!$C26-F$99*(Dashboard!$C10/12)</f>
        <v>-307310.89573426</v>
      </c>
    </row>
    <row r="101" customFormat="false" ht="15" hidden="false" customHeight="true" outlineLevel="0" collapsed="false">
      <c r="A101" s="85" t="n">
        <f aca="false">INT((99-1)/12)+1</f>
        <v>9</v>
      </c>
      <c r="B101" s="85" t="n">
        <f aca="false">MOD(99-1,12)+1</f>
        <v>3</v>
      </c>
      <c r="C101" s="86" t="n">
        <f aca="false">Dashboard!$C26</f>
        <v>0</v>
      </c>
      <c r="D101" s="87" t="n">
        <f aca="false">Dashboard!$C26-F$100*(Dashboard!$C10/12)</f>
        <v>-4125.98022511652</v>
      </c>
      <c r="E101" s="88" t="n">
        <f aca="false">F$100*(Dashboard!$C10/12)</f>
        <v>4125.98022511652</v>
      </c>
      <c r="F101" s="86" t="n">
        <f aca="false">MAX(F$100-(Dashboard!$C26-F$100*(Dashboard!$C10/12)),0)</f>
        <v>711436.875959377</v>
      </c>
      <c r="G101" s="89" t="n">
        <f aca="false">G$100+F$100*(Dashboard!$C10/12)</f>
        <v>311436.875959377</v>
      </c>
      <c r="H101" s="90" t="n">
        <f aca="false">H$100+Dashboard!$C26-F$100*(Dashboard!$C10/12)</f>
        <v>-311436.875959377</v>
      </c>
    </row>
    <row r="102" customFormat="false" ht="15" hidden="false" customHeight="true" outlineLevel="0" collapsed="false">
      <c r="A102" s="85" t="n">
        <f aca="false">INT((100-1)/12)+1</f>
        <v>9</v>
      </c>
      <c r="B102" s="85" t="n">
        <f aca="false">MOD(100-1,12)+1</f>
        <v>4</v>
      </c>
      <c r="C102" s="86" t="n">
        <f aca="false">Dashboard!$C26</f>
        <v>0</v>
      </c>
      <c r="D102" s="87" t="n">
        <f aca="false">Dashboard!$C26-F$101*(Dashboard!$C10/12)</f>
        <v>-4150.04844309636</v>
      </c>
      <c r="E102" s="88" t="n">
        <f aca="false">F$101*(Dashboard!$C10/12)</f>
        <v>4150.04844309636</v>
      </c>
      <c r="F102" s="86" t="n">
        <f aca="false">MAX(F$101-(Dashboard!$C26-F$101*(Dashboard!$C10/12)),0)</f>
        <v>715586.924402473</v>
      </c>
      <c r="G102" s="89" t="n">
        <f aca="false">G$101+F$101*(Dashboard!$C10/12)</f>
        <v>315586.924402473</v>
      </c>
      <c r="H102" s="90" t="n">
        <f aca="false">H$101+Dashboard!$C26-F$101*(Dashboard!$C10/12)</f>
        <v>-315586.924402473</v>
      </c>
    </row>
    <row r="103" customFormat="false" ht="15" hidden="false" customHeight="true" outlineLevel="0" collapsed="false">
      <c r="A103" s="85" t="n">
        <f aca="false">INT((101-1)/12)+1</f>
        <v>9</v>
      </c>
      <c r="B103" s="85" t="n">
        <f aca="false">MOD(101-1,12)+1</f>
        <v>5</v>
      </c>
      <c r="C103" s="86" t="n">
        <f aca="false">Dashboard!$C26</f>
        <v>0</v>
      </c>
      <c r="D103" s="87" t="n">
        <f aca="false">Dashboard!$C26-F$102*(Dashboard!$C10/12)</f>
        <v>-4174.25705901443</v>
      </c>
      <c r="E103" s="88" t="n">
        <f aca="false">F$102*(Dashboard!$C10/12)</f>
        <v>4174.25705901443</v>
      </c>
      <c r="F103" s="86" t="n">
        <f aca="false">MAX(F$102-(Dashboard!$C26-F$102*(Dashboard!$C10/12)),0)</f>
        <v>719761.181461487</v>
      </c>
      <c r="G103" s="89" t="n">
        <f aca="false">G$102+F$102*(Dashboard!$C10/12)</f>
        <v>319761.181461487</v>
      </c>
      <c r="H103" s="90" t="n">
        <f aca="false">H$102+Dashboard!$C26-F$102*(Dashboard!$C10/12)</f>
        <v>-319761.181461487</v>
      </c>
    </row>
    <row r="104" customFormat="false" ht="15" hidden="false" customHeight="true" outlineLevel="0" collapsed="false">
      <c r="A104" s="85" t="n">
        <f aca="false">INT((102-1)/12)+1</f>
        <v>9</v>
      </c>
      <c r="B104" s="85" t="n">
        <f aca="false">MOD(102-1,12)+1</f>
        <v>6</v>
      </c>
      <c r="C104" s="86" t="n">
        <f aca="false">Dashboard!$C26</f>
        <v>0</v>
      </c>
      <c r="D104" s="87" t="n">
        <f aca="false">Dashboard!$C26-F$103*(Dashboard!$C10/12)</f>
        <v>-4198.60689185868</v>
      </c>
      <c r="E104" s="88" t="n">
        <f aca="false">F$103*(Dashboard!$C10/12)</f>
        <v>4198.60689185868</v>
      </c>
      <c r="F104" s="86" t="n">
        <f aca="false">MAX(F$103-(Dashboard!$C26-F$103*(Dashboard!$C10/12)),0)</f>
        <v>723959.788353346</v>
      </c>
      <c r="G104" s="89" t="n">
        <f aca="false">G$103+F$103*(Dashboard!$C10/12)</f>
        <v>323959.788353346</v>
      </c>
      <c r="H104" s="90" t="n">
        <f aca="false">H$103+Dashboard!$C26-F$103*(Dashboard!$C10/12)</f>
        <v>-323959.788353346</v>
      </c>
    </row>
    <row r="105" customFormat="false" ht="15" hidden="false" customHeight="true" outlineLevel="0" collapsed="false">
      <c r="A105" s="85" t="n">
        <f aca="false">INT((103-1)/12)+1</f>
        <v>9</v>
      </c>
      <c r="B105" s="85" t="n">
        <f aca="false">MOD(103-1,12)+1</f>
        <v>7</v>
      </c>
      <c r="C105" s="86" t="n">
        <f aca="false">Dashboard!$C26</f>
        <v>0</v>
      </c>
      <c r="D105" s="87" t="n">
        <f aca="false">Dashboard!$C26-F$104*(Dashboard!$C10/12)</f>
        <v>-4223.09876539452</v>
      </c>
      <c r="E105" s="88" t="n">
        <f aca="false">F$104*(Dashboard!$C10/12)</f>
        <v>4223.09876539452</v>
      </c>
      <c r="F105" s="86" t="n">
        <f aca="false">MAX(F$104-(Dashboard!$C26-F$104*(Dashboard!$C10/12)),0)</f>
        <v>728182.88711874</v>
      </c>
      <c r="G105" s="89" t="n">
        <f aca="false">G$104+F$104*(Dashboard!$C10/12)</f>
        <v>328182.887118741</v>
      </c>
      <c r="H105" s="90" t="n">
        <f aca="false">H$104+Dashboard!$C26-F$104*(Dashboard!$C10/12)</f>
        <v>-328182.887118741</v>
      </c>
    </row>
    <row r="106" customFormat="false" ht="15" hidden="false" customHeight="true" outlineLevel="0" collapsed="false">
      <c r="A106" s="85" t="n">
        <f aca="false">INT((104-1)/12)+1</f>
        <v>9</v>
      </c>
      <c r="B106" s="85" t="n">
        <f aca="false">MOD(104-1,12)+1</f>
        <v>8</v>
      </c>
      <c r="C106" s="86" t="n">
        <f aca="false">Dashboard!$C26</f>
        <v>0</v>
      </c>
      <c r="D106" s="87" t="n">
        <f aca="false">Dashboard!$C26-F$105*(Dashboard!$C10/12)</f>
        <v>-4247.73350819265</v>
      </c>
      <c r="E106" s="88" t="n">
        <f aca="false">F$105*(Dashboard!$C10/12)</f>
        <v>4247.73350819265</v>
      </c>
      <c r="F106" s="86" t="n">
        <f aca="false">MAX(F$105-(Dashboard!$C26-F$105*(Dashboard!$C10/12)),0)</f>
        <v>732430.620626933</v>
      </c>
      <c r="G106" s="89" t="n">
        <f aca="false">G$105+F$105*(Dashboard!$C10/12)</f>
        <v>332430.620626933</v>
      </c>
      <c r="H106" s="90" t="n">
        <f aca="false">H$105+Dashboard!$C26-F$105*(Dashboard!$C10/12)</f>
        <v>-332430.620626933</v>
      </c>
    </row>
    <row r="107" customFormat="false" ht="15" hidden="false" customHeight="true" outlineLevel="0" collapsed="false">
      <c r="A107" s="85" t="n">
        <f aca="false">INT((105-1)/12)+1</f>
        <v>9</v>
      </c>
      <c r="B107" s="85" t="n">
        <f aca="false">MOD(105-1,12)+1</f>
        <v>9</v>
      </c>
      <c r="C107" s="86" t="n">
        <f aca="false">Dashboard!$C26</f>
        <v>0</v>
      </c>
      <c r="D107" s="87" t="n">
        <f aca="false">Dashboard!$C26-F$106*(Dashboard!$C10/12)</f>
        <v>-4272.51195365711</v>
      </c>
      <c r="E107" s="88" t="n">
        <f aca="false">F$106*(Dashboard!$C10/12)</f>
        <v>4272.51195365711</v>
      </c>
      <c r="F107" s="86" t="n">
        <f aca="false">MAX(F$106-(Dashboard!$C26-F$106*(Dashboard!$C10/12)),0)</f>
        <v>736703.13258059</v>
      </c>
      <c r="G107" s="89" t="n">
        <f aca="false">G$106+F$106*(Dashboard!$C10/12)</f>
        <v>336703.13258059</v>
      </c>
      <c r="H107" s="90" t="n">
        <f aca="false">H$106+Dashboard!$C26-F$106*(Dashboard!$C10/12)</f>
        <v>-336703.13258059</v>
      </c>
    </row>
    <row r="108" customFormat="false" ht="15" hidden="false" customHeight="true" outlineLevel="0" collapsed="false">
      <c r="A108" s="85" t="n">
        <f aca="false">INT((106-1)/12)+1</f>
        <v>9</v>
      </c>
      <c r="B108" s="85" t="n">
        <f aca="false">MOD(106-1,12)+1</f>
        <v>10</v>
      </c>
      <c r="C108" s="86" t="n">
        <f aca="false">Dashboard!$C26</f>
        <v>0</v>
      </c>
      <c r="D108" s="87" t="n">
        <f aca="false">Dashboard!$C26-F$107*(Dashboard!$C10/12)</f>
        <v>-4297.43494005344</v>
      </c>
      <c r="E108" s="88" t="n">
        <f aca="false">F$107*(Dashboard!$C10/12)</f>
        <v>4297.43494005344</v>
      </c>
      <c r="F108" s="86" t="n">
        <f aca="false">MAX(F$107-(Dashboard!$C26-F$107*(Dashboard!$C10/12)),0)</f>
        <v>741000.567520644</v>
      </c>
      <c r="G108" s="89" t="n">
        <f aca="false">G$107+F$107*(Dashboard!$C10/12)</f>
        <v>341000.567520644</v>
      </c>
      <c r="H108" s="90" t="n">
        <f aca="false">H$107+Dashboard!$C26-F$107*(Dashboard!$C10/12)</f>
        <v>-341000.567520644</v>
      </c>
    </row>
    <row r="109" customFormat="false" ht="15" hidden="false" customHeight="true" outlineLevel="0" collapsed="false">
      <c r="A109" s="85" t="n">
        <f aca="false">INT((107-1)/12)+1</f>
        <v>9</v>
      </c>
      <c r="B109" s="85" t="n">
        <f aca="false">MOD(107-1,12)+1</f>
        <v>11</v>
      </c>
      <c r="C109" s="86" t="n">
        <f aca="false">Dashboard!$C26</f>
        <v>0</v>
      </c>
      <c r="D109" s="87" t="n">
        <f aca="false">Dashboard!$C26-F$108*(Dashboard!$C10/12)</f>
        <v>-4322.50331053709</v>
      </c>
      <c r="E109" s="88" t="n">
        <f aca="false">F$108*(Dashboard!$C10/12)</f>
        <v>4322.50331053709</v>
      </c>
      <c r="F109" s="86" t="n">
        <f aca="false">MAX(F$108-(Dashboard!$C26-F$108*(Dashboard!$C10/12)),0)</f>
        <v>745323.070831181</v>
      </c>
      <c r="G109" s="89" t="n">
        <f aca="false">G$108+F$108*(Dashboard!$C10/12)</f>
        <v>345323.070831181</v>
      </c>
      <c r="H109" s="90" t="n">
        <f aca="false">H$108+Dashboard!$C26-F$108*(Dashboard!$C10/12)</f>
        <v>-345323.070831181</v>
      </c>
    </row>
    <row r="110" customFormat="false" ht="15" hidden="false" customHeight="true" outlineLevel="0" collapsed="false">
      <c r="A110" s="91" t="n">
        <f aca="false">INT((108-1)/12)+1</f>
        <v>9</v>
      </c>
      <c r="B110" s="91" t="n">
        <f aca="false">MOD(108-1,12)+1</f>
        <v>12</v>
      </c>
      <c r="C110" s="92" t="n">
        <f aca="false">Dashboard!$C26</f>
        <v>0</v>
      </c>
      <c r="D110" s="93" t="n">
        <f aca="false">Dashboard!$C26-F$109*(Dashboard!$C10/12)</f>
        <v>-4347.71791318189</v>
      </c>
      <c r="E110" s="94" t="n">
        <f aca="false">F$109*(Dashboard!$C10/12)</f>
        <v>4347.71791318189</v>
      </c>
      <c r="F110" s="92" t="n">
        <f aca="false">MAX(F$109-(Dashboard!$C26-F$109*(Dashboard!$C10/12)),0)</f>
        <v>749670.788744363</v>
      </c>
      <c r="G110" s="95" t="n">
        <f aca="false">G$109+F$109*(Dashboard!$C10/12)</f>
        <v>349670.788744363</v>
      </c>
      <c r="H110" s="96" t="n">
        <f aca="false">H$109+Dashboard!$C26-F$109*(Dashboard!$C10/12)</f>
        <v>-349670.788744363</v>
      </c>
    </row>
    <row r="111" customFormat="false" ht="15" hidden="false" customHeight="true" outlineLevel="0" collapsed="false">
      <c r="A111" s="91" t="n">
        <f aca="false">INT((109-1)/12)+1</f>
        <v>10</v>
      </c>
      <c r="B111" s="91" t="n">
        <f aca="false">MOD(109-1,12)+1</f>
        <v>1</v>
      </c>
      <c r="C111" s="92" t="n">
        <f aca="false">Dashboard!$C26</f>
        <v>0</v>
      </c>
      <c r="D111" s="93" t="n">
        <f aca="false">Dashboard!$C26-F$110*(Dashboard!$C10/12)</f>
        <v>-4373.07960100878</v>
      </c>
      <c r="E111" s="94" t="n">
        <f aca="false">F$110*(Dashboard!$C10/12)</f>
        <v>4373.07960100878</v>
      </c>
      <c r="F111" s="92" t="n">
        <f aca="false">MAX(F$110-(Dashboard!$C26-F$110*(Dashboard!$C10/12)),0)</f>
        <v>754043.868345371</v>
      </c>
      <c r="G111" s="95" t="n">
        <f aca="false">G$110+F$110*(Dashboard!$C10/12)</f>
        <v>354043.868345372</v>
      </c>
      <c r="H111" s="96" t="n">
        <f aca="false">H$110+Dashboard!$C26-F$110*(Dashboard!$C10/12)</f>
        <v>-354043.868345372</v>
      </c>
    </row>
    <row r="112" customFormat="false" ht="15" hidden="false" customHeight="true" outlineLevel="0" collapsed="false">
      <c r="A112" s="91" t="n">
        <f aca="false">INT((110-1)/12)+1</f>
        <v>10</v>
      </c>
      <c r="B112" s="91" t="n">
        <f aca="false">MOD(110-1,12)+1</f>
        <v>2</v>
      </c>
      <c r="C112" s="92" t="n">
        <f aca="false">Dashboard!$C26</f>
        <v>0</v>
      </c>
      <c r="D112" s="93" t="n">
        <f aca="false">Dashboard!$C26-F$111*(Dashboard!$C10/12)</f>
        <v>-4398.58923201467</v>
      </c>
      <c r="E112" s="94" t="n">
        <f aca="false">F$111*(Dashboard!$C10/12)</f>
        <v>4398.58923201467</v>
      </c>
      <c r="F112" s="92" t="n">
        <f aca="false">MAX(F$111-(Dashboard!$C26-F$111*(Dashboard!$C10/12)),0)</f>
        <v>758442.457577386</v>
      </c>
      <c r="G112" s="95" t="n">
        <f aca="false">G$111+F$111*(Dashboard!$C10/12)</f>
        <v>358442.457577386</v>
      </c>
      <c r="H112" s="96" t="n">
        <f aca="false">H$111+Dashboard!$C26-F$111*(Dashboard!$C10/12)</f>
        <v>-358442.457577386</v>
      </c>
    </row>
    <row r="113" customFormat="false" ht="15" hidden="false" customHeight="true" outlineLevel="0" collapsed="false">
      <c r="A113" s="91" t="n">
        <f aca="false">INT((111-1)/12)+1</f>
        <v>10</v>
      </c>
      <c r="B113" s="91" t="n">
        <f aca="false">MOD(111-1,12)+1</f>
        <v>3</v>
      </c>
      <c r="C113" s="92" t="n">
        <f aca="false">Dashboard!$C26</f>
        <v>0</v>
      </c>
      <c r="D113" s="93" t="n">
        <f aca="false">Dashboard!$C26-F$112*(Dashboard!$C10/12)</f>
        <v>-4424.24766920142</v>
      </c>
      <c r="E113" s="94" t="n">
        <f aca="false">F$112*(Dashboard!$C10/12)</f>
        <v>4424.24766920142</v>
      </c>
      <c r="F113" s="92" t="n">
        <f aca="false">MAX(F$112-(Dashboard!$C26-F$112*(Dashboard!$C10/12)),0)</f>
        <v>762866.705246588</v>
      </c>
      <c r="G113" s="95" t="n">
        <f aca="false">G$112+F$112*(Dashboard!$C10/12)</f>
        <v>362866.705246588</v>
      </c>
      <c r="H113" s="96" t="n">
        <f aca="false">H$112+Dashboard!$C26-F$112*(Dashboard!$C10/12)</f>
        <v>-362866.705246588</v>
      </c>
    </row>
    <row r="114" customFormat="false" ht="15" hidden="false" customHeight="true" outlineLevel="0" collapsed="false">
      <c r="A114" s="91" t="n">
        <f aca="false">INT((112-1)/12)+1</f>
        <v>10</v>
      </c>
      <c r="B114" s="91" t="n">
        <f aca="false">MOD(112-1,12)+1</f>
        <v>4</v>
      </c>
      <c r="C114" s="92" t="n">
        <f aca="false">Dashboard!$C26</f>
        <v>0</v>
      </c>
      <c r="D114" s="93" t="n">
        <f aca="false">Dashboard!$C26-F$113*(Dashboard!$C10/12)</f>
        <v>-4450.0557806051</v>
      </c>
      <c r="E114" s="94" t="n">
        <f aca="false">F$113*(Dashboard!$C10/12)</f>
        <v>4450.0557806051</v>
      </c>
      <c r="F114" s="92" t="n">
        <f aca="false">MAX(F$113-(Dashboard!$C26-F$113*(Dashboard!$C10/12)),0)</f>
        <v>767316.761027193</v>
      </c>
      <c r="G114" s="95" t="n">
        <f aca="false">G$113+F$113*(Dashboard!$C10/12)</f>
        <v>367316.761027193</v>
      </c>
      <c r="H114" s="96" t="n">
        <f aca="false">H$113+Dashboard!$C26-F$113*(Dashboard!$C10/12)</f>
        <v>-367316.761027193</v>
      </c>
    </row>
    <row r="115" customFormat="false" ht="15" hidden="false" customHeight="true" outlineLevel="0" collapsed="false">
      <c r="A115" s="91" t="n">
        <f aca="false">INT((113-1)/12)+1</f>
        <v>10</v>
      </c>
      <c r="B115" s="91" t="n">
        <f aca="false">MOD(113-1,12)+1</f>
        <v>5</v>
      </c>
      <c r="C115" s="92" t="n">
        <f aca="false">Dashboard!$C26</f>
        <v>0</v>
      </c>
      <c r="D115" s="93" t="n">
        <f aca="false">Dashboard!$C26-F$114*(Dashboard!$C10/12)</f>
        <v>-4476.01443932529</v>
      </c>
      <c r="E115" s="94" t="n">
        <f aca="false">F$114*(Dashboard!$C10/12)</f>
        <v>4476.01443932529</v>
      </c>
      <c r="F115" s="92" t="n">
        <f aca="false">MAX(F$114-(Dashboard!$C26-F$114*(Dashboard!$C10/12)),0)</f>
        <v>771792.775466518</v>
      </c>
      <c r="G115" s="95" t="n">
        <f aca="false">G$114+F$114*(Dashboard!$C10/12)</f>
        <v>371792.775466518</v>
      </c>
      <c r="H115" s="96" t="n">
        <f aca="false">H$114+Dashboard!$C26-F$114*(Dashboard!$C10/12)</f>
        <v>-371792.775466518</v>
      </c>
    </row>
    <row r="116" customFormat="false" ht="15" hidden="false" customHeight="true" outlineLevel="0" collapsed="false">
      <c r="A116" s="91" t="n">
        <f aca="false">INT((114-1)/12)+1</f>
        <v>10</v>
      </c>
      <c r="B116" s="91" t="n">
        <f aca="false">MOD(114-1,12)+1</f>
        <v>6</v>
      </c>
      <c r="C116" s="92" t="n">
        <f aca="false">Dashboard!$C26</f>
        <v>0</v>
      </c>
      <c r="D116" s="93" t="n">
        <f aca="false">Dashboard!$C26-F$115*(Dashboard!$C10/12)</f>
        <v>-4502.12452355469</v>
      </c>
      <c r="E116" s="94" t="n">
        <f aca="false">F$115*(Dashboard!$C10/12)</f>
        <v>4502.12452355469</v>
      </c>
      <c r="F116" s="92" t="n">
        <f aca="false">MAX(F$115-(Dashboard!$C26-F$115*(Dashboard!$C10/12)),0)</f>
        <v>776294.899990073</v>
      </c>
      <c r="G116" s="95" t="n">
        <f aca="false">G$115+F$115*(Dashboard!$C10/12)</f>
        <v>376294.899990073</v>
      </c>
      <c r="H116" s="96" t="n">
        <f aca="false">H$115+Dashboard!$C26-F$115*(Dashboard!$C10/12)</f>
        <v>-376294.899990073</v>
      </c>
    </row>
    <row r="117" customFormat="false" ht="15" hidden="false" customHeight="true" outlineLevel="0" collapsed="false">
      <c r="A117" s="91" t="n">
        <f aca="false">INT((115-1)/12)+1</f>
        <v>10</v>
      </c>
      <c r="B117" s="91" t="n">
        <f aca="false">MOD(115-1,12)+1</f>
        <v>7</v>
      </c>
      <c r="C117" s="92" t="n">
        <f aca="false">Dashboard!$C26</f>
        <v>0</v>
      </c>
      <c r="D117" s="93" t="n">
        <f aca="false">Dashboard!$C26-F$116*(Dashboard!$C10/12)</f>
        <v>-4528.38691660876</v>
      </c>
      <c r="E117" s="94" t="n">
        <f aca="false">F$116*(Dashboard!$C10/12)</f>
        <v>4528.38691660876</v>
      </c>
      <c r="F117" s="92" t="n">
        <f aca="false">MAX(F$116-(Dashboard!$C26-F$116*(Dashboard!$C10/12)),0)</f>
        <v>780823.286906682</v>
      </c>
      <c r="G117" s="95" t="n">
        <f aca="false">G$116+F$116*(Dashboard!$C10/12)</f>
        <v>380823.286906682</v>
      </c>
      <c r="H117" s="96" t="n">
        <f aca="false">H$116+Dashboard!$C26-F$116*(Dashboard!$C10/12)</f>
        <v>-380823.286906682</v>
      </c>
    </row>
    <row r="118" customFormat="false" ht="15" hidden="false" customHeight="true" outlineLevel="0" collapsed="false">
      <c r="A118" s="91" t="n">
        <f aca="false">INT((116-1)/12)+1</f>
        <v>10</v>
      </c>
      <c r="B118" s="91" t="n">
        <f aca="false">MOD(116-1,12)+1</f>
        <v>8</v>
      </c>
      <c r="C118" s="92" t="n">
        <f aca="false">Dashboard!$C26</f>
        <v>0</v>
      </c>
      <c r="D118" s="93" t="n">
        <f aca="false">Dashboard!$C26-F$117*(Dashboard!$C10/12)</f>
        <v>-4554.80250695564</v>
      </c>
      <c r="E118" s="94" t="n">
        <f aca="false">F$117*(Dashboard!$C10/12)</f>
        <v>4554.80250695564</v>
      </c>
      <c r="F118" s="92" t="n">
        <f aca="false">MAX(F$117-(Dashboard!$C26-F$117*(Dashboard!$C10/12)),0)</f>
        <v>785378.089413637</v>
      </c>
      <c r="G118" s="95" t="n">
        <f aca="false">G$117+F$117*(Dashboard!$C10/12)</f>
        <v>385378.089413637</v>
      </c>
      <c r="H118" s="96" t="n">
        <f aca="false">H$117+Dashboard!$C26-F$117*(Dashboard!$C10/12)</f>
        <v>-385378.089413637</v>
      </c>
    </row>
    <row r="119" customFormat="false" ht="15" hidden="false" customHeight="true" outlineLevel="0" collapsed="false">
      <c r="A119" s="91" t="n">
        <f aca="false">INT((117-1)/12)+1</f>
        <v>10</v>
      </c>
      <c r="B119" s="91" t="n">
        <f aca="false">MOD(117-1,12)+1</f>
        <v>9</v>
      </c>
      <c r="C119" s="92" t="n">
        <f aca="false">Dashboard!$C26</f>
        <v>0</v>
      </c>
      <c r="D119" s="93" t="n">
        <f aca="false">Dashboard!$C26-F$118*(Dashboard!$C10/12)</f>
        <v>-4581.37218824622</v>
      </c>
      <c r="E119" s="94" t="n">
        <f aca="false">F$118*(Dashboard!$C10/12)</f>
        <v>4581.37218824622</v>
      </c>
      <c r="F119" s="92" t="n">
        <f aca="false">MAX(F$118-(Dashboard!$C26-F$118*(Dashboard!$C10/12)),0)</f>
        <v>789959.461601883</v>
      </c>
      <c r="G119" s="95" t="n">
        <f aca="false">G$118+F$118*(Dashboard!$C10/12)</f>
        <v>389959.461601883</v>
      </c>
      <c r="H119" s="96" t="n">
        <f aca="false">H$118+Dashboard!$C26-F$118*(Dashboard!$C10/12)</f>
        <v>-389959.461601883</v>
      </c>
    </row>
    <row r="120" customFormat="false" ht="15" hidden="false" customHeight="true" outlineLevel="0" collapsed="false">
      <c r="A120" s="91" t="n">
        <f aca="false">INT((118-1)/12)+1</f>
        <v>10</v>
      </c>
      <c r="B120" s="91" t="n">
        <f aca="false">MOD(118-1,12)+1</f>
        <v>10</v>
      </c>
      <c r="C120" s="92" t="n">
        <f aca="false">Dashboard!$C26</f>
        <v>0</v>
      </c>
      <c r="D120" s="93" t="n">
        <f aca="false">Dashboard!$C26-F$119*(Dashboard!$C10/12)</f>
        <v>-4608.09685934432</v>
      </c>
      <c r="E120" s="94" t="n">
        <f aca="false">F$119*(Dashboard!$C10/12)</f>
        <v>4608.09685934432</v>
      </c>
      <c r="F120" s="92" t="n">
        <f aca="false">MAX(F$119-(Dashboard!$C26-F$119*(Dashboard!$C10/12)),0)</f>
        <v>794567.558461228</v>
      </c>
      <c r="G120" s="95" t="n">
        <f aca="false">G$119+F$119*(Dashboard!$C10/12)</f>
        <v>394567.558461228</v>
      </c>
      <c r="H120" s="96" t="n">
        <f aca="false">H$119+Dashboard!$C26-F$119*(Dashboard!$C10/12)</f>
        <v>-394567.558461228</v>
      </c>
    </row>
    <row r="121" customFormat="false" ht="15" hidden="false" customHeight="true" outlineLevel="0" collapsed="false">
      <c r="A121" s="91" t="n">
        <f aca="false">INT((119-1)/12)+1</f>
        <v>10</v>
      </c>
      <c r="B121" s="91" t="n">
        <f aca="false">MOD(119-1,12)+1</f>
        <v>11</v>
      </c>
      <c r="C121" s="92" t="n">
        <f aca="false">Dashboard!$C26</f>
        <v>0</v>
      </c>
      <c r="D121" s="93" t="n">
        <f aca="false">Dashboard!$C26-F$120*(Dashboard!$C10/12)</f>
        <v>-4634.97742435716</v>
      </c>
      <c r="E121" s="94" t="n">
        <f aca="false">F$120*(Dashboard!$C10/12)</f>
        <v>4634.97742435716</v>
      </c>
      <c r="F121" s="92" t="n">
        <f aca="false">MAX(F$120-(Dashboard!$C26-F$120*(Dashboard!$C10/12)),0)</f>
        <v>799202.535885585</v>
      </c>
      <c r="G121" s="95" t="n">
        <f aca="false">G$120+F$120*(Dashboard!$C10/12)</f>
        <v>399202.535885585</v>
      </c>
      <c r="H121" s="96" t="n">
        <f aca="false">H$120+Dashboard!$C26-F$120*(Dashboard!$C10/12)</f>
        <v>-399202.535885585</v>
      </c>
    </row>
    <row r="122" customFormat="false" ht="15" hidden="false" customHeight="true" outlineLevel="0" collapsed="false">
      <c r="A122" s="85" t="n">
        <f aca="false">INT((120-1)/12)+1</f>
        <v>10</v>
      </c>
      <c r="B122" s="85" t="n">
        <f aca="false">MOD(120-1,12)+1</f>
        <v>12</v>
      </c>
      <c r="C122" s="86" t="n">
        <f aca="false">Dashboard!$C26</f>
        <v>0</v>
      </c>
      <c r="D122" s="87" t="n">
        <f aca="false">Dashboard!$C26-F$121*(Dashboard!$C10/12)</f>
        <v>-4662.01479266591</v>
      </c>
      <c r="E122" s="88" t="n">
        <f aca="false">F$121*(Dashboard!$C10/12)</f>
        <v>4662.01479266591</v>
      </c>
      <c r="F122" s="86" t="n">
        <f aca="false">MAX(F$121-(Dashboard!$C26-F$121*(Dashboard!$C10/12)),0)</f>
        <v>803864.550678251</v>
      </c>
      <c r="G122" s="89" t="n">
        <f aca="false">G$121+F$121*(Dashboard!$C10/12)</f>
        <v>403864.550678251</v>
      </c>
      <c r="H122" s="90" t="n">
        <f aca="false">H$121+Dashboard!$C26-F$121*(Dashboard!$C10/12)</f>
        <v>-403864.550678251</v>
      </c>
    </row>
    <row r="123" customFormat="false" ht="15" hidden="false" customHeight="true" outlineLevel="0" collapsed="false">
      <c r="A123" s="85" t="n">
        <f aca="false">INT((121-1)/12)+1</f>
        <v>11</v>
      </c>
      <c r="B123" s="85" t="n">
        <f aca="false">MOD(121-1,12)+1</f>
        <v>1</v>
      </c>
      <c r="C123" s="86" t="n">
        <f aca="false">Dashboard!$C26</f>
        <v>0</v>
      </c>
      <c r="D123" s="87" t="n">
        <f aca="false">Dashboard!$C26-F$122*(Dashboard!$C10/12)</f>
        <v>-4689.20987895646</v>
      </c>
      <c r="E123" s="88" t="n">
        <f aca="false">F$122*(Dashboard!$C10/12)</f>
        <v>4689.20987895646</v>
      </c>
      <c r="F123" s="86" t="n">
        <f aca="false">MAX(F$122-(Dashboard!$C26-F$122*(Dashboard!$C10/12)),0)</f>
        <v>808553.760557207</v>
      </c>
      <c r="G123" s="89" t="n">
        <f aca="false">G$122+F$122*(Dashboard!$C10/12)</f>
        <v>408553.760557207</v>
      </c>
      <c r="H123" s="90" t="n">
        <f aca="false">H$122+Dashboard!$C26-F$122*(Dashboard!$C10/12)</f>
        <v>-408553.760557207</v>
      </c>
    </row>
    <row r="124" customFormat="false" ht="15" hidden="false" customHeight="true" outlineLevel="0" collapsed="false">
      <c r="A124" s="85" t="n">
        <f aca="false">INT((122-1)/12)+1</f>
        <v>11</v>
      </c>
      <c r="B124" s="85" t="n">
        <f aca="false">MOD(122-1,12)+1</f>
        <v>2</v>
      </c>
      <c r="C124" s="86" t="n">
        <f aca="false">Dashboard!$C26</f>
        <v>0</v>
      </c>
      <c r="D124" s="87" t="n">
        <f aca="false">Dashboard!$C26-F$123*(Dashboard!$C10/12)</f>
        <v>-4716.56360325038</v>
      </c>
      <c r="E124" s="88" t="n">
        <f aca="false">F$123*(Dashboard!$C10/12)</f>
        <v>4716.56360325038</v>
      </c>
      <c r="F124" s="86" t="n">
        <f aca="false">MAX(F$123-(Dashboard!$C26-F$123*(Dashboard!$C10/12)),0)</f>
        <v>813270.324160458</v>
      </c>
      <c r="G124" s="89" t="n">
        <f aca="false">G$123+F$123*(Dashboard!$C10/12)</f>
        <v>413270.324160458</v>
      </c>
      <c r="H124" s="90" t="n">
        <f aca="false">H$123+Dashboard!$C26-F$123*(Dashboard!$C10/12)</f>
        <v>-413270.324160458</v>
      </c>
    </row>
    <row r="125" customFormat="false" ht="15" hidden="false" customHeight="true" outlineLevel="0" collapsed="false">
      <c r="A125" s="85" t="n">
        <f aca="false">INT((123-1)/12)+1</f>
        <v>11</v>
      </c>
      <c r="B125" s="85" t="n">
        <f aca="false">MOD(123-1,12)+1</f>
        <v>3</v>
      </c>
      <c r="C125" s="86" t="n">
        <f aca="false">Dashboard!$C26</f>
        <v>0</v>
      </c>
      <c r="D125" s="87" t="n">
        <f aca="false">Dashboard!$C26-F$124*(Dashboard!$C10/12)</f>
        <v>-4744.076890936</v>
      </c>
      <c r="E125" s="88" t="n">
        <f aca="false">F$124*(Dashboard!$C10/12)</f>
        <v>4744.076890936</v>
      </c>
      <c r="F125" s="86" t="n">
        <f aca="false">MAX(F$124-(Dashboard!$C26-F$124*(Dashboard!$C10/12)),0)</f>
        <v>818014.401051394</v>
      </c>
      <c r="G125" s="89" t="n">
        <f aca="false">G$124+F$124*(Dashboard!$C10/12)</f>
        <v>418014.401051394</v>
      </c>
      <c r="H125" s="90" t="n">
        <f aca="false">H$124+Dashboard!$C26-F$124*(Dashboard!$C10/12)</f>
        <v>-418014.401051394</v>
      </c>
    </row>
    <row r="126" customFormat="false" ht="15" hidden="false" customHeight="true" outlineLevel="0" collapsed="false">
      <c r="A126" s="85" t="n">
        <f aca="false">INT((124-1)/12)+1</f>
        <v>11</v>
      </c>
      <c r="B126" s="85" t="n">
        <f aca="false">MOD(124-1,12)+1</f>
        <v>4</v>
      </c>
      <c r="C126" s="86" t="n">
        <f aca="false">Dashboard!$C26</f>
        <v>0</v>
      </c>
      <c r="D126" s="87" t="n">
        <f aca="false">Dashboard!$C26-F$125*(Dashboard!$C10/12)</f>
        <v>-4771.7506727998</v>
      </c>
      <c r="E126" s="88" t="n">
        <f aca="false">F$125*(Dashboard!$C10/12)</f>
        <v>4771.7506727998</v>
      </c>
      <c r="F126" s="86" t="n">
        <f aca="false">MAX(F$125-(Dashboard!$C26-F$125*(Dashboard!$C10/12)),0)</f>
        <v>822786.151724194</v>
      </c>
      <c r="G126" s="89" t="n">
        <f aca="false">G$125+F$125*(Dashboard!$C10/12)</f>
        <v>422786.151724193</v>
      </c>
      <c r="H126" s="90" t="n">
        <f aca="false">H$125+Dashboard!$C26-F$125*(Dashboard!$C10/12)</f>
        <v>-422786.151724193</v>
      </c>
    </row>
    <row r="127" customFormat="false" ht="15" hidden="false" customHeight="true" outlineLevel="0" collapsed="false">
      <c r="A127" s="85" t="n">
        <f aca="false">INT((125-1)/12)+1</f>
        <v>11</v>
      </c>
      <c r="B127" s="85" t="n">
        <f aca="false">MOD(125-1,12)+1</f>
        <v>5</v>
      </c>
      <c r="C127" s="86" t="n">
        <f aca="false">Dashboard!$C26</f>
        <v>0</v>
      </c>
      <c r="D127" s="87" t="n">
        <f aca="false">Dashboard!$C26-F$126*(Dashboard!$C10/12)</f>
        <v>-4799.5858850578</v>
      </c>
      <c r="E127" s="88" t="n">
        <f aca="false">F$126*(Dashboard!$C10/12)</f>
        <v>4799.5858850578</v>
      </c>
      <c r="F127" s="86" t="n">
        <f aca="false">MAX(F$126-(Dashboard!$C26-F$126*(Dashboard!$C10/12)),0)</f>
        <v>827585.737609251</v>
      </c>
      <c r="G127" s="89" t="n">
        <f aca="false">G$126+F$126*(Dashboard!$C10/12)</f>
        <v>427585.737609251</v>
      </c>
      <c r="H127" s="90" t="n">
        <f aca="false">H$126+Dashboard!$C26-F$126*(Dashboard!$C10/12)</f>
        <v>-427585.737609251</v>
      </c>
    </row>
    <row r="128" customFormat="false" ht="15" hidden="false" customHeight="true" outlineLevel="0" collapsed="false">
      <c r="A128" s="85" t="n">
        <f aca="false">INT((126-1)/12)+1</f>
        <v>11</v>
      </c>
      <c r="B128" s="85" t="n">
        <f aca="false">MOD(126-1,12)+1</f>
        <v>6</v>
      </c>
      <c r="C128" s="86" t="n">
        <f aca="false">Dashboard!$C26</f>
        <v>0</v>
      </c>
      <c r="D128" s="87" t="n">
        <f aca="false">Dashboard!$C26-F$127*(Dashboard!$C10/12)</f>
        <v>-4827.5834693873</v>
      </c>
      <c r="E128" s="88" t="n">
        <f aca="false">F$127*(Dashboard!$C10/12)</f>
        <v>4827.5834693873</v>
      </c>
      <c r="F128" s="86" t="n">
        <f aca="false">MAX(F$127-(Dashboard!$C26-F$127*(Dashboard!$C10/12)),0)</f>
        <v>832413.321078639</v>
      </c>
      <c r="G128" s="89" t="n">
        <f aca="false">G$127+F$127*(Dashboard!$C10/12)</f>
        <v>432413.321078639</v>
      </c>
      <c r="H128" s="90" t="n">
        <f aca="false">H$127+Dashboard!$C26-F$127*(Dashboard!$C10/12)</f>
        <v>-432413.321078639</v>
      </c>
    </row>
    <row r="129" customFormat="false" ht="15" hidden="false" customHeight="true" outlineLevel="0" collapsed="false">
      <c r="A129" s="85" t="n">
        <f aca="false">INT((127-1)/12)+1</f>
        <v>11</v>
      </c>
      <c r="B129" s="85" t="n">
        <f aca="false">MOD(127-1,12)+1</f>
        <v>7</v>
      </c>
      <c r="C129" s="86" t="n">
        <f aca="false">Dashboard!$C26</f>
        <v>0</v>
      </c>
      <c r="D129" s="87" t="n">
        <f aca="false">Dashboard!$C26-F$128*(Dashboard!$C10/12)</f>
        <v>-4855.74437295873</v>
      </c>
      <c r="E129" s="88" t="n">
        <f aca="false">F$128*(Dashboard!$C10/12)</f>
        <v>4855.74437295873</v>
      </c>
      <c r="F129" s="86" t="n">
        <f aca="false">MAX(F$128-(Dashboard!$C26-F$128*(Dashboard!$C10/12)),0)</f>
        <v>837269.065451597</v>
      </c>
      <c r="G129" s="89" t="n">
        <f aca="false">G$128+F$128*(Dashboard!$C10/12)</f>
        <v>437269.065451597</v>
      </c>
      <c r="H129" s="90" t="n">
        <f aca="false">H$128+Dashboard!$C26-F$128*(Dashboard!$C10/12)</f>
        <v>-437269.065451597</v>
      </c>
    </row>
    <row r="130" customFormat="false" ht="15" hidden="false" customHeight="true" outlineLevel="0" collapsed="false">
      <c r="A130" s="85" t="n">
        <f aca="false">INT((128-1)/12)+1</f>
        <v>11</v>
      </c>
      <c r="B130" s="85" t="n">
        <f aca="false">MOD(128-1,12)+1</f>
        <v>8</v>
      </c>
      <c r="C130" s="86" t="n">
        <f aca="false">Dashboard!$C26</f>
        <v>0</v>
      </c>
      <c r="D130" s="87" t="n">
        <f aca="false">Dashboard!$C26-F$129*(Dashboard!$C10/12)</f>
        <v>-4884.06954846765</v>
      </c>
      <c r="E130" s="88" t="n">
        <f aca="false">F$129*(Dashboard!$C10/12)</f>
        <v>4884.06954846765</v>
      </c>
      <c r="F130" s="86" t="n">
        <f aca="false">MAX(F$129-(Dashboard!$C26-F$129*(Dashboard!$C10/12)),0)</f>
        <v>842153.135000065</v>
      </c>
      <c r="G130" s="89" t="n">
        <f aca="false">G$129+F$129*(Dashboard!$C10/12)</f>
        <v>442153.135000065</v>
      </c>
      <c r="H130" s="90" t="n">
        <f aca="false">H$129+Dashboard!$C26-F$129*(Dashboard!$C10/12)</f>
        <v>-442153.135000065</v>
      </c>
    </row>
    <row r="131" customFormat="false" ht="15" hidden="false" customHeight="true" outlineLevel="0" collapsed="false">
      <c r="A131" s="85" t="n">
        <f aca="false">INT((129-1)/12)+1</f>
        <v>11</v>
      </c>
      <c r="B131" s="85" t="n">
        <f aca="false">MOD(129-1,12)+1</f>
        <v>9</v>
      </c>
      <c r="C131" s="86" t="n">
        <f aca="false">Dashboard!$C26</f>
        <v>0</v>
      </c>
      <c r="D131" s="87" t="n">
        <f aca="false">Dashboard!$C26-F$130*(Dashboard!$C10/12)</f>
        <v>-4912.55995416705</v>
      </c>
      <c r="E131" s="88" t="n">
        <f aca="false">F$130*(Dashboard!$C10/12)</f>
        <v>4912.55995416705</v>
      </c>
      <c r="F131" s="86" t="n">
        <f aca="false">MAX(F$130-(Dashboard!$C26-F$130*(Dashboard!$C10/12)),0)</f>
        <v>847065.694954232</v>
      </c>
      <c r="G131" s="89" t="n">
        <f aca="false">G$130+F$130*(Dashboard!$C10/12)</f>
        <v>447065.694954232</v>
      </c>
      <c r="H131" s="90" t="n">
        <f aca="false">H$130+Dashboard!$C26-F$130*(Dashboard!$C10/12)</f>
        <v>-447065.694954232</v>
      </c>
    </row>
    <row r="132" customFormat="false" ht="15" hidden="false" customHeight="true" outlineLevel="0" collapsed="false">
      <c r="A132" s="85" t="n">
        <f aca="false">INT((130-1)/12)+1</f>
        <v>11</v>
      </c>
      <c r="B132" s="85" t="n">
        <f aca="false">MOD(130-1,12)+1</f>
        <v>10</v>
      </c>
      <c r="C132" s="86" t="n">
        <f aca="false">Dashboard!$C26</f>
        <v>0</v>
      </c>
      <c r="D132" s="87" t="n">
        <f aca="false">Dashboard!$C26-F$131*(Dashboard!$C10/12)</f>
        <v>-4941.21655389969</v>
      </c>
      <c r="E132" s="88" t="n">
        <f aca="false">F$131*(Dashboard!$C10/12)</f>
        <v>4941.21655389969</v>
      </c>
      <c r="F132" s="86" t="n">
        <f aca="false">MAX(F$131-(Dashboard!$C26-F$131*(Dashboard!$C10/12)),0)</f>
        <v>852006.911508132</v>
      </c>
      <c r="G132" s="89" t="n">
        <f aca="false">G$131+F$131*(Dashboard!$C10/12)</f>
        <v>452006.911508132</v>
      </c>
      <c r="H132" s="90" t="n">
        <f aca="false">H$131+Dashboard!$C26-F$131*(Dashboard!$C10/12)</f>
        <v>-452006.911508132</v>
      </c>
    </row>
    <row r="133" customFormat="false" ht="15" hidden="false" customHeight="true" outlineLevel="0" collapsed="false">
      <c r="A133" s="85" t="n">
        <f aca="false">INT((131-1)/12)+1</f>
        <v>11</v>
      </c>
      <c r="B133" s="85" t="n">
        <f aca="false">MOD(131-1,12)+1</f>
        <v>11</v>
      </c>
      <c r="C133" s="86" t="n">
        <f aca="false">Dashboard!$C26</f>
        <v>0</v>
      </c>
      <c r="D133" s="87" t="n">
        <f aca="false">Dashboard!$C26-F$132*(Dashboard!$C10/12)</f>
        <v>-4970.04031713077</v>
      </c>
      <c r="E133" s="88" t="n">
        <f aca="false">F$132*(Dashboard!$C10/12)</f>
        <v>4970.04031713077</v>
      </c>
      <c r="F133" s="86" t="n">
        <f aca="false">MAX(F$132-(Dashboard!$C26-F$132*(Dashboard!$C10/12)),0)</f>
        <v>856976.951825262</v>
      </c>
      <c r="G133" s="89" t="n">
        <f aca="false">G$132+F$132*(Dashboard!$C10/12)</f>
        <v>456976.951825262</v>
      </c>
      <c r="H133" s="90" t="n">
        <f aca="false">H$132+Dashboard!$C26-F$132*(Dashboard!$C10/12)</f>
        <v>-456976.951825262</v>
      </c>
    </row>
    <row r="134" customFormat="false" ht="15" hidden="false" customHeight="true" outlineLevel="0" collapsed="false">
      <c r="A134" s="91" t="n">
        <f aca="false">INT((132-1)/12)+1</f>
        <v>11</v>
      </c>
      <c r="B134" s="91" t="n">
        <f aca="false">MOD(132-1,12)+1</f>
        <v>12</v>
      </c>
      <c r="C134" s="92" t="n">
        <f aca="false">Dashboard!$C26</f>
        <v>0</v>
      </c>
      <c r="D134" s="93" t="n">
        <f aca="false">Dashboard!$C26-F$133*(Dashboard!$C10/12)</f>
        <v>-4999.0322189807</v>
      </c>
      <c r="E134" s="94" t="n">
        <f aca="false">F$133*(Dashboard!$C10/12)</f>
        <v>4999.0322189807</v>
      </c>
      <c r="F134" s="92" t="n">
        <f aca="false">MAX(F$133-(Dashboard!$C26-F$133*(Dashboard!$C10/12)),0)</f>
        <v>861975.984044243</v>
      </c>
      <c r="G134" s="95" t="n">
        <f aca="false">G$133+F$133*(Dashboard!$C10/12)</f>
        <v>461975.984044243</v>
      </c>
      <c r="H134" s="96" t="n">
        <f aca="false">H$133+Dashboard!$C26-F$133*(Dashboard!$C10/12)</f>
        <v>-461975.984044243</v>
      </c>
    </row>
    <row r="135" customFormat="false" ht="15" hidden="false" customHeight="true" outlineLevel="0" collapsed="false">
      <c r="A135" s="91" t="n">
        <f aca="false">INT((133-1)/12)+1</f>
        <v>12</v>
      </c>
      <c r="B135" s="91" t="n">
        <f aca="false">MOD(133-1,12)+1</f>
        <v>1</v>
      </c>
      <c r="C135" s="92" t="n">
        <f aca="false">Dashboard!$C26</f>
        <v>0</v>
      </c>
      <c r="D135" s="93" t="n">
        <f aca="false">Dashboard!$C26-F$134*(Dashboard!$C10/12)</f>
        <v>-5028.19324025809</v>
      </c>
      <c r="E135" s="94" t="n">
        <f aca="false">F$134*(Dashboard!$C10/12)</f>
        <v>5028.19324025809</v>
      </c>
      <c r="F135" s="92" t="n">
        <f aca="false">MAX(F$134-(Dashboard!$C26-F$134*(Dashboard!$C10/12)),0)</f>
        <v>867004.177284501</v>
      </c>
      <c r="G135" s="95" t="n">
        <f aca="false">G$134+F$134*(Dashboard!$C10/12)</f>
        <v>467004.177284501</v>
      </c>
      <c r="H135" s="96" t="n">
        <f aca="false">H$134+Dashboard!$C26-F$134*(Dashboard!$C10/12)</f>
        <v>-467004.177284501</v>
      </c>
    </row>
    <row r="136" customFormat="false" ht="15" hidden="false" customHeight="true" outlineLevel="0" collapsed="false">
      <c r="A136" s="91" t="n">
        <f aca="false">INT((134-1)/12)+1</f>
        <v>12</v>
      </c>
      <c r="B136" s="91" t="n">
        <f aca="false">MOD(134-1,12)+1</f>
        <v>2</v>
      </c>
      <c r="C136" s="92" t="n">
        <f aca="false">Dashboard!$C26</f>
        <v>0</v>
      </c>
      <c r="D136" s="93" t="n">
        <f aca="false">Dashboard!$C26-F$135*(Dashboard!$C10/12)</f>
        <v>-5057.52436749292</v>
      </c>
      <c r="E136" s="94" t="n">
        <f aca="false">F$135*(Dashboard!$C10/12)</f>
        <v>5057.52436749292</v>
      </c>
      <c r="F136" s="92" t="n">
        <f aca="false">MAX(F$135-(Dashboard!$C26-F$135*(Dashboard!$C10/12)),0)</f>
        <v>872061.701651994</v>
      </c>
      <c r="G136" s="95" t="n">
        <f aca="false">G$135+F$135*(Dashboard!$C10/12)</f>
        <v>472061.701651994</v>
      </c>
      <c r="H136" s="96" t="n">
        <f aca="false">H$135+Dashboard!$C26-F$135*(Dashboard!$C10/12)</f>
        <v>-472061.701651994</v>
      </c>
    </row>
    <row r="137" customFormat="false" ht="15" hidden="false" customHeight="true" outlineLevel="0" collapsed="false">
      <c r="A137" s="91" t="n">
        <f aca="false">INT((135-1)/12)+1</f>
        <v>12</v>
      </c>
      <c r="B137" s="91" t="n">
        <f aca="false">MOD(135-1,12)+1</f>
        <v>3</v>
      </c>
      <c r="C137" s="92" t="n">
        <f aca="false">Dashboard!$C26</f>
        <v>0</v>
      </c>
      <c r="D137" s="93" t="n">
        <f aca="false">Dashboard!$C26-F$136*(Dashboard!$C10/12)</f>
        <v>-5087.02659296997</v>
      </c>
      <c r="E137" s="94" t="n">
        <f aca="false">F$136*(Dashboard!$C10/12)</f>
        <v>5087.02659296997</v>
      </c>
      <c r="F137" s="92" t="n">
        <f aca="false">MAX(F$136-(Dashboard!$C26-F$136*(Dashboard!$C10/12)),0)</f>
        <v>877148.728244964</v>
      </c>
      <c r="G137" s="95" t="n">
        <f aca="false">G$136+F$136*(Dashboard!$C10/12)</f>
        <v>477148.728244964</v>
      </c>
      <c r="H137" s="96" t="n">
        <f aca="false">H$136+Dashboard!$C26-F$136*(Dashboard!$C10/12)</f>
        <v>-477148.728244964</v>
      </c>
    </row>
    <row r="138" customFormat="false" ht="15" hidden="false" customHeight="true" outlineLevel="0" collapsed="false">
      <c r="A138" s="91" t="n">
        <f aca="false">INT((136-1)/12)+1</f>
        <v>12</v>
      </c>
      <c r="B138" s="91" t="n">
        <f aca="false">MOD(136-1,12)+1</f>
        <v>4</v>
      </c>
      <c r="C138" s="92" t="n">
        <f aca="false">Dashboard!$C26</f>
        <v>0</v>
      </c>
      <c r="D138" s="93" t="n">
        <f aca="false">Dashboard!$C26-F$137*(Dashboard!$C10/12)</f>
        <v>-5116.70091476229</v>
      </c>
      <c r="E138" s="94" t="n">
        <f aca="false">F$137*(Dashboard!$C10/12)</f>
        <v>5116.70091476229</v>
      </c>
      <c r="F138" s="92" t="n">
        <f aca="false">MAX(F$137-(Dashboard!$C26-F$137*(Dashboard!$C10/12)),0)</f>
        <v>882265.429159726</v>
      </c>
      <c r="G138" s="95" t="n">
        <f aca="false">G$137+F$137*(Dashboard!$C10/12)</f>
        <v>482265.429159726</v>
      </c>
      <c r="H138" s="96" t="n">
        <f aca="false">H$137+Dashboard!$C26-F$137*(Dashboard!$C10/12)</f>
        <v>-482265.429159726</v>
      </c>
    </row>
    <row r="139" customFormat="false" ht="15" hidden="false" customHeight="true" outlineLevel="0" collapsed="false">
      <c r="A139" s="91" t="n">
        <f aca="false">INT((137-1)/12)+1</f>
        <v>12</v>
      </c>
      <c r="B139" s="91" t="n">
        <f aca="false">MOD(137-1,12)+1</f>
        <v>5</v>
      </c>
      <c r="C139" s="92" t="n">
        <f aca="false">Dashboard!$C26</f>
        <v>0</v>
      </c>
      <c r="D139" s="93" t="n">
        <f aca="false">Dashboard!$C26-F$138*(Dashboard!$C10/12)</f>
        <v>-5146.54833676507</v>
      </c>
      <c r="E139" s="94" t="n">
        <f aca="false">F$138*(Dashboard!$C10/12)</f>
        <v>5146.54833676507</v>
      </c>
      <c r="F139" s="92" t="n">
        <f aca="false">MAX(F$138-(Dashboard!$C26-F$138*(Dashboard!$C10/12)),0)</f>
        <v>887411.977496491</v>
      </c>
      <c r="G139" s="95" t="n">
        <f aca="false">G$138+F$138*(Dashboard!$C10/12)</f>
        <v>487411.977496491</v>
      </c>
      <c r="H139" s="96" t="n">
        <f aca="false">H$138+Dashboard!$C26-F$138*(Dashboard!$C10/12)</f>
        <v>-487411.977496491</v>
      </c>
    </row>
    <row r="140" customFormat="false" ht="15" hidden="false" customHeight="true" outlineLevel="0" collapsed="false">
      <c r="A140" s="91" t="n">
        <f aca="false">INT((138-1)/12)+1</f>
        <v>12</v>
      </c>
      <c r="B140" s="91" t="n">
        <f aca="false">MOD(138-1,12)+1</f>
        <v>6</v>
      </c>
      <c r="C140" s="92" t="n">
        <f aca="false">Dashboard!$C26</f>
        <v>0</v>
      </c>
      <c r="D140" s="93" t="n">
        <f aca="false">Dashboard!$C26-F$139*(Dashboard!$C10/12)</f>
        <v>-5176.56986872953</v>
      </c>
      <c r="E140" s="94" t="n">
        <f aca="false">F$139*(Dashboard!$C10/12)</f>
        <v>5176.56986872953</v>
      </c>
      <c r="F140" s="92" t="n">
        <f aca="false">MAX(F$139-(Dashboard!$C26-F$139*(Dashboard!$C10/12)),0)</f>
        <v>892588.547365221</v>
      </c>
      <c r="G140" s="95" t="n">
        <f aca="false">G$139+F$139*(Dashboard!$C10/12)</f>
        <v>492588.547365221</v>
      </c>
      <c r="H140" s="96" t="n">
        <f aca="false">H$139+Dashboard!$C26-F$139*(Dashboard!$C10/12)</f>
        <v>-492588.547365221</v>
      </c>
    </row>
    <row r="141" customFormat="false" ht="15" hidden="false" customHeight="true" outlineLevel="0" collapsed="false">
      <c r="A141" s="91" t="n">
        <f aca="false">INT((139-1)/12)+1</f>
        <v>12</v>
      </c>
      <c r="B141" s="91" t="n">
        <f aca="false">MOD(139-1,12)+1</f>
        <v>7</v>
      </c>
      <c r="C141" s="92" t="n">
        <f aca="false">Dashboard!$C26</f>
        <v>0</v>
      </c>
      <c r="D141" s="93" t="n">
        <f aca="false">Dashboard!$C26-F$140*(Dashboard!$C10/12)</f>
        <v>-5206.76652629712</v>
      </c>
      <c r="E141" s="94" t="n">
        <f aca="false">F$140*(Dashboard!$C10/12)</f>
        <v>5206.76652629712</v>
      </c>
      <c r="F141" s="92" t="n">
        <f aca="false">MAX(F$140-(Dashboard!$C26-F$140*(Dashboard!$C10/12)),0)</f>
        <v>897795.313891518</v>
      </c>
      <c r="G141" s="95" t="n">
        <f aca="false">G$140+F$140*(Dashboard!$C10/12)</f>
        <v>497795.313891518</v>
      </c>
      <c r="H141" s="96" t="n">
        <f aca="false">H$140+Dashboard!$C26-F$140*(Dashboard!$C10/12)</f>
        <v>-497795.313891518</v>
      </c>
    </row>
    <row r="142" customFormat="false" ht="15" hidden="false" customHeight="true" outlineLevel="0" collapsed="false">
      <c r="A142" s="91" t="n">
        <f aca="false">INT((140-1)/12)+1</f>
        <v>12</v>
      </c>
      <c r="B142" s="91" t="n">
        <f aca="false">MOD(140-1,12)+1</f>
        <v>8</v>
      </c>
      <c r="C142" s="92" t="n">
        <f aca="false">Dashboard!$C26</f>
        <v>0</v>
      </c>
      <c r="D142" s="93" t="n">
        <f aca="false">Dashboard!$C26-F$141*(Dashboard!$C10/12)</f>
        <v>-5237.13933103386</v>
      </c>
      <c r="E142" s="94" t="n">
        <f aca="false">F$141*(Dashboard!$C10/12)</f>
        <v>5237.13933103386</v>
      </c>
      <c r="F142" s="92" t="n">
        <f aca="false">MAX(F$141-(Dashboard!$C26-F$141*(Dashboard!$C10/12)),0)</f>
        <v>903032.453222552</v>
      </c>
      <c r="G142" s="95" t="n">
        <f aca="false">G$141+F$141*(Dashboard!$C10/12)</f>
        <v>503032.453222552</v>
      </c>
      <c r="H142" s="96" t="n">
        <f aca="false">H$141+Dashboard!$C26-F$141*(Dashboard!$C10/12)</f>
        <v>-503032.453222552</v>
      </c>
    </row>
    <row r="143" customFormat="false" ht="15" hidden="false" customHeight="true" outlineLevel="0" collapsed="false">
      <c r="A143" s="91" t="n">
        <f aca="false">INT((141-1)/12)+1</f>
        <v>12</v>
      </c>
      <c r="B143" s="91" t="n">
        <f aca="false">MOD(141-1,12)+1</f>
        <v>9</v>
      </c>
      <c r="C143" s="92" t="n">
        <f aca="false">Dashboard!$C26</f>
        <v>0</v>
      </c>
      <c r="D143" s="93" t="n">
        <f aca="false">Dashboard!$C26-F$142*(Dashboard!$C10/12)</f>
        <v>-5267.68931046489</v>
      </c>
      <c r="E143" s="94" t="n">
        <f aca="false">F$142*(Dashboard!$C10/12)</f>
        <v>5267.68931046489</v>
      </c>
      <c r="F143" s="92" t="n">
        <f aca="false">MAX(F$142-(Dashboard!$C26-F$142*(Dashboard!$C10/12)),0)</f>
        <v>908300.142533017</v>
      </c>
      <c r="G143" s="95" t="n">
        <f aca="false">G$142+F$142*(Dashboard!$C10/12)</f>
        <v>508300.142533017</v>
      </c>
      <c r="H143" s="96" t="n">
        <f aca="false">H$142+Dashboard!$C26-F$142*(Dashboard!$C10/12)</f>
        <v>-508300.142533017</v>
      </c>
    </row>
    <row r="144" customFormat="false" ht="15" hidden="false" customHeight="true" outlineLevel="0" collapsed="false">
      <c r="A144" s="91" t="n">
        <f aca="false">INT((142-1)/12)+1</f>
        <v>12</v>
      </c>
      <c r="B144" s="91" t="n">
        <f aca="false">MOD(142-1,12)+1</f>
        <v>10</v>
      </c>
      <c r="C144" s="92" t="n">
        <f aca="false">Dashboard!$C26</f>
        <v>0</v>
      </c>
      <c r="D144" s="93" t="n">
        <f aca="false">Dashboard!$C26-F$143*(Dashboard!$C10/12)</f>
        <v>-5298.41749810927</v>
      </c>
      <c r="E144" s="94" t="n">
        <f aca="false">F$143*(Dashboard!$C10/12)</f>
        <v>5298.41749810927</v>
      </c>
      <c r="F144" s="92" t="n">
        <f aca="false">MAX(F$143-(Dashboard!$C26-F$143*(Dashboard!$C10/12)),0)</f>
        <v>913598.560031126</v>
      </c>
      <c r="G144" s="95" t="n">
        <f aca="false">G$143+F$143*(Dashboard!$C10/12)</f>
        <v>513598.560031126</v>
      </c>
      <c r="H144" s="96" t="n">
        <f aca="false">H$143+Dashboard!$C26-F$143*(Dashboard!$C10/12)</f>
        <v>-513598.560031126</v>
      </c>
    </row>
    <row r="145" customFormat="false" ht="15" hidden="false" customHeight="true" outlineLevel="0" collapsed="false">
      <c r="A145" s="91" t="n">
        <f aca="false">INT((143-1)/12)+1</f>
        <v>12</v>
      </c>
      <c r="B145" s="91" t="n">
        <f aca="false">MOD(143-1,12)+1</f>
        <v>11</v>
      </c>
      <c r="C145" s="92" t="n">
        <f aca="false">Dashboard!$C26</f>
        <v>0</v>
      </c>
      <c r="D145" s="93" t="n">
        <f aca="false">Dashboard!$C26-F$144*(Dashboard!$C10/12)</f>
        <v>-5329.3249335149</v>
      </c>
      <c r="E145" s="94" t="n">
        <f aca="false">F$144*(Dashboard!$C10/12)</f>
        <v>5329.3249335149</v>
      </c>
      <c r="F145" s="92" t="n">
        <f aca="false">MAX(F$144-(Dashboard!$C26-F$144*(Dashboard!$C10/12)),0)</f>
        <v>918927.884964641</v>
      </c>
      <c r="G145" s="95" t="n">
        <f aca="false">G$144+F$144*(Dashboard!$C10/12)</f>
        <v>518927.884964641</v>
      </c>
      <c r="H145" s="96" t="n">
        <f aca="false">H$144+Dashboard!$C26-F$144*(Dashboard!$C10/12)</f>
        <v>-518927.884964641</v>
      </c>
    </row>
    <row r="146" customFormat="false" ht="15" hidden="false" customHeight="true" outlineLevel="0" collapsed="false">
      <c r="A146" s="85" t="n">
        <f aca="false">INT((144-1)/12)+1</f>
        <v>12</v>
      </c>
      <c r="B146" s="85" t="n">
        <f aca="false">MOD(144-1,12)+1</f>
        <v>12</v>
      </c>
      <c r="C146" s="86" t="n">
        <f aca="false">Dashboard!$C26</f>
        <v>0</v>
      </c>
      <c r="D146" s="87" t="n">
        <f aca="false">Dashboard!$C26-F$145*(Dashboard!$C10/12)</f>
        <v>-5360.41266229374</v>
      </c>
      <c r="E146" s="88" t="n">
        <f aca="false">F$145*(Dashboard!$C10/12)</f>
        <v>5360.41266229374</v>
      </c>
      <c r="F146" s="86" t="n">
        <f aca="false">MAX(F$145-(Dashboard!$C26-F$145*(Dashboard!$C10/12)),0)</f>
        <v>924288.297626935</v>
      </c>
      <c r="G146" s="89" t="n">
        <f aca="false">G$145+F$145*(Dashboard!$C10/12)</f>
        <v>524288.297626935</v>
      </c>
      <c r="H146" s="90" t="n">
        <f aca="false">H$145+Dashboard!$C26-F$145*(Dashboard!$C10/12)</f>
        <v>-524288.297626935</v>
      </c>
    </row>
    <row r="147" customFormat="false" ht="15" hidden="false" customHeight="true" outlineLevel="0" collapsed="false">
      <c r="A147" s="85" t="n">
        <f aca="false">INT((145-1)/12)+1</f>
        <v>13</v>
      </c>
      <c r="B147" s="85" t="n">
        <f aca="false">MOD(145-1,12)+1</f>
        <v>1</v>
      </c>
      <c r="C147" s="86" t="n">
        <f aca="false">Dashboard!$C26</f>
        <v>0</v>
      </c>
      <c r="D147" s="87" t="n">
        <f aca="false">Dashboard!$C26-F$146*(Dashboard!$C10/12)</f>
        <v>-5391.68173615712</v>
      </c>
      <c r="E147" s="88" t="n">
        <f aca="false">F$146*(Dashboard!$C10/12)</f>
        <v>5391.68173615712</v>
      </c>
      <c r="F147" s="86" t="n">
        <f aca="false">MAX(F$146-(Dashboard!$C26-F$146*(Dashboard!$C10/12)),0)</f>
        <v>929679.979363092</v>
      </c>
      <c r="G147" s="89" t="n">
        <f aca="false">G$146+F$146*(Dashboard!$C10/12)</f>
        <v>529679.979363092</v>
      </c>
      <c r="H147" s="90" t="n">
        <f aca="false">H$146+Dashboard!$C26-F$146*(Dashboard!$C10/12)</f>
        <v>-529679.979363092</v>
      </c>
    </row>
    <row r="148" customFormat="false" ht="15" hidden="false" customHeight="true" outlineLevel="0" collapsed="false">
      <c r="A148" s="85" t="n">
        <f aca="false">INT((146-1)/12)+1</f>
        <v>13</v>
      </c>
      <c r="B148" s="85" t="n">
        <f aca="false">MOD(146-1,12)+1</f>
        <v>2</v>
      </c>
      <c r="C148" s="86" t="n">
        <f aca="false">Dashboard!$C26</f>
        <v>0</v>
      </c>
      <c r="D148" s="87" t="n">
        <f aca="false">Dashboard!$C26-F$147*(Dashboard!$C10/12)</f>
        <v>-5423.13321295137</v>
      </c>
      <c r="E148" s="88" t="n">
        <f aca="false">F$147*(Dashboard!$C10/12)</f>
        <v>5423.13321295137</v>
      </c>
      <c r="F148" s="86" t="n">
        <f aca="false">MAX(F$147-(Dashboard!$C26-F$147*(Dashboard!$C10/12)),0)</f>
        <v>935103.112576043</v>
      </c>
      <c r="G148" s="89" t="n">
        <f aca="false">G$147+F$147*(Dashboard!$C10/12)</f>
        <v>535103.112576043</v>
      </c>
      <c r="H148" s="90" t="n">
        <f aca="false">H$147+Dashboard!$C26-F$147*(Dashboard!$C10/12)</f>
        <v>-535103.112576043</v>
      </c>
    </row>
    <row r="149" customFormat="false" ht="15" hidden="false" customHeight="true" outlineLevel="0" collapsed="false">
      <c r="A149" s="85" t="n">
        <f aca="false">INT((147-1)/12)+1</f>
        <v>13</v>
      </c>
      <c r="B149" s="85" t="n">
        <f aca="false">MOD(147-1,12)+1</f>
        <v>3</v>
      </c>
      <c r="C149" s="86" t="n">
        <f aca="false">Dashboard!$C26</f>
        <v>0</v>
      </c>
      <c r="D149" s="87" t="n">
        <f aca="false">Dashboard!$C26-F$148*(Dashboard!$C10/12)</f>
        <v>-5454.76815669359</v>
      </c>
      <c r="E149" s="88" t="n">
        <f aca="false">F$148*(Dashboard!$C10/12)</f>
        <v>5454.76815669359</v>
      </c>
      <c r="F149" s="86" t="n">
        <f aca="false">MAX(F$148-(Dashboard!$C26-F$148*(Dashboard!$C10/12)),0)</f>
        <v>940557.880732737</v>
      </c>
      <c r="G149" s="89" t="n">
        <f aca="false">G$148+F$148*(Dashboard!$C10/12)</f>
        <v>540557.880732737</v>
      </c>
      <c r="H149" s="90" t="n">
        <f aca="false">H$148+Dashboard!$C26-F$148*(Dashboard!$C10/12)</f>
        <v>-540557.880732737</v>
      </c>
    </row>
    <row r="150" customFormat="false" ht="15" hidden="false" customHeight="true" outlineLevel="0" collapsed="false">
      <c r="A150" s="85" t="n">
        <f aca="false">INT((148-1)/12)+1</f>
        <v>13</v>
      </c>
      <c r="B150" s="85" t="n">
        <f aca="false">MOD(148-1,12)+1</f>
        <v>4</v>
      </c>
      <c r="C150" s="86" t="n">
        <f aca="false">Dashboard!$C26</f>
        <v>0</v>
      </c>
      <c r="D150" s="87" t="n">
        <f aca="false">Dashboard!$C26-F$149*(Dashboard!$C10/12)</f>
        <v>-5486.58763760763</v>
      </c>
      <c r="E150" s="88" t="n">
        <f aca="false">F$149*(Dashboard!$C10/12)</f>
        <v>5486.58763760763</v>
      </c>
      <c r="F150" s="86" t="n">
        <f aca="false">MAX(F$149-(Dashboard!$C26-F$149*(Dashboard!$C10/12)),0)</f>
        <v>946044.468370344</v>
      </c>
      <c r="G150" s="89" t="n">
        <f aca="false">G$149+F$149*(Dashboard!$C10/12)</f>
        <v>546044.468370344</v>
      </c>
      <c r="H150" s="90" t="n">
        <f aca="false">H$149+Dashboard!$C26-F$149*(Dashboard!$C10/12)</f>
        <v>-546044.468370344</v>
      </c>
    </row>
    <row r="151" customFormat="false" ht="15" hidden="false" customHeight="true" outlineLevel="0" collapsed="false">
      <c r="A151" s="85" t="n">
        <f aca="false">INT((149-1)/12)+1</f>
        <v>13</v>
      </c>
      <c r="B151" s="85" t="n">
        <f aca="false">MOD(149-1,12)+1</f>
        <v>5</v>
      </c>
      <c r="C151" s="86" t="n">
        <f aca="false">Dashboard!$C26</f>
        <v>0</v>
      </c>
      <c r="D151" s="87" t="n">
        <f aca="false">Dashboard!$C26-F$150*(Dashboard!$C10/12)</f>
        <v>-5518.59273216034</v>
      </c>
      <c r="E151" s="88" t="n">
        <f aca="false">F$150*(Dashboard!$C10/12)</f>
        <v>5518.59273216034</v>
      </c>
      <c r="F151" s="86" t="n">
        <f aca="false">MAX(F$150-(Dashboard!$C26-F$150*(Dashboard!$C10/12)),0)</f>
        <v>951563.061102505</v>
      </c>
      <c r="G151" s="89" t="n">
        <f aca="false">G$150+F$150*(Dashboard!$C10/12)</f>
        <v>551563.061102505</v>
      </c>
      <c r="H151" s="90" t="n">
        <f aca="false">H$150+Dashboard!$C26-F$150*(Dashboard!$C10/12)</f>
        <v>-551563.061102505</v>
      </c>
    </row>
    <row r="152" customFormat="false" ht="15" hidden="false" customHeight="true" outlineLevel="0" collapsed="false">
      <c r="A152" s="85" t="n">
        <f aca="false">INT((150-1)/12)+1</f>
        <v>13</v>
      </c>
      <c r="B152" s="85" t="n">
        <f aca="false">MOD(150-1,12)+1</f>
        <v>6</v>
      </c>
      <c r="C152" s="86" t="n">
        <f aca="false">Dashboard!$C26</f>
        <v>0</v>
      </c>
      <c r="D152" s="87" t="n">
        <f aca="false">Dashboard!$C26-F$151*(Dashboard!$C10/12)</f>
        <v>-5550.78452309795</v>
      </c>
      <c r="E152" s="88" t="n">
        <f aca="false">F$151*(Dashboard!$C10/12)</f>
        <v>5550.78452309795</v>
      </c>
      <c r="F152" s="86" t="n">
        <f aca="false">MAX(F$151-(Dashboard!$C26-F$151*(Dashboard!$C10/12)),0)</f>
        <v>957113.845625603</v>
      </c>
      <c r="G152" s="89" t="n">
        <f aca="false">G$151+F$151*(Dashboard!$C10/12)</f>
        <v>557113.845625603</v>
      </c>
      <c r="H152" s="90" t="n">
        <f aca="false">H$151+Dashboard!$C26-F$151*(Dashboard!$C10/12)</f>
        <v>-557113.845625603</v>
      </c>
    </row>
    <row r="153" customFormat="false" ht="15" hidden="false" customHeight="true" outlineLevel="0" collapsed="false">
      <c r="A153" s="85" t="n">
        <f aca="false">INT((151-1)/12)+1</f>
        <v>13</v>
      </c>
      <c r="B153" s="85" t="n">
        <f aca="false">MOD(151-1,12)+1</f>
        <v>7</v>
      </c>
      <c r="C153" s="86" t="n">
        <f aca="false">Dashboard!$C26</f>
        <v>0</v>
      </c>
      <c r="D153" s="87" t="n">
        <f aca="false">Dashboard!$C26-F$152*(Dashboard!$C10/12)</f>
        <v>-5583.16409948268</v>
      </c>
      <c r="E153" s="88" t="n">
        <f aca="false">F$152*(Dashboard!$C10/12)</f>
        <v>5583.16409948268</v>
      </c>
      <c r="F153" s="86" t="n">
        <f aca="false">MAX(F$152-(Dashboard!$C26-F$152*(Dashboard!$C10/12)),0)</f>
        <v>962697.009725085</v>
      </c>
      <c r="G153" s="89" t="n">
        <f aca="false">G$152+F$152*(Dashboard!$C10/12)</f>
        <v>562697.009725085</v>
      </c>
      <c r="H153" s="90" t="n">
        <f aca="false">H$152+Dashboard!$C26-F$152*(Dashboard!$C10/12)</f>
        <v>-562697.009725085</v>
      </c>
    </row>
    <row r="154" customFormat="false" ht="15" hidden="false" customHeight="true" outlineLevel="0" collapsed="false">
      <c r="A154" s="85" t="n">
        <f aca="false">INT((152-1)/12)+1</f>
        <v>13</v>
      </c>
      <c r="B154" s="85" t="n">
        <f aca="false">MOD(152-1,12)+1</f>
        <v>8</v>
      </c>
      <c r="C154" s="86" t="n">
        <f aca="false">Dashboard!$C26</f>
        <v>0</v>
      </c>
      <c r="D154" s="87" t="n">
        <f aca="false">Dashboard!$C26-F$153*(Dashboard!$C10/12)</f>
        <v>-5615.73255672967</v>
      </c>
      <c r="E154" s="88" t="n">
        <f aca="false">F$153*(Dashboard!$C10/12)</f>
        <v>5615.73255672967</v>
      </c>
      <c r="F154" s="86" t="n">
        <f aca="false">MAX(F$153-(Dashboard!$C26-F$153*(Dashboard!$C10/12)),0)</f>
        <v>968312.742281815</v>
      </c>
      <c r="G154" s="89" t="n">
        <f aca="false">G$153+F$153*(Dashboard!$C10/12)</f>
        <v>568312.742281815</v>
      </c>
      <c r="H154" s="90" t="n">
        <f aca="false">H$153+Dashboard!$C26-F$153*(Dashboard!$C10/12)</f>
        <v>-568312.742281815</v>
      </c>
    </row>
    <row r="155" customFormat="false" ht="15" hidden="false" customHeight="true" outlineLevel="0" collapsed="false">
      <c r="A155" s="85" t="n">
        <f aca="false">INT((153-1)/12)+1</f>
        <v>13</v>
      </c>
      <c r="B155" s="85" t="n">
        <f aca="false">MOD(153-1,12)+1</f>
        <v>9</v>
      </c>
      <c r="C155" s="86" t="n">
        <f aca="false">Dashboard!$C26</f>
        <v>0</v>
      </c>
      <c r="D155" s="87" t="n">
        <f aca="false">Dashboard!$C26-F$154*(Dashboard!$C10/12)</f>
        <v>-5648.49099664392</v>
      </c>
      <c r="E155" s="88" t="n">
        <f aca="false">F$154*(Dashboard!$C10/12)</f>
        <v>5648.49099664392</v>
      </c>
      <c r="F155" s="86" t="n">
        <f aca="false">MAX(F$154-(Dashboard!$C26-F$154*(Dashboard!$C10/12)),0)</f>
        <v>973961.233278459</v>
      </c>
      <c r="G155" s="89" t="n">
        <f aca="false">G$154+F$154*(Dashboard!$C10/12)</f>
        <v>573961.233278459</v>
      </c>
      <c r="H155" s="90" t="n">
        <f aca="false">H$154+Dashboard!$C26-F$154*(Dashboard!$C10/12)</f>
        <v>-573961.233278459</v>
      </c>
    </row>
    <row r="156" customFormat="false" ht="15" hidden="false" customHeight="true" outlineLevel="0" collapsed="false">
      <c r="A156" s="85" t="n">
        <f aca="false">INT((154-1)/12)+1</f>
        <v>13</v>
      </c>
      <c r="B156" s="85" t="n">
        <f aca="false">MOD(154-1,12)+1</f>
        <v>10</v>
      </c>
      <c r="C156" s="86" t="n">
        <f aca="false">Dashboard!$C26</f>
        <v>0</v>
      </c>
      <c r="D156" s="87" t="n">
        <f aca="false">Dashboard!$C26-F$155*(Dashboard!$C10/12)</f>
        <v>-5681.44052745768</v>
      </c>
      <c r="E156" s="88" t="n">
        <f aca="false">F$155*(Dashboard!$C10/12)</f>
        <v>5681.44052745768</v>
      </c>
      <c r="F156" s="86" t="n">
        <f aca="false">MAX(F$155-(Dashboard!$C26-F$155*(Dashboard!$C10/12)),0)</f>
        <v>979642.673805917</v>
      </c>
      <c r="G156" s="89" t="n">
        <f aca="false">G$155+F$155*(Dashboard!$C10/12)</f>
        <v>579642.673805917</v>
      </c>
      <c r="H156" s="90" t="n">
        <f aca="false">H$155+Dashboard!$C26-F$155*(Dashboard!$C10/12)</f>
        <v>-579642.673805917</v>
      </c>
    </row>
    <row r="157" customFormat="false" ht="15" hidden="false" customHeight="true" outlineLevel="0" collapsed="false">
      <c r="A157" s="85" t="n">
        <f aca="false">INT((155-1)/12)+1</f>
        <v>13</v>
      </c>
      <c r="B157" s="85" t="n">
        <f aca="false">MOD(155-1,12)+1</f>
        <v>11</v>
      </c>
      <c r="C157" s="86" t="n">
        <f aca="false">Dashboard!$C26</f>
        <v>0</v>
      </c>
      <c r="D157" s="87" t="n">
        <f aca="false">Dashboard!$C26-F$156*(Dashboard!$C10/12)</f>
        <v>-5714.58226386785</v>
      </c>
      <c r="E157" s="88" t="n">
        <f aca="false">F$156*(Dashboard!$C10/12)</f>
        <v>5714.58226386785</v>
      </c>
      <c r="F157" s="86" t="n">
        <f aca="false">MAX(F$156-(Dashboard!$C26-F$156*(Dashboard!$C10/12)),0)</f>
        <v>985357.256069784</v>
      </c>
      <c r="G157" s="89" t="n">
        <f aca="false">G$156+F$156*(Dashboard!$C10/12)</f>
        <v>585357.256069784</v>
      </c>
      <c r="H157" s="90" t="n">
        <f aca="false">H$156+Dashboard!$C26-F$156*(Dashboard!$C10/12)</f>
        <v>-585357.256069784</v>
      </c>
    </row>
    <row r="158" customFormat="false" ht="15" hidden="false" customHeight="true" outlineLevel="0" collapsed="false">
      <c r="A158" s="91" t="n">
        <f aca="false">INT((156-1)/12)+1</f>
        <v>13</v>
      </c>
      <c r="B158" s="91" t="n">
        <f aca="false">MOD(156-1,12)+1</f>
        <v>12</v>
      </c>
      <c r="C158" s="92" t="n">
        <f aca="false">Dashboard!$C26</f>
        <v>0</v>
      </c>
      <c r="D158" s="93" t="n">
        <f aca="false">Dashboard!$C26-F$157*(Dashboard!$C10/12)</f>
        <v>-5747.91732707374</v>
      </c>
      <c r="E158" s="94" t="n">
        <f aca="false">F$157*(Dashboard!$C10/12)</f>
        <v>5747.91732707374</v>
      </c>
      <c r="F158" s="92" t="n">
        <f aca="false">MAX(F$157-(Dashboard!$C26-F$157*(Dashboard!$C10/12)),0)</f>
        <v>991105.173396858</v>
      </c>
      <c r="G158" s="95" t="n">
        <f aca="false">G$157+F$157*(Dashboard!$C10/12)</f>
        <v>591105.173396858</v>
      </c>
      <c r="H158" s="96" t="n">
        <f aca="false">H$157+Dashboard!$C26-F$157*(Dashboard!$C10/12)</f>
        <v>-591105.173396858</v>
      </c>
    </row>
    <row r="159" customFormat="false" ht="15" hidden="false" customHeight="true" outlineLevel="0" collapsed="false">
      <c r="A159" s="91" t="n">
        <f aca="false">INT((157-1)/12)+1</f>
        <v>14</v>
      </c>
      <c r="B159" s="91" t="n">
        <f aca="false">MOD(157-1,12)+1</f>
        <v>1</v>
      </c>
      <c r="C159" s="92" t="n">
        <f aca="false">Dashboard!$C26</f>
        <v>0</v>
      </c>
      <c r="D159" s="93" t="n">
        <f aca="false">Dashboard!$C26-F$158*(Dashboard!$C10/12)</f>
        <v>-5781.44684481501</v>
      </c>
      <c r="E159" s="94" t="n">
        <f aca="false">F$158*(Dashboard!$C10/12)</f>
        <v>5781.44684481501</v>
      </c>
      <c r="F159" s="92" t="n">
        <f aca="false">MAX(F$158-(Dashboard!$C26-F$158*(Dashboard!$C10/12)),0)</f>
        <v>996886.620241673</v>
      </c>
      <c r="G159" s="95" t="n">
        <f aca="false">G$158+F$158*(Dashboard!$C10/12)</f>
        <v>596886.620241673</v>
      </c>
      <c r="H159" s="96" t="n">
        <f aca="false">H$158+Dashboard!$C26-F$158*(Dashboard!$C10/12)</f>
        <v>-596886.620241673</v>
      </c>
    </row>
    <row r="160" customFormat="false" ht="15" hidden="false" customHeight="true" outlineLevel="0" collapsed="false">
      <c r="A160" s="91" t="n">
        <f aca="false">INT((158-1)/12)+1</f>
        <v>14</v>
      </c>
      <c r="B160" s="91" t="n">
        <f aca="false">MOD(158-1,12)+1</f>
        <v>2</v>
      </c>
      <c r="C160" s="92" t="n">
        <f aca="false">Dashboard!$C26</f>
        <v>0</v>
      </c>
      <c r="D160" s="93" t="n">
        <f aca="false">Dashboard!$C26-F$159*(Dashboard!$C10/12)</f>
        <v>-5815.17195140976</v>
      </c>
      <c r="E160" s="94" t="n">
        <f aca="false">F$159*(Dashboard!$C10/12)</f>
        <v>5815.17195140976</v>
      </c>
      <c r="F160" s="92" t="n">
        <f aca="false">MAX(F$159-(Dashboard!$C26-F$159*(Dashboard!$C10/12)),0)</f>
        <v>1002701.79219308</v>
      </c>
      <c r="G160" s="95" t="n">
        <f aca="false">G$159+F$159*(Dashboard!$C10/12)</f>
        <v>602701.792193083</v>
      </c>
      <c r="H160" s="96" t="n">
        <f aca="false">H$159+Dashboard!$C26-F$159*(Dashboard!$C10/12)</f>
        <v>-602701.792193083</v>
      </c>
    </row>
    <row r="161" customFormat="false" ht="15" hidden="false" customHeight="true" outlineLevel="0" collapsed="false">
      <c r="A161" s="91" t="n">
        <f aca="false">INT((159-1)/12)+1</f>
        <v>14</v>
      </c>
      <c r="B161" s="91" t="n">
        <f aca="false">MOD(159-1,12)+1</f>
        <v>3</v>
      </c>
      <c r="C161" s="92" t="n">
        <f aca="false">Dashboard!$C26</f>
        <v>0</v>
      </c>
      <c r="D161" s="93" t="n">
        <f aca="false">Dashboard!$C26-F$160*(Dashboard!$C10/12)</f>
        <v>-5849.09378779299</v>
      </c>
      <c r="E161" s="94" t="n">
        <f aca="false">F$160*(Dashboard!$C10/12)</f>
        <v>5849.09378779299</v>
      </c>
      <c r="F161" s="92" t="n">
        <f aca="false">MAX(F$160-(Dashboard!$C26-F$160*(Dashboard!$C10/12)),0)</f>
        <v>1008550.88598088</v>
      </c>
      <c r="G161" s="95" t="n">
        <f aca="false">G$160+F$160*(Dashboard!$C10/12)</f>
        <v>608550.885980876</v>
      </c>
      <c r="H161" s="96" t="n">
        <f aca="false">H$160+Dashboard!$C26-F$160*(Dashboard!$C10/12)</f>
        <v>-608550.885980876</v>
      </c>
    </row>
    <row r="162" customFormat="false" ht="15" hidden="false" customHeight="true" outlineLevel="0" collapsed="false">
      <c r="A162" s="91" t="n">
        <f aca="false">INT((160-1)/12)+1</f>
        <v>14</v>
      </c>
      <c r="B162" s="91" t="n">
        <f aca="false">MOD(160-1,12)+1</f>
        <v>4</v>
      </c>
      <c r="C162" s="92" t="n">
        <f aca="false">Dashboard!$C26</f>
        <v>0</v>
      </c>
      <c r="D162" s="93" t="n">
        <f aca="false">Dashboard!$C26-F$161*(Dashboard!$C10/12)</f>
        <v>-5883.21350155511</v>
      </c>
      <c r="E162" s="94" t="n">
        <f aca="false">F$161*(Dashboard!$C10/12)</f>
        <v>5883.21350155511</v>
      </c>
      <c r="F162" s="92" t="n">
        <f aca="false">MAX(F$161-(Dashboard!$C26-F$161*(Dashboard!$C10/12)),0)</f>
        <v>1014434.09948243</v>
      </c>
      <c r="G162" s="95" t="n">
        <f aca="false">G$161+F$161*(Dashboard!$C10/12)</f>
        <v>614434.099482431</v>
      </c>
      <c r="H162" s="96" t="n">
        <f aca="false">H$161+Dashboard!$C26-F$161*(Dashboard!$C10/12)</f>
        <v>-614434.099482431</v>
      </c>
    </row>
    <row r="163" customFormat="false" ht="15" hidden="false" customHeight="true" outlineLevel="0" collapsed="false">
      <c r="A163" s="91" t="n">
        <f aca="false">INT((161-1)/12)+1</f>
        <v>14</v>
      </c>
      <c r="B163" s="91" t="n">
        <f aca="false">MOD(161-1,12)+1</f>
        <v>5</v>
      </c>
      <c r="C163" s="92" t="n">
        <f aca="false">Dashboard!$C26</f>
        <v>0</v>
      </c>
      <c r="D163" s="93" t="n">
        <f aca="false">Dashboard!$C26-F$162*(Dashboard!$C10/12)</f>
        <v>-5917.53224698085</v>
      </c>
      <c r="E163" s="94" t="n">
        <f aca="false">F$162*(Dashboard!$C10/12)</f>
        <v>5917.53224698085</v>
      </c>
      <c r="F163" s="92" t="n">
        <f aca="false">MAX(F$162-(Dashboard!$C26-F$162*(Dashboard!$C10/12)),0)</f>
        <v>1020351.63172941</v>
      </c>
      <c r="G163" s="95" t="n">
        <f aca="false">G$162+F$162*(Dashboard!$C10/12)</f>
        <v>620351.631729412</v>
      </c>
      <c r="H163" s="96" t="n">
        <f aca="false">H$162+Dashboard!$C26-F$162*(Dashboard!$C10/12)</f>
        <v>-620351.631729412</v>
      </c>
    </row>
    <row r="164" customFormat="false" ht="15" hidden="false" customHeight="true" outlineLevel="0" collapsed="false">
      <c r="A164" s="91" t="n">
        <f aca="false">INT((162-1)/12)+1</f>
        <v>14</v>
      </c>
      <c r="B164" s="91" t="n">
        <f aca="false">MOD(162-1,12)+1</f>
        <v>6</v>
      </c>
      <c r="C164" s="92" t="n">
        <f aca="false">Dashboard!$C26</f>
        <v>0</v>
      </c>
      <c r="D164" s="93" t="n">
        <f aca="false">Dashboard!$C26-F$163*(Dashboard!$C10/12)</f>
        <v>-5952.05118508824</v>
      </c>
      <c r="E164" s="94" t="n">
        <f aca="false">F$163*(Dashboard!$C10/12)</f>
        <v>5952.05118508824</v>
      </c>
      <c r="F164" s="92" t="n">
        <f aca="false">MAX(F$163-(Dashboard!$C26-F$163*(Dashboard!$C10/12)),0)</f>
        <v>1026303.6829145</v>
      </c>
      <c r="G164" s="95" t="n">
        <f aca="false">G$163+F$163*(Dashboard!$C10/12)</f>
        <v>626303.6829145</v>
      </c>
      <c r="H164" s="96" t="n">
        <f aca="false">H$163+Dashboard!$C26-F$163*(Dashboard!$C10/12)</f>
        <v>-626303.6829145</v>
      </c>
    </row>
    <row r="165" customFormat="false" ht="15" hidden="false" customHeight="true" outlineLevel="0" collapsed="false">
      <c r="A165" s="91" t="n">
        <f aca="false">INT((163-1)/12)+1</f>
        <v>14</v>
      </c>
      <c r="B165" s="91" t="n">
        <f aca="false">MOD(163-1,12)+1</f>
        <v>7</v>
      </c>
      <c r="C165" s="92" t="n">
        <f aca="false">Dashboard!$C26</f>
        <v>0</v>
      </c>
      <c r="D165" s="93" t="n">
        <f aca="false">Dashboard!$C26-F$164*(Dashboard!$C10/12)</f>
        <v>-5986.77148366792</v>
      </c>
      <c r="E165" s="94" t="n">
        <f aca="false">F$164*(Dashboard!$C10/12)</f>
        <v>5986.77148366792</v>
      </c>
      <c r="F165" s="92" t="n">
        <f aca="false">MAX(F$164-(Dashboard!$C26-F$164*(Dashboard!$C10/12)),0)</f>
        <v>1032290.45439817</v>
      </c>
      <c r="G165" s="95" t="n">
        <f aca="false">G$164+F$164*(Dashboard!$C10/12)</f>
        <v>632290.454398168</v>
      </c>
      <c r="H165" s="96" t="n">
        <f aca="false">H$164+Dashboard!$C26-F$164*(Dashboard!$C10/12)</f>
        <v>-632290.454398168</v>
      </c>
    </row>
    <row r="166" customFormat="false" ht="15" hidden="false" customHeight="true" outlineLevel="0" collapsed="false">
      <c r="A166" s="91" t="n">
        <f aca="false">INT((164-1)/12)+1</f>
        <v>14</v>
      </c>
      <c r="B166" s="91" t="n">
        <f aca="false">MOD(164-1,12)+1</f>
        <v>8</v>
      </c>
      <c r="C166" s="92" t="n">
        <f aca="false">Dashboard!$C26</f>
        <v>0</v>
      </c>
      <c r="D166" s="93" t="n">
        <f aca="false">Dashboard!$C26-F$165*(Dashboard!$C10/12)</f>
        <v>-6021.69431732265</v>
      </c>
      <c r="E166" s="94" t="n">
        <f aca="false">F$165*(Dashboard!$C10/12)</f>
        <v>6021.69431732265</v>
      </c>
      <c r="F166" s="92" t="n">
        <f aca="false">MAX(F$165-(Dashboard!$C26-F$165*(Dashboard!$C10/12)),0)</f>
        <v>1038312.14871549</v>
      </c>
      <c r="G166" s="95" t="n">
        <f aca="false">G$165+F$165*(Dashboard!$C10/12)</f>
        <v>638312.148715491</v>
      </c>
      <c r="H166" s="96" t="n">
        <f aca="false">H$165+Dashboard!$C26-F$165*(Dashboard!$C10/12)</f>
        <v>-638312.148715491</v>
      </c>
    </row>
    <row r="167" customFormat="false" ht="15" hidden="false" customHeight="true" outlineLevel="0" collapsed="false">
      <c r="A167" s="91" t="n">
        <f aca="false">INT((165-1)/12)+1</f>
        <v>14</v>
      </c>
      <c r="B167" s="91" t="n">
        <f aca="false">MOD(165-1,12)+1</f>
        <v>9</v>
      </c>
      <c r="C167" s="92" t="n">
        <f aca="false">Dashboard!$C26</f>
        <v>0</v>
      </c>
      <c r="D167" s="93" t="n">
        <f aca="false">Dashboard!$C26-F$166*(Dashboard!$C10/12)</f>
        <v>-6056.82086750703</v>
      </c>
      <c r="E167" s="94" t="n">
        <f aca="false">F$166*(Dashboard!$C10/12)</f>
        <v>6056.82086750703</v>
      </c>
      <c r="F167" s="92" t="n">
        <f aca="false">MAX(F$166-(Dashboard!$C26-F$166*(Dashboard!$C10/12)),0)</f>
        <v>1044368.969583</v>
      </c>
      <c r="G167" s="95" t="n">
        <f aca="false">G$166+F$166*(Dashboard!$C10/12)</f>
        <v>644368.969582998</v>
      </c>
      <c r="H167" s="96" t="n">
        <f aca="false">H$166+Dashboard!$C26-F$166*(Dashboard!$C10/12)</f>
        <v>-644368.969582998</v>
      </c>
    </row>
    <row r="168" customFormat="false" ht="15" hidden="false" customHeight="true" outlineLevel="0" collapsed="false">
      <c r="A168" s="91" t="n">
        <f aca="false">INT((166-1)/12)+1</f>
        <v>14</v>
      </c>
      <c r="B168" s="91" t="n">
        <f aca="false">MOD(166-1,12)+1</f>
        <v>10</v>
      </c>
      <c r="C168" s="92" t="n">
        <f aca="false">Dashboard!$C26</f>
        <v>0</v>
      </c>
      <c r="D168" s="93" t="n">
        <f aca="false">Dashboard!$C26-F$167*(Dashboard!$C10/12)</f>
        <v>-6092.15232256749</v>
      </c>
      <c r="E168" s="94" t="n">
        <f aca="false">F$167*(Dashboard!$C10/12)</f>
        <v>6092.15232256749</v>
      </c>
      <c r="F168" s="92" t="n">
        <f aca="false">MAX(F$167-(Dashboard!$C26-F$167*(Dashboard!$C10/12)),0)</f>
        <v>1050461.12190557</v>
      </c>
      <c r="G168" s="95" t="n">
        <f aca="false">G$167+F$167*(Dashboard!$C10/12)</f>
        <v>650461.121905565</v>
      </c>
      <c r="H168" s="96" t="n">
        <f aca="false">H$167+Dashboard!$C26-F$167*(Dashboard!$C10/12)</f>
        <v>-650461.121905565</v>
      </c>
    </row>
    <row r="169" customFormat="false" ht="15" hidden="false" customHeight="true" outlineLevel="0" collapsed="false">
      <c r="A169" s="91" t="n">
        <f aca="false">INT((167-1)/12)+1</f>
        <v>14</v>
      </c>
      <c r="B169" s="91" t="n">
        <f aca="false">MOD(167-1,12)+1</f>
        <v>11</v>
      </c>
      <c r="C169" s="92" t="n">
        <f aca="false">Dashboard!$C26</f>
        <v>0</v>
      </c>
      <c r="D169" s="93" t="n">
        <f aca="false">Dashboard!$C26-F$168*(Dashboard!$C10/12)</f>
        <v>-6127.68987778246</v>
      </c>
      <c r="E169" s="94" t="n">
        <f aca="false">F$168*(Dashboard!$C10/12)</f>
        <v>6127.68987778246</v>
      </c>
      <c r="F169" s="92" t="n">
        <f aca="false">MAX(F$168-(Dashboard!$C26-F$168*(Dashboard!$C10/12)),0)</f>
        <v>1056588.81178335</v>
      </c>
      <c r="G169" s="95" t="n">
        <f aca="false">G$168+F$168*(Dashboard!$C10/12)</f>
        <v>656588.811783348</v>
      </c>
      <c r="H169" s="96" t="n">
        <f aca="false">H$168+Dashboard!$C26-F$168*(Dashboard!$C10/12)</f>
        <v>-656588.811783348</v>
      </c>
    </row>
    <row r="170" customFormat="false" ht="15" hidden="false" customHeight="true" outlineLevel="0" collapsed="false">
      <c r="A170" s="85" t="n">
        <f aca="false">INT((168-1)/12)+1</f>
        <v>14</v>
      </c>
      <c r="B170" s="85" t="n">
        <f aca="false">MOD(168-1,12)+1</f>
        <v>12</v>
      </c>
      <c r="C170" s="86" t="n">
        <f aca="false">Dashboard!$C26</f>
        <v>0</v>
      </c>
      <c r="D170" s="87" t="n">
        <f aca="false">Dashboard!$C26-F$169*(Dashboard!$C10/12)</f>
        <v>-6163.43473540286</v>
      </c>
      <c r="E170" s="88" t="n">
        <f aca="false">F$169*(Dashboard!$C10/12)</f>
        <v>6163.43473540286</v>
      </c>
      <c r="F170" s="86" t="n">
        <f aca="false">MAX(F$169-(Dashboard!$C26-F$169*(Dashboard!$C10/12)),0)</f>
        <v>1062752.24651875</v>
      </c>
      <c r="G170" s="89" t="n">
        <f aca="false">G$169+F$169*(Dashboard!$C10/12)</f>
        <v>662752.246518751</v>
      </c>
      <c r="H170" s="90" t="n">
        <f aca="false">H$169+Dashboard!$C26-F$169*(Dashboard!$C10/12)</f>
        <v>-662752.246518751</v>
      </c>
    </row>
    <row r="171" customFormat="false" ht="15" hidden="false" customHeight="true" outlineLevel="0" collapsed="false">
      <c r="A171" s="85" t="n">
        <f aca="false">INT((169-1)/12)+1</f>
        <v>15</v>
      </c>
      <c r="B171" s="85" t="n">
        <f aca="false">MOD(169-1,12)+1</f>
        <v>1</v>
      </c>
      <c r="C171" s="86" t="n">
        <f aca="false">Dashboard!$C26</f>
        <v>0</v>
      </c>
      <c r="D171" s="87" t="n">
        <f aca="false">Dashboard!$C26-F$170*(Dashboard!$C10/12)</f>
        <v>-6199.38810469271</v>
      </c>
      <c r="E171" s="88" t="n">
        <f aca="false">F$170*(Dashboard!$C10/12)</f>
        <v>6199.38810469271</v>
      </c>
      <c r="F171" s="86" t="n">
        <f aca="false">MAX(F$170-(Dashboard!$C26-F$170*(Dashboard!$C10/12)),0)</f>
        <v>1068951.63462344</v>
      </c>
      <c r="G171" s="89" t="n">
        <f aca="false">G$170+F$170*(Dashboard!$C10/12)</f>
        <v>668951.634623443</v>
      </c>
      <c r="H171" s="90" t="n">
        <f aca="false">H$170+Dashboard!$C26-F$170*(Dashboard!$C10/12)</f>
        <v>-668951.634623443</v>
      </c>
    </row>
    <row r="172" customFormat="false" ht="15" hidden="false" customHeight="true" outlineLevel="0" collapsed="false">
      <c r="A172" s="85" t="n">
        <f aca="false">INT((170-1)/12)+1</f>
        <v>15</v>
      </c>
      <c r="B172" s="85" t="n">
        <f aca="false">MOD(170-1,12)+1</f>
        <v>2</v>
      </c>
      <c r="C172" s="86" t="n">
        <f aca="false">Dashboard!$C26</f>
        <v>0</v>
      </c>
      <c r="D172" s="87" t="n">
        <f aca="false">Dashboard!$C26-F$171*(Dashboard!$C10/12)</f>
        <v>-6235.55120197009</v>
      </c>
      <c r="E172" s="88" t="n">
        <f aca="false">F$171*(Dashboard!$C10/12)</f>
        <v>6235.55120197009</v>
      </c>
      <c r="F172" s="86" t="n">
        <f aca="false">MAX(F$171-(Dashboard!$C26-F$171*(Dashboard!$C10/12)),0)</f>
        <v>1075187.18582541</v>
      </c>
      <c r="G172" s="89" t="n">
        <f aca="false">G$171+F$171*(Dashboard!$C10/12)</f>
        <v>675187.185825413</v>
      </c>
      <c r="H172" s="90" t="n">
        <f aca="false">H$171+Dashboard!$C26-F$171*(Dashboard!$C10/12)</f>
        <v>-675187.185825413</v>
      </c>
    </row>
    <row r="173" customFormat="false" ht="15" hidden="false" customHeight="true" outlineLevel="0" collapsed="false">
      <c r="A173" s="85" t="n">
        <f aca="false">INT((171-1)/12)+1</f>
        <v>15</v>
      </c>
      <c r="B173" s="85" t="n">
        <f aca="false">MOD(171-1,12)+1</f>
        <v>3</v>
      </c>
      <c r="C173" s="86" t="n">
        <f aca="false">Dashboard!$C26</f>
        <v>0</v>
      </c>
      <c r="D173" s="87" t="n">
        <f aca="false">Dashboard!$C26-F$172*(Dashboard!$C10/12)</f>
        <v>-6271.92525064825</v>
      </c>
      <c r="E173" s="88" t="n">
        <f aca="false">F$172*(Dashboard!$C10/12)</f>
        <v>6271.92525064825</v>
      </c>
      <c r="F173" s="86" t="n">
        <f aca="false">MAX(F$172-(Dashboard!$C26-F$172*(Dashboard!$C10/12)),0)</f>
        <v>1081459.11107606</v>
      </c>
      <c r="G173" s="89" t="n">
        <f aca="false">G$172+F$172*(Dashboard!$C10/12)</f>
        <v>681459.111076062</v>
      </c>
      <c r="H173" s="90" t="n">
        <f aca="false">H$172+Dashboard!$C26-F$172*(Dashboard!$C10/12)</f>
        <v>-681459.111076062</v>
      </c>
    </row>
    <row r="174" customFormat="false" ht="15" hidden="false" customHeight="true" outlineLevel="0" collapsed="false">
      <c r="A174" s="85" t="n">
        <f aca="false">INT((172-1)/12)+1</f>
        <v>15</v>
      </c>
      <c r="B174" s="85" t="n">
        <f aca="false">MOD(172-1,12)+1</f>
        <v>4</v>
      </c>
      <c r="C174" s="86" t="n">
        <f aca="false">Dashboard!$C26</f>
        <v>0</v>
      </c>
      <c r="D174" s="87" t="n">
        <f aca="false">Dashboard!$C26-F$173*(Dashboard!$C10/12)</f>
        <v>-6308.51148127703</v>
      </c>
      <c r="E174" s="88" t="n">
        <f aca="false">F$173*(Dashboard!$C10/12)</f>
        <v>6308.51148127703</v>
      </c>
      <c r="F174" s="86" t="n">
        <f aca="false">MAX(F$173-(Dashboard!$C26-F$173*(Dashboard!$C10/12)),0)</f>
        <v>1087767.62255734</v>
      </c>
      <c r="G174" s="89" t="n">
        <f aca="false">G$173+F$173*(Dashboard!$C10/12)</f>
        <v>687767.622557339</v>
      </c>
      <c r="H174" s="90" t="n">
        <f aca="false">H$173+Dashboard!$C26-F$173*(Dashboard!$C10/12)</f>
        <v>-687767.622557339</v>
      </c>
    </row>
    <row r="175" customFormat="false" ht="15" hidden="false" customHeight="true" outlineLevel="0" collapsed="false">
      <c r="A175" s="85" t="n">
        <f aca="false">INT((173-1)/12)+1</f>
        <v>15</v>
      </c>
      <c r="B175" s="85" t="n">
        <f aca="false">MOD(173-1,12)+1</f>
        <v>5</v>
      </c>
      <c r="C175" s="86" t="n">
        <f aca="false">Dashboard!$C26</f>
        <v>0</v>
      </c>
      <c r="D175" s="87" t="n">
        <f aca="false">Dashboard!$C26-F$174*(Dashboard!$C10/12)</f>
        <v>-6345.31113158448</v>
      </c>
      <c r="E175" s="88" t="n">
        <f aca="false">F$174*(Dashboard!$C10/12)</f>
        <v>6345.31113158448</v>
      </c>
      <c r="F175" s="86" t="n">
        <f aca="false">MAX(F$174-(Dashboard!$C26-F$174*(Dashboard!$C10/12)),0)</f>
        <v>1094112.93368892</v>
      </c>
      <c r="G175" s="89" t="n">
        <f aca="false">G$174+F$174*(Dashboard!$C10/12)</f>
        <v>694112.933688923</v>
      </c>
      <c r="H175" s="90" t="n">
        <f aca="false">H$174+Dashboard!$C26-F$174*(Dashboard!$C10/12)</f>
        <v>-694112.933688923</v>
      </c>
    </row>
    <row r="176" customFormat="false" ht="15" hidden="false" customHeight="true" outlineLevel="0" collapsed="false">
      <c r="A176" s="85" t="n">
        <f aca="false">INT((174-1)/12)+1</f>
        <v>15</v>
      </c>
      <c r="B176" s="85" t="n">
        <f aca="false">MOD(174-1,12)+1</f>
        <v>6</v>
      </c>
      <c r="C176" s="86" t="n">
        <f aca="false">Dashboard!$C26</f>
        <v>0</v>
      </c>
      <c r="D176" s="87" t="n">
        <f aca="false">Dashboard!$C26-F$175*(Dashboard!$C10/12)</f>
        <v>-6382.32544651872</v>
      </c>
      <c r="E176" s="88" t="n">
        <f aca="false">F$175*(Dashboard!$C10/12)</f>
        <v>6382.32544651872</v>
      </c>
      <c r="F176" s="86" t="n">
        <f aca="false">MAX(F$175-(Dashboard!$C26-F$175*(Dashboard!$C10/12)),0)</f>
        <v>1100495.25913544</v>
      </c>
      <c r="G176" s="89" t="n">
        <f aca="false">G$175+F$175*(Dashboard!$C10/12)</f>
        <v>700495.259135442</v>
      </c>
      <c r="H176" s="90" t="n">
        <f aca="false">H$175+Dashboard!$C26-F$175*(Dashboard!$C10/12)</f>
        <v>-700495.259135442</v>
      </c>
    </row>
    <row r="177" customFormat="false" ht="15" hidden="false" customHeight="true" outlineLevel="0" collapsed="false">
      <c r="A177" s="85" t="n">
        <f aca="false">INT((175-1)/12)+1</f>
        <v>15</v>
      </c>
      <c r="B177" s="85" t="n">
        <f aca="false">MOD(175-1,12)+1</f>
        <v>7</v>
      </c>
      <c r="C177" s="86" t="n">
        <f aca="false">Dashboard!$C26</f>
        <v>0</v>
      </c>
      <c r="D177" s="87" t="n">
        <f aca="false">Dashboard!$C26-F$176*(Dashboard!$C10/12)</f>
        <v>-6419.55567829008</v>
      </c>
      <c r="E177" s="88" t="n">
        <f aca="false">F$176*(Dashboard!$C10/12)</f>
        <v>6419.55567829008</v>
      </c>
      <c r="F177" s="86" t="n">
        <f aca="false">MAX(F$176-(Dashboard!$C26-F$176*(Dashboard!$C10/12)),0)</f>
        <v>1106914.81481373</v>
      </c>
      <c r="G177" s="89" t="n">
        <f aca="false">G$176+F$176*(Dashboard!$C10/12)</f>
        <v>706914.814813732</v>
      </c>
      <c r="H177" s="90" t="n">
        <f aca="false">H$176+Dashboard!$C26-F$176*(Dashboard!$C10/12)</f>
        <v>-706914.814813732</v>
      </c>
    </row>
    <row r="178" customFormat="false" ht="15" hidden="false" customHeight="true" outlineLevel="0" collapsed="false">
      <c r="A178" s="85" t="n">
        <f aca="false">INT((176-1)/12)+1</f>
        <v>15</v>
      </c>
      <c r="B178" s="85" t="n">
        <f aca="false">MOD(176-1,12)+1</f>
        <v>8</v>
      </c>
      <c r="C178" s="86" t="n">
        <f aca="false">Dashboard!$C26</f>
        <v>0</v>
      </c>
      <c r="D178" s="87" t="n">
        <f aca="false">Dashboard!$C26-F$177*(Dashboard!$C10/12)</f>
        <v>-6457.00308641344</v>
      </c>
      <c r="E178" s="88" t="n">
        <f aca="false">F$177*(Dashboard!$C10/12)</f>
        <v>6457.00308641344</v>
      </c>
      <c r="F178" s="86" t="n">
        <f aca="false">MAX(F$177-(Dashboard!$C26-F$177*(Dashboard!$C10/12)),0)</f>
        <v>1113371.81790015</v>
      </c>
      <c r="G178" s="89" t="n">
        <f aca="false">G$177+F$177*(Dashboard!$C10/12)</f>
        <v>713371.817900145</v>
      </c>
      <c r="H178" s="90" t="n">
        <f aca="false">H$177+Dashboard!$C26-F$177*(Dashboard!$C10/12)</f>
        <v>-713371.817900145</v>
      </c>
    </row>
    <row r="179" customFormat="false" ht="15" hidden="false" customHeight="true" outlineLevel="0" collapsed="false">
      <c r="A179" s="85" t="n">
        <f aca="false">INT((177-1)/12)+1</f>
        <v>15</v>
      </c>
      <c r="B179" s="85" t="n">
        <f aca="false">MOD(177-1,12)+1</f>
        <v>9</v>
      </c>
      <c r="C179" s="86" t="n">
        <f aca="false">Dashboard!$C26</f>
        <v>0</v>
      </c>
      <c r="D179" s="87" t="n">
        <f aca="false">Dashboard!$C26-F$178*(Dashboard!$C10/12)</f>
        <v>-6494.66893775085</v>
      </c>
      <c r="E179" s="88" t="n">
        <f aca="false">F$178*(Dashboard!$C10/12)</f>
        <v>6494.66893775085</v>
      </c>
      <c r="F179" s="86" t="n">
        <f aca="false">MAX(F$178-(Dashboard!$C26-F$178*(Dashboard!$C10/12)),0)</f>
        <v>1119866.4868379</v>
      </c>
      <c r="G179" s="89" t="n">
        <f aca="false">G$178+F$178*(Dashboard!$C10/12)</f>
        <v>719866.486837896</v>
      </c>
      <c r="H179" s="90" t="n">
        <f aca="false">H$178+Dashboard!$C26-F$178*(Dashboard!$C10/12)</f>
        <v>-719866.486837896</v>
      </c>
    </row>
    <row r="180" customFormat="false" ht="15" hidden="false" customHeight="true" outlineLevel="0" collapsed="false">
      <c r="A180" s="85" t="n">
        <f aca="false">INT((178-1)/12)+1</f>
        <v>15</v>
      </c>
      <c r="B180" s="85" t="n">
        <f aca="false">MOD(178-1,12)+1</f>
        <v>10</v>
      </c>
      <c r="C180" s="86" t="n">
        <f aca="false">Dashboard!$C26</f>
        <v>0</v>
      </c>
      <c r="D180" s="87" t="n">
        <f aca="false">Dashboard!$C26-F$179*(Dashboard!$C10/12)</f>
        <v>-6532.5545065544</v>
      </c>
      <c r="E180" s="88" t="n">
        <f aca="false">F$179*(Dashboard!$C10/12)</f>
        <v>6532.5545065544</v>
      </c>
      <c r="F180" s="86" t="n">
        <f aca="false">MAX(F$179-(Dashboard!$C26-F$179*(Dashboard!$C10/12)),0)</f>
        <v>1126399.04134445</v>
      </c>
      <c r="G180" s="89" t="n">
        <f aca="false">G$179+F$179*(Dashboard!$C10/12)</f>
        <v>726399.041344451</v>
      </c>
      <c r="H180" s="90" t="n">
        <f aca="false">H$179+Dashboard!$C26-F$179*(Dashboard!$C10/12)</f>
        <v>-726399.041344451</v>
      </c>
    </row>
    <row r="181" customFormat="false" ht="15" hidden="false" customHeight="true" outlineLevel="0" collapsed="false">
      <c r="A181" s="85" t="n">
        <f aca="false">INT((179-1)/12)+1</f>
        <v>15</v>
      </c>
      <c r="B181" s="85" t="n">
        <f aca="false">MOD(179-1,12)+1</f>
        <v>11</v>
      </c>
      <c r="C181" s="86" t="n">
        <f aca="false">Dashboard!$C26</f>
        <v>0</v>
      </c>
      <c r="D181" s="87" t="n">
        <f aca="false">Dashboard!$C26-F$180*(Dashboard!$C10/12)</f>
        <v>-6570.6610745093</v>
      </c>
      <c r="E181" s="88" t="n">
        <f aca="false">F$180*(Dashboard!$C10/12)</f>
        <v>6570.6610745093</v>
      </c>
      <c r="F181" s="86" t="n">
        <f aca="false">MAX(F$180-(Dashboard!$C26-F$180*(Dashboard!$C10/12)),0)</f>
        <v>1132969.70241896</v>
      </c>
      <c r="G181" s="89" t="n">
        <f aca="false">G$180+F$180*(Dashboard!$C10/12)</f>
        <v>732969.70241896</v>
      </c>
      <c r="H181" s="90" t="n">
        <f aca="false">H$180+Dashboard!$C26-F$180*(Dashboard!$C10/12)</f>
        <v>-732969.70241896</v>
      </c>
    </row>
    <row r="182" customFormat="false" ht="15" hidden="false" customHeight="true" outlineLevel="0" collapsed="false">
      <c r="A182" s="91" t="n">
        <f aca="false">INT((180-1)/12)+1</f>
        <v>15</v>
      </c>
      <c r="B182" s="91" t="n">
        <f aca="false">MOD(180-1,12)+1</f>
        <v>12</v>
      </c>
      <c r="C182" s="92" t="n">
        <f aca="false">Dashboard!$C26</f>
        <v>0</v>
      </c>
      <c r="D182" s="93" t="n">
        <f aca="false">Dashboard!$C26-F$181*(Dashboard!$C10/12)</f>
        <v>-6608.98993077727</v>
      </c>
      <c r="E182" s="94" t="n">
        <f aca="false">F$181*(Dashboard!$C10/12)</f>
        <v>6608.98993077727</v>
      </c>
      <c r="F182" s="92" t="n">
        <f aca="false">MAX(F$181-(Dashboard!$C26-F$181*(Dashboard!$C10/12)),0)</f>
        <v>1139578.69234974</v>
      </c>
      <c r="G182" s="95" t="n">
        <f aca="false">G$181+F$181*(Dashboard!$C10/12)</f>
        <v>739578.692349737</v>
      </c>
      <c r="H182" s="96" t="n">
        <f aca="false">H$181+Dashboard!$C26-F$181*(Dashboard!$C10/12)</f>
        <v>-739578.692349737</v>
      </c>
    </row>
    <row r="183" customFormat="false" ht="15" hidden="false" customHeight="true" outlineLevel="0" collapsed="false">
      <c r="A183" s="91" t="n">
        <f aca="false">INT((181-1)/12)+1</f>
        <v>16</v>
      </c>
      <c r="B183" s="91" t="n">
        <f aca="false">MOD(181-1,12)+1</f>
        <v>1</v>
      </c>
      <c r="C183" s="92" t="n">
        <f aca="false">Dashboard!$C26</f>
        <v>0</v>
      </c>
      <c r="D183" s="93" t="n">
        <f aca="false">Dashboard!$C26-F$182*(Dashboard!$C10/12)</f>
        <v>-6647.54237204014</v>
      </c>
      <c r="E183" s="94" t="n">
        <f aca="false">F$182*(Dashboard!$C10/12)</f>
        <v>6647.54237204014</v>
      </c>
      <c r="F183" s="92" t="n">
        <f aca="false">MAX(F$182-(Dashboard!$C26-F$182*(Dashboard!$C10/12)),0)</f>
        <v>1146226.23472178</v>
      </c>
      <c r="G183" s="95" t="n">
        <f aca="false">G$182+F$182*(Dashboard!$C10/12)</f>
        <v>746226.234721777</v>
      </c>
      <c r="H183" s="96" t="n">
        <f aca="false">H$182+Dashboard!$C26-F$182*(Dashboard!$C10/12)</f>
        <v>-746226.234721777</v>
      </c>
    </row>
    <row r="184" customFormat="false" ht="15" hidden="false" customHeight="true" outlineLevel="0" collapsed="false">
      <c r="A184" s="91" t="n">
        <f aca="false">INT((182-1)/12)+1</f>
        <v>16</v>
      </c>
      <c r="B184" s="91" t="n">
        <f aca="false">MOD(182-1,12)+1</f>
        <v>2</v>
      </c>
      <c r="C184" s="92" t="n">
        <f aca="false">Dashboard!$C26</f>
        <v>0</v>
      </c>
      <c r="D184" s="93" t="n">
        <f aca="false">Dashboard!$C26-F$183*(Dashboard!$C10/12)</f>
        <v>-6686.3197025437</v>
      </c>
      <c r="E184" s="94" t="n">
        <f aca="false">F$183*(Dashboard!$C10/12)</f>
        <v>6686.3197025437</v>
      </c>
      <c r="F184" s="92" t="n">
        <f aca="false">MAX(F$183-(Dashboard!$C26-F$183*(Dashboard!$C10/12)),0)</f>
        <v>1152912.55442432</v>
      </c>
      <c r="G184" s="95" t="n">
        <f aca="false">G$183+F$183*(Dashboard!$C10/12)</f>
        <v>752912.554424321</v>
      </c>
      <c r="H184" s="96" t="n">
        <f aca="false">H$183+Dashboard!$C26-F$183*(Dashboard!$C10/12)</f>
        <v>-752912.554424321</v>
      </c>
    </row>
    <row r="185" customFormat="false" ht="15" hidden="false" customHeight="true" outlineLevel="0" collapsed="false">
      <c r="A185" s="91" t="n">
        <f aca="false">INT((183-1)/12)+1</f>
        <v>16</v>
      </c>
      <c r="B185" s="91" t="n">
        <f aca="false">MOD(183-1,12)+1</f>
        <v>3</v>
      </c>
      <c r="C185" s="92" t="n">
        <f aca="false">Dashboard!$C26</f>
        <v>0</v>
      </c>
      <c r="D185" s="93" t="n">
        <f aca="false">Dashboard!$C26-F$184*(Dashboard!$C10/12)</f>
        <v>-6725.32323414188</v>
      </c>
      <c r="E185" s="94" t="n">
        <f aca="false">F$184*(Dashboard!$C10/12)</f>
        <v>6725.32323414188</v>
      </c>
      <c r="F185" s="92" t="n">
        <f aca="false">MAX(F$184-(Dashboard!$C26-F$184*(Dashboard!$C10/12)),0)</f>
        <v>1159637.87765846</v>
      </c>
      <c r="G185" s="95" t="n">
        <f aca="false">G$184+F$184*(Dashboard!$C10/12)</f>
        <v>759637.877658463</v>
      </c>
      <c r="H185" s="96" t="n">
        <f aca="false">H$184+Dashboard!$C26-F$184*(Dashboard!$C10/12)</f>
        <v>-759637.877658463</v>
      </c>
    </row>
    <row r="186" customFormat="false" ht="15" hidden="false" customHeight="true" outlineLevel="0" collapsed="false">
      <c r="A186" s="91" t="n">
        <f aca="false">INT((184-1)/12)+1</f>
        <v>16</v>
      </c>
      <c r="B186" s="91" t="n">
        <f aca="false">MOD(184-1,12)+1</f>
        <v>4</v>
      </c>
      <c r="C186" s="92" t="n">
        <f aca="false">Dashboard!$C26</f>
        <v>0</v>
      </c>
      <c r="D186" s="93" t="n">
        <f aca="false">Dashboard!$C26-F$185*(Dashboard!$C10/12)</f>
        <v>-6764.55428634104</v>
      </c>
      <c r="E186" s="94" t="n">
        <f aca="false">F$185*(Dashboard!$C10/12)</f>
        <v>6764.55428634104</v>
      </c>
      <c r="F186" s="92" t="n">
        <f aca="false">MAX(F$185-(Dashboard!$C26-F$185*(Dashboard!$C10/12)),0)</f>
        <v>1166402.4319448</v>
      </c>
      <c r="G186" s="95" t="n">
        <f aca="false">G$185+F$185*(Dashboard!$C10/12)</f>
        <v>766402.431944804</v>
      </c>
      <c r="H186" s="96" t="n">
        <f aca="false">H$185+Dashboard!$C26-F$185*(Dashboard!$C10/12)</f>
        <v>-766402.431944804</v>
      </c>
    </row>
    <row r="187" customFormat="false" ht="15" hidden="false" customHeight="true" outlineLevel="0" collapsed="false">
      <c r="A187" s="91" t="n">
        <f aca="false">INT((185-1)/12)+1</f>
        <v>16</v>
      </c>
      <c r="B187" s="91" t="n">
        <f aca="false">MOD(185-1,12)+1</f>
        <v>5</v>
      </c>
      <c r="C187" s="92" t="n">
        <f aca="false">Dashboard!$C26</f>
        <v>0</v>
      </c>
      <c r="D187" s="93" t="n">
        <f aca="false">Dashboard!$C26-F$186*(Dashboard!$C10/12)</f>
        <v>-6804.01418634469</v>
      </c>
      <c r="E187" s="94" t="n">
        <f aca="false">F$186*(Dashboard!$C10/12)</f>
        <v>6804.01418634469</v>
      </c>
      <c r="F187" s="92" t="n">
        <f aca="false">MAX(F$186-(Dashboard!$C26-F$186*(Dashboard!$C10/12)),0)</f>
        <v>1173206.44613115</v>
      </c>
      <c r="G187" s="95" t="n">
        <f aca="false">G$186+F$186*(Dashboard!$C10/12)</f>
        <v>773206.446131149</v>
      </c>
      <c r="H187" s="96" t="n">
        <f aca="false">H$186+Dashboard!$C26-F$186*(Dashboard!$C10/12)</f>
        <v>-773206.446131149</v>
      </c>
    </row>
    <row r="188" customFormat="false" ht="15" hidden="false" customHeight="true" outlineLevel="0" collapsed="false">
      <c r="A188" s="91" t="n">
        <f aca="false">INT((186-1)/12)+1</f>
        <v>16</v>
      </c>
      <c r="B188" s="91" t="n">
        <f aca="false">MOD(186-1,12)+1</f>
        <v>6</v>
      </c>
      <c r="C188" s="92" t="n">
        <f aca="false">Dashboard!$C26</f>
        <v>0</v>
      </c>
      <c r="D188" s="93" t="n">
        <f aca="false">Dashboard!$C26-F$187*(Dashboard!$C10/12)</f>
        <v>-6843.70426909837</v>
      </c>
      <c r="E188" s="94" t="n">
        <f aca="false">F$187*(Dashboard!$C10/12)</f>
        <v>6843.70426909837</v>
      </c>
      <c r="F188" s="92" t="n">
        <f aca="false">MAX(F$187-(Dashboard!$C26-F$187*(Dashboard!$C10/12)),0)</f>
        <v>1180050.15040025</v>
      </c>
      <c r="G188" s="95" t="n">
        <f aca="false">G$187+F$187*(Dashboard!$C10/12)</f>
        <v>780050.150400247</v>
      </c>
      <c r="H188" s="96" t="n">
        <f aca="false">H$187+Dashboard!$C26-F$187*(Dashboard!$C10/12)</f>
        <v>-780050.150400247</v>
      </c>
    </row>
    <row r="189" customFormat="false" ht="15" hidden="false" customHeight="true" outlineLevel="0" collapsed="false">
      <c r="A189" s="91" t="n">
        <f aca="false">INT((187-1)/12)+1</f>
        <v>16</v>
      </c>
      <c r="B189" s="91" t="n">
        <f aca="false">MOD(187-1,12)+1</f>
        <v>7</v>
      </c>
      <c r="C189" s="92" t="n">
        <f aca="false">Dashboard!$C26</f>
        <v>0</v>
      </c>
      <c r="D189" s="93" t="n">
        <f aca="false">Dashboard!$C26-F$188*(Dashboard!$C10/12)</f>
        <v>-6883.62587733478</v>
      </c>
      <c r="E189" s="94" t="n">
        <f aca="false">F$188*(Dashboard!$C10/12)</f>
        <v>6883.62587733478</v>
      </c>
      <c r="F189" s="92" t="n">
        <f aca="false">MAX(F$188-(Dashboard!$C26-F$188*(Dashboard!$C10/12)),0)</f>
        <v>1186933.77627758</v>
      </c>
      <c r="G189" s="95" t="n">
        <f aca="false">G$188+F$188*(Dashboard!$C10/12)</f>
        <v>786933.776277582</v>
      </c>
      <c r="H189" s="96" t="n">
        <f aca="false">H$188+Dashboard!$C26-F$188*(Dashboard!$C10/12)</f>
        <v>-786933.776277582</v>
      </c>
    </row>
    <row r="190" customFormat="false" ht="15" hidden="false" customHeight="true" outlineLevel="0" collapsed="false">
      <c r="A190" s="91" t="n">
        <f aca="false">INT((188-1)/12)+1</f>
        <v>16</v>
      </c>
      <c r="B190" s="91" t="n">
        <f aca="false">MOD(188-1,12)+1</f>
        <v>8</v>
      </c>
      <c r="C190" s="92" t="n">
        <f aca="false">Dashboard!$C26</f>
        <v>0</v>
      </c>
      <c r="D190" s="93" t="n">
        <f aca="false">Dashboard!$C26-F$189*(Dashboard!$C10/12)</f>
        <v>-6923.78036161923</v>
      </c>
      <c r="E190" s="94" t="n">
        <f aca="false">F$189*(Dashboard!$C10/12)</f>
        <v>6923.78036161923</v>
      </c>
      <c r="F190" s="92" t="n">
        <f aca="false">MAX(F$189-(Dashboard!$C26-F$189*(Dashboard!$C10/12)),0)</f>
        <v>1193857.5566392</v>
      </c>
      <c r="G190" s="95" t="n">
        <f aca="false">G$189+F$189*(Dashboard!$C10/12)</f>
        <v>793857.556639201</v>
      </c>
      <c r="H190" s="96" t="n">
        <f aca="false">H$189+Dashboard!$C26-F$189*(Dashboard!$C10/12)</f>
        <v>-793857.556639201</v>
      </c>
    </row>
    <row r="191" customFormat="false" ht="15" hidden="false" customHeight="true" outlineLevel="0" collapsed="false">
      <c r="A191" s="91" t="n">
        <f aca="false">INT((189-1)/12)+1</f>
        <v>16</v>
      </c>
      <c r="B191" s="91" t="n">
        <f aca="false">MOD(189-1,12)+1</f>
        <v>9</v>
      </c>
      <c r="C191" s="92" t="n">
        <f aca="false">Dashboard!$C26</f>
        <v>0</v>
      </c>
      <c r="D191" s="93" t="n">
        <f aca="false">Dashboard!$C26-F$190*(Dashboard!$C10/12)</f>
        <v>-6964.16908039534</v>
      </c>
      <c r="E191" s="94" t="n">
        <f aca="false">F$190*(Dashboard!$C10/12)</f>
        <v>6964.16908039534</v>
      </c>
      <c r="F191" s="92" t="n">
        <f aca="false">MAX(F$190-(Dashboard!$C26-F$190*(Dashboard!$C10/12)),0)</f>
        <v>1200821.7257196</v>
      </c>
      <c r="G191" s="95" t="n">
        <f aca="false">G$190+F$190*(Dashboard!$C10/12)</f>
        <v>800821.725719596</v>
      </c>
      <c r="H191" s="96" t="n">
        <f aca="false">H$190+Dashboard!$C26-F$190*(Dashboard!$C10/12)</f>
        <v>-800821.725719596</v>
      </c>
    </row>
    <row r="192" customFormat="false" ht="15" hidden="false" customHeight="true" outlineLevel="0" collapsed="false">
      <c r="A192" s="91" t="n">
        <f aca="false">INT((190-1)/12)+1</f>
        <v>16</v>
      </c>
      <c r="B192" s="91" t="n">
        <f aca="false">MOD(190-1,12)+1</f>
        <v>10</v>
      </c>
      <c r="C192" s="92" t="n">
        <f aca="false">Dashboard!$C26</f>
        <v>0</v>
      </c>
      <c r="D192" s="93" t="n">
        <f aca="false">Dashboard!$C26-F$191*(Dashboard!$C10/12)</f>
        <v>-7004.79340003098</v>
      </c>
      <c r="E192" s="94" t="n">
        <f aca="false">F$191*(Dashboard!$C10/12)</f>
        <v>7004.79340003098</v>
      </c>
      <c r="F192" s="92" t="n">
        <f aca="false">MAX(F$191-(Dashboard!$C26-F$191*(Dashboard!$C10/12)),0)</f>
        <v>1207826.51911963</v>
      </c>
      <c r="G192" s="95" t="n">
        <f aca="false">G$191+F$191*(Dashboard!$C10/12)</f>
        <v>807826.519119627</v>
      </c>
      <c r="H192" s="96" t="n">
        <f aca="false">H$191+Dashboard!$C26-F$191*(Dashboard!$C10/12)</f>
        <v>-807826.519119627</v>
      </c>
    </row>
    <row r="193" customFormat="false" ht="15" hidden="false" customHeight="true" outlineLevel="0" collapsed="false">
      <c r="A193" s="91" t="n">
        <f aca="false">INT((191-1)/12)+1</f>
        <v>16</v>
      </c>
      <c r="B193" s="91" t="n">
        <f aca="false">MOD(191-1,12)+1</f>
        <v>11</v>
      </c>
      <c r="C193" s="92" t="n">
        <f aca="false">Dashboard!$C26</f>
        <v>0</v>
      </c>
      <c r="D193" s="93" t="n">
        <f aca="false">Dashboard!$C26-F$192*(Dashboard!$C10/12)</f>
        <v>-7045.6546948645</v>
      </c>
      <c r="E193" s="94" t="n">
        <f aca="false">F$192*(Dashboard!$C10/12)</f>
        <v>7045.6546948645</v>
      </c>
      <c r="F193" s="92" t="n">
        <f aca="false">MAX(F$192-(Dashboard!$C26-F$192*(Dashboard!$C10/12)),0)</f>
        <v>1214872.17381449</v>
      </c>
      <c r="G193" s="95" t="n">
        <f aca="false">G$192+F$192*(Dashboard!$C10/12)</f>
        <v>814872.173814492</v>
      </c>
      <c r="H193" s="96" t="n">
        <f aca="false">H$192+Dashboard!$C26-F$192*(Dashboard!$C10/12)</f>
        <v>-814872.173814492</v>
      </c>
    </row>
    <row r="194" customFormat="false" ht="15" hidden="false" customHeight="true" outlineLevel="0" collapsed="false">
      <c r="A194" s="85" t="n">
        <f aca="false">INT((192-1)/12)+1</f>
        <v>16</v>
      </c>
      <c r="B194" s="85" t="n">
        <f aca="false">MOD(192-1,12)+1</f>
        <v>12</v>
      </c>
      <c r="C194" s="86" t="n">
        <f aca="false">Dashboard!$C26</f>
        <v>0</v>
      </c>
      <c r="D194" s="87" t="n">
        <f aca="false">Dashboard!$C26-F$193*(Dashboard!$C10/12)</f>
        <v>-7086.7543472512</v>
      </c>
      <c r="E194" s="88" t="n">
        <f aca="false">F$193*(Dashboard!$C10/12)</f>
        <v>7086.7543472512</v>
      </c>
      <c r="F194" s="86" t="n">
        <f aca="false">MAX(F$193-(Dashboard!$C26-F$193*(Dashboard!$C10/12)),0)</f>
        <v>1221958.92816174</v>
      </c>
      <c r="G194" s="89" t="n">
        <f aca="false">G$193+F$193*(Dashboard!$C10/12)</f>
        <v>821958.928161743</v>
      </c>
      <c r="H194" s="90" t="n">
        <f aca="false">H$193+Dashboard!$C26-F$193*(Dashboard!$C10/12)</f>
        <v>-821958.928161743</v>
      </c>
    </row>
    <row r="195" customFormat="false" ht="15" hidden="false" customHeight="true" outlineLevel="0" collapsed="false">
      <c r="A195" s="85" t="n">
        <f aca="false">INT((193-1)/12)+1</f>
        <v>17</v>
      </c>
      <c r="B195" s="85" t="n">
        <f aca="false">MOD(193-1,12)+1</f>
        <v>1</v>
      </c>
      <c r="C195" s="86" t="n">
        <f aca="false">Dashboard!$C26</f>
        <v>0</v>
      </c>
      <c r="D195" s="87" t="n">
        <f aca="false">Dashboard!$C26-F$194*(Dashboard!$C10/12)</f>
        <v>-7128.09374761017</v>
      </c>
      <c r="E195" s="88" t="n">
        <f aca="false">F$194*(Dashboard!$C10/12)</f>
        <v>7128.09374761017</v>
      </c>
      <c r="F195" s="86" t="n">
        <f aca="false">MAX(F$194-(Dashboard!$C26-F$194*(Dashboard!$C10/12)),0)</f>
        <v>1229087.02190935</v>
      </c>
      <c r="G195" s="89" t="n">
        <f aca="false">G$194+F$194*(Dashboard!$C10/12)</f>
        <v>829087.021909353</v>
      </c>
      <c r="H195" s="90" t="n">
        <f aca="false">H$194+Dashboard!$C26-F$194*(Dashboard!$C10/12)</f>
        <v>-829087.021909353</v>
      </c>
    </row>
    <row r="196" customFormat="false" ht="15" hidden="false" customHeight="true" outlineLevel="0" collapsed="false">
      <c r="A196" s="85" t="n">
        <f aca="false">INT((194-1)/12)+1</f>
        <v>17</v>
      </c>
      <c r="B196" s="85" t="n">
        <f aca="false">MOD(194-1,12)+1</f>
        <v>2</v>
      </c>
      <c r="C196" s="86" t="n">
        <f aca="false">Dashboard!$C26</f>
        <v>0</v>
      </c>
      <c r="D196" s="87" t="n">
        <f aca="false">Dashboard!$C26-F$195*(Dashboard!$C10/12)</f>
        <v>-7169.67429447123</v>
      </c>
      <c r="E196" s="88" t="n">
        <f aca="false">F$195*(Dashboard!$C10/12)</f>
        <v>7169.67429447123</v>
      </c>
      <c r="F196" s="86" t="n">
        <f aca="false">MAX(F$195-(Dashboard!$C26-F$195*(Dashboard!$C10/12)),0)</f>
        <v>1236256.69620382</v>
      </c>
      <c r="G196" s="89" t="n">
        <f aca="false">G$195+F$195*(Dashboard!$C10/12)</f>
        <v>836256.696203824</v>
      </c>
      <c r="H196" s="90" t="n">
        <f aca="false">H$195+Dashboard!$C26-F$195*(Dashboard!$C10/12)</f>
        <v>-836256.696203824</v>
      </c>
    </row>
    <row r="197" customFormat="false" ht="15" hidden="false" customHeight="true" outlineLevel="0" collapsed="false">
      <c r="A197" s="85" t="n">
        <f aca="false">INT((195-1)/12)+1</f>
        <v>17</v>
      </c>
      <c r="B197" s="85" t="n">
        <f aca="false">MOD(195-1,12)+1</f>
        <v>3</v>
      </c>
      <c r="C197" s="86" t="n">
        <f aca="false">Dashboard!$C26</f>
        <v>0</v>
      </c>
      <c r="D197" s="87" t="n">
        <f aca="false">Dashboard!$C26-F$196*(Dashboard!$C10/12)</f>
        <v>-7211.49739452231</v>
      </c>
      <c r="E197" s="88" t="n">
        <f aca="false">F$196*(Dashboard!$C10/12)</f>
        <v>7211.49739452231</v>
      </c>
      <c r="F197" s="86" t="n">
        <f aca="false">MAX(F$196-(Dashboard!$C26-F$196*(Dashboard!$C10/12)),0)</f>
        <v>1243468.19359835</v>
      </c>
      <c r="G197" s="89" t="n">
        <f aca="false">G$196+F$196*(Dashboard!$C10/12)</f>
        <v>843468.193598347</v>
      </c>
      <c r="H197" s="90" t="n">
        <f aca="false">H$196+Dashboard!$C26-F$196*(Dashboard!$C10/12)</f>
        <v>-843468.193598347</v>
      </c>
    </row>
    <row r="198" customFormat="false" ht="15" hidden="false" customHeight="true" outlineLevel="0" collapsed="false">
      <c r="A198" s="85" t="n">
        <f aca="false">INT((196-1)/12)+1</f>
        <v>17</v>
      </c>
      <c r="B198" s="85" t="n">
        <f aca="false">MOD(196-1,12)+1</f>
        <v>4</v>
      </c>
      <c r="C198" s="86" t="n">
        <f aca="false">Dashboard!$C26</f>
        <v>0</v>
      </c>
      <c r="D198" s="87" t="n">
        <f aca="false">Dashboard!$C26-F$197*(Dashboard!$C10/12)</f>
        <v>-7253.56446265703</v>
      </c>
      <c r="E198" s="88" t="n">
        <f aca="false">F$197*(Dashboard!$C10/12)</f>
        <v>7253.56446265703</v>
      </c>
      <c r="F198" s="86" t="n">
        <f aca="false">MAX(F$197-(Dashboard!$C26-F$197*(Dashboard!$C10/12)),0)</f>
        <v>1250721.758061</v>
      </c>
      <c r="G198" s="89" t="n">
        <f aca="false">G$197+F$197*(Dashboard!$C10/12)</f>
        <v>850721.758061004</v>
      </c>
      <c r="H198" s="90" t="n">
        <f aca="false">H$197+Dashboard!$C26-F$197*(Dashboard!$C10/12)</f>
        <v>-850721.758061004</v>
      </c>
    </row>
    <row r="199" customFormat="false" ht="15" hidden="false" customHeight="true" outlineLevel="0" collapsed="false">
      <c r="A199" s="85" t="n">
        <f aca="false">INT((197-1)/12)+1</f>
        <v>17</v>
      </c>
      <c r="B199" s="85" t="n">
        <f aca="false">MOD(197-1,12)+1</f>
        <v>5</v>
      </c>
      <c r="C199" s="86" t="n">
        <f aca="false">Dashboard!$C26</f>
        <v>0</v>
      </c>
      <c r="D199" s="87" t="n">
        <f aca="false">Dashboard!$C26-F$198*(Dashboard!$C10/12)</f>
        <v>-7295.87692202253</v>
      </c>
      <c r="E199" s="88" t="n">
        <f aca="false">F$198*(Dashboard!$C10/12)</f>
        <v>7295.87692202253</v>
      </c>
      <c r="F199" s="86" t="n">
        <f aca="false">MAX(F$198-(Dashboard!$C26-F$198*(Dashboard!$C10/12)),0)</f>
        <v>1258017.63498303</v>
      </c>
      <c r="G199" s="89" t="n">
        <f aca="false">G$198+F$198*(Dashboard!$C10/12)</f>
        <v>858017.634983026</v>
      </c>
      <c r="H199" s="90" t="n">
        <f aca="false">H$198+Dashboard!$C26-F$198*(Dashboard!$C10/12)</f>
        <v>-858017.634983026</v>
      </c>
    </row>
    <row r="200" customFormat="false" ht="15" hidden="false" customHeight="true" outlineLevel="0" collapsed="false">
      <c r="A200" s="85" t="n">
        <f aca="false">INT((198-1)/12)+1</f>
        <v>17</v>
      </c>
      <c r="B200" s="85" t="n">
        <f aca="false">MOD(198-1,12)+1</f>
        <v>6</v>
      </c>
      <c r="C200" s="86" t="n">
        <f aca="false">Dashboard!$C26</f>
        <v>0</v>
      </c>
      <c r="D200" s="87" t="n">
        <f aca="false">Dashboard!$C26-F$199*(Dashboard!$C10/12)</f>
        <v>-7338.43620406766</v>
      </c>
      <c r="E200" s="88" t="n">
        <f aca="false">F$199*(Dashboard!$C10/12)</f>
        <v>7338.43620406766</v>
      </c>
      <c r="F200" s="86" t="n">
        <f aca="false">MAX(F$199-(Dashboard!$C26-F$199*(Dashboard!$C10/12)),0)</f>
        <v>1265356.07118709</v>
      </c>
      <c r="G200" s="89" t="n">
        <f aca="false">G$199+F$199*(Dashboard!$C10/12)</f>
        <v>865356.071187094</v>
      </c>
      <c r="H200" s="90" t="n">
        <f aca="false">H$199+Dashboard!$C26-F$199*(Dashboard!$C10/12)</f>
        <v>-865356.071187094</v>
      </c>
    </row>
    <row r="201" customFormat="false" ht="15" hidden="false" customHeight="true" outlineLevel="0" collapsed="false">
      <c r="A201" s="85" t="n">
        <f aca="false">INT((199-1)/12)+1</f>
        <v>17</v>
      </c>
      <c r="B201" s="85" t="n">
        <f aca="false">MOD(199-1,12)+1</f>
        <v>7</v>
      </c>
      <c r="C201" s="86" t="n">
        <f aca="false">Dashboard!$C26</f>
        <v>0</v>
      </c>
      <c r="D201" s="87" t="n">
        <f aca="false">Dashboard!$C26-F$200*(Dashboard!$C10/12)</f>
        <v>-7381.24374859139</v>
      </c>
      <c r="E201" s="88" t="n">
        <f aca="false">F$200*(Dashboard!$C10/12)</f>
        <v>7381.24374859139</v>
      </c>
      <c r="F201" s="86" t="n">
        <f aca="false">MAX(F$200-(Dashboard!$C26-F$200*(Dashboard!$C10/12)),0)</f>
        <v>1272737.31493569</v>
      </c>
      <c r="G201" s="89" t="n">
        <f aca="false">G$200+F$200*(Dashboard!$C10/12)</f>
        <v>872737.314935685</v>
      </c>
      <c r="H201" s="90" t="n">
        <f aca="false">H$200+Dashboard!$C26-F$200*(Dashboard!$C10/12)</f>
        <v>-872737.314935685</v>
      </c>
    </row>
    <row r="202" customFormat="false" ht="15" hidden="false" customHeight="true" outlineLevel="0" collapsed="false">
      <c r="A202" s="85" t="n">
        <f aca="false">INT((200-1)/12)+1</f>
        <v>17</v>
      </c>
      <c r="B202" s="85" t="n">
        <f aca="false">MOD(200-1,12)+1</f>
        <v>8</v>
      </c>
      <c r="C202" s="86" t="n">
        <f aca="false">Dashboard!$C26</f>
        <v>0</v>
      </c>
      <c r="D202" s="87" t="n">
        <f aca="false">Dashboard!$C26-F$201*(Dashboard!$C10/12)</f>
        <v>-7424.3010037915</v>
      </c>
      <c r="E202" s="88" t="n">
        <f aca="false">F$201*(Dashboard!$C10/12)</f>
        <v>7424.3010037915</v>
      </c>
      <c r="F202" s="86" t="n">
        <f aca="false">MAX(F$201-(Dashboard!$C26-F$201*(Dashboard!$C10/12)),0)</f>
        <v>1280161.61593948</v>
      </c>
      <c r="G202" s="89" t="n">
        <f aca="false">G$201+F$201*(Dashboard!$C10/12)</f>
        <v>880161.615939477</v>
      </c>
      <c r="H202" s="90" t="n">
        <f aca="false">H$201+Dashboard!$C26-F$201*(Dashboard!$C10/12)</f>
        <v>-880161.615939477</v>
      </c>
    </row>
    <row r="203" customFormat="false" ht="15" hidden="false" customHeight="true" outlineLevel="0" collapsed="false">
      <c r="A203" s="85" t="n">
        <f aca="false">INT((201-1)/12)+1</f>
        <v>17</v>
      </c>
      <c r="B203" s="85" t="n">
        <f aca="false">MOD(201-1,12)+1</f>
        <v>9</v>
      </c>
      <c r="C203" s="86" t="n">
        <f aca="false">Dashboard!$C26</f>
        <v>0</v>
      </c>
      <c r="D203" s="87" t="n">
        <f aca="false">Dashboard!$C26-F$202*(Dashboard!$C10/12)</f>
        <v>-7467.60942631362</v>
      </c>
      <c r="E203" s="88" t="n">
        <f aca="false">F$202*(Dashboard!$C10/12)</f>
        <v>7467.60942631362</v>
      </c>
      <c r="F203" s="86" t="n">
        <f aca="false">MAX(F$202-(Dashboard!$C26-F$202*(Dashboard!$C10/12)),0)</f>
        <v>1287629.22536579</v>
      </c>
      <c r="G203" s="89" t="n">
        <f aca="false">G$202+F$202*(Dashboard!$C10/12)</f>
        <v>887629.22536579</v>
      </c>
      <c r="H203" s="90" t="n">
        <f aca="false">H$202+Dashboard!$C26-F$202*(Dashboard!$C10/12)</f>
        <v>-887629.22536579</v>
      </c>
    </row>
    <row r="204" customFormat="false" ht="15" hidden="false" customHeight="true" outlineLevel="0" collapsed="false">
      <c r="A204" s="85" t="n">
        <f aca="false">INT((202-1)/12)+1</f>
        <v>17</v>
      </c>
      <c r="B204" s="85" t="n">
        <f aca="false">MOD(202-1,12)+1</f>
        <v>10</v>
      </c>
      <c r="C204" s="86" t="n">
        <f aca="false">Dashboard!$C26</f>
        <v>0</v>
      </c>
      <c r="D204" s="87" t="n">
        <f aca="false">Dashboard!$C26-F$203*(Dashboard!$C10/12)</f>
        <v>-7511.17048130045</v>
      </c>
      <c r="E204" s="88" t="n">
        <f aca="false">F$203*(Dashboard!$C10/12)</f>
        <v>7511.17048130045</v>
      </c>
      <c r="F204" s="86" t="n">
        <f aca="false">MAX(F$203-(Dashboard!$C26-F$203*(Dashboard!$C10/12)),0)</f>
        <v>1295140.39584709</v>
      </c>
      <c r="G204" s="89" t="n">
        <f aca="false">G$203+F$203*(Dashboard!$C10/12)</f>
        <v>895140.395847091</v>
      </c>
      <c r="H204" s="90" t="n">
        <f aca="false">H$203+Dashboard!$C26-F$203*(Dashboard!$C10/12)</f>
        <v>-895140.395847091</v>
      </c>
    </row>
    <row r="205" customFormat="false" ht="15" hidden="false" customHeight="true" outlineLevel="0" collapsed="false">
      <c r="A205" s="85" t="n">
        <f aca="false">INT((203-1)/12)+1</f>
        <v>17</v>
      </c>
      <c r="B205" s="85" t="n">
        <f aca="false">MOD(203-1,12)+1</f>
        <v>11</v>
      </c>
      <c r="C205" s="86" t="n">
        <f aca="false">Dashboard!$C26</f>
        <v>0</v>
      </c>
      <c r="D205" s="87" t="n">
        <f aca="false">Dashboard!$C26-F$204*(Dashboard!$C10/12)</f>
        <v>-7554.98564244137</v>
      </c>
      <c r="E205" s="88" t="n">
        <f aca="false">F$204*(Dashboard!$C10/12)</f>
        <v>7554.98564244137</v>
      </c>
      <c r="F205" s="86" t="n">
        <f aca="false">MAX(F$204-(Dashboard!$C26-F$204*(Dashboard!$C10/12)),0)</f>
        <v>1302695.38148953</v>
      </c>
      <c r="G205" s="89" t="n">
        <f aca="false">G$204+F$204*(Dashboard!$C10/12)</f>
        <v>902695.381489532</v>
      </c>
      <c r="H205" s="90" t="n">
        <f aca="false">H$204+Dashboard!$C26-F$204*(Dashboard!$C10/12)</f>
        <v>-902695.381489532</v>
      </c>
    </row>
    <row r="206" customFormat="false" ht="15" hidden="false" customHeight="true" outlineLevel="0" collapsed="false">
      <c r="A206" s="91" t="n">
        <f aca="false">INT((204-1)/12)+1</f>
        <v>17</v>
      </c>
      <c r="B206" s="91" t="n">
        <f aca="false">MOD(204-1,12)+1</f>
        <v>12</v>
      </c>
      <c r="C206" s="92" t="n">
        <f aca="false">Dashboard!$C26</f>
        <v>0</v>
      </c>
      <c r="D206" s="93" t="n">
        <f aca="false">Dashboard!$C26-F$205*(Dashboard!$C10/12)</f>
        <v>-7599.05639202227</v>
      </c>
      <c r="E206" s="94" t="n">
        <f aca="false">F$205*(Dashboard!$C10/12)</f>
        <v>7599.05639202227</v>
      </c>
      <c r="F206" s="92" t="n">
        <f aca="false">MAX(F$205-(Dashboard!$C26-F$205*(Dashboard!$C10/12)),0)</f>
        <v>1310294.43788155</v>
      </c>
      <c r="G206" s="95" t="n">
        <f aca="false">G$205+F$205*(Dashboard!$C10/12)</f>
        <v>910294.437881555</v>
      </c>
      <c r="H206" s="96" t="n">
        <f aca="false">H$205+Dashboard!$C26-F$205*(Dashboard!$C10/12)</f>
        <v>-910294.437881555</v>
      </c>
    </row>
    <row r="207" customFormat="false" ht="15" hidden="false" customHeight="true" outlineLevel="0" collapsed="false">
      <c r="A207" s="91" t="n">
        <f aca="false">INT((205-1)/12)+1</f>
        <v>18</v>
      </c>
      <c r="B207" s="91" t="n">
        <f aca="false">MOD(205-1,12)+1</f>
        <v>1</v>
      </c>
      <c r="C207" s="92" t="n">
        <f aca="false">Dashboard!$C26</f>
        <v>0</v>
      </c>
      <c r="D207" s="93" t="n">
        <f aca="false">Dashboard!$C26-F$206*(Dashboard!$C10/12)</f>
        <v>-7643.38422097574</v>
      </c>
      <c r="E207" s="94" t="n">
        <f aca="false">F$206*(Dashboard!$C10/12)</f>
        <v>7643.38422097574</v>
      </c>
      <c r="F207" s="92" t="n">
        <f aca="false">MAX(F$206-(Dashboard!$C26-F$206*(Dashboard!$C10/12)),0)</f>
        <v>1317937.82210253</v>
      </c>
      <c r="G207" s="95" t="n">
        <f aca="false">G$206+F$206*(Dashboard!$C10/12)</f>
        <v>917937.82210253</v>
      </c>
      <c r="H207" s="96" t="n">
        <f aca="false">H$206+Dashboard!$C26-F$206*(Dashboard!$C10/12)</f>
        <v>-917937.82210253</v>
      </c>
    </row>
    <row r="208" customFormat="false" ht="15" hidden="false" customHeight="true" outlineLevel="0" collapsed="false">
      <c r="A208" s="91" t="n">
        <f aca="false">INT((206-1)/12)+1</f>
        <v>18</v>
      </c>
      <c r="B208" s="91" t="n">
        <f aca="false">MOD(206-1,12)+1</f>
        <v>2</v>
      </c>
      <c r="C208" s="92" t="n">
        <f aca="false">Dashboard!$C26</f>
        <v>0</v>
      </c>
      <c r="D208" s="93" t="n">
        <f aca="false">Dashboard!$C26-F$207*(Dashboard!$C10/12)</f>
        <v>-7687.97062893143</v>
      </c>
      <c r="E208" s="94" t="n">
        <f aca="false">F$207*(Dashboard!$C10/12)</f>
        <v>7687.97062893143</v>
      </c>
      <c r="F208" s="92" t="n">
        <f aca="false">MAX(F$207-(Dashboard!$C26-F$207*(Dashboard!$C10/12)),0)</f>
        <v>1325625.79273146</v>
      </c>
      <c r="G208" s="95" t="n">
        <f aca="false">G$207+F$207*(Dashboard!$C10/12)</f>
        <v>925625.792731462</v>
      </c>
      <c r="H208" s="96" t="n">
        <f aca="false">H$207+Dashboard!$C26-F$207*(Dashboard!$C10/12)</f>
        <v>-925625.792731462</v>
      </c>
    </row>
    <row r="209" customFormat="false" ht="15" hidden="false" customHeight="true" outlineLevel="0" collapsed="false">
      <c r="A209" s="91" t="n">
        <f aca="false">INT((207-1)/12)+1</f>
        <v>18</v>
      </c>
      <c r="B209" s="91" t="n">
        <f aca="false">MOD(207-1,12)+1</f>
        <v>3</v>
      </c>
      <c r="C209" s="92" t="n">
        <f aca="false">Dashboard!$C26</f>
        <v>0</v>
      </c>
      <c r="D209" s="93" t="n">
        <f aca="false">Dashboard!$C26-F$208*(Dashboard!$C10/12)</f>
        <v>-7732.81712426686</v>
      </c>
      <c r="E209" s="94" t="n">
        <f aca="false">F$208*(Dashboard!$C10/12)</f>
        <v>7732.81712426686</v>
      </c>
      <c r="F209" s="92" t="n">
        <f aca="false">MAX(F$208-(Dashboard!$C26-F$208*(Dashboard!$C10/12)),0)</f>
        <v>1333358.60985573</v>
      </c>
      <c r="G209" s="95" t="n">
        <f aca="false">G$208+F$208*(Dashboard!$C10/12)</f>
        <v>933358.609855729</v>
      </c>
      <c r="H209" s="96" t="n">
        <f aca="false">H$208+Dashboard!$C26-F$208*(Dashboard!$C10/12)</f>
        <v>-933358.609855729</v>
      </c>
    </row>
    <row r="210" customFormat="false" ht="15" hidden="false" customHeight="true" outlineLevel="0" collapsed="false">
      <c r="A210" s="91" t="n">
        <f aca="false">INT((208-1)/12)+1</f>
        <v>18</v>
      </c>
      <c r="B210" s="91" t="n">
        <f aca="false">MOD(208-1,12)+1</f>
        <v>4</v>
      </c>
      <c r="C210" s="92" t="n">
        <f aca="false">Dashboard!$C26</f>
        <v>0</v>
      </c>
      <c r="D210" s="93" t="n">
        <f aca="false">Dashboard!$C26-F$209*(Dashboard!$C10/12)</f>
        <v>-7777.92522415842</v>
      </c>
      <c r="E210" s="94" t="n">
        <f aca="false">F$209*(Dashboard!$C10/12)</f>
        <v>7777.92522415842</v>
      </c>
      <c r="F210" s="92" t="n">
        <f aca="false">MAX(F$209-(Dashboard!$C26-F$209*(Dashboard!$C10/12)),0)</f>
        <v>1341136.53507989</v>
      </c>
      <c r="G210" s="95" t="n">
        <f aca="false">G$209+F$209*(Dashboard!$C10/12)</f>
        <v>941136.535079887</v>
      </c>
      <c r="H210" s="96" t="n">
        <f aca="false">H$209+Dashboard!$C26-F$209*(Dashboard!$C10/12)</f>
        <v>-941136.535079887</v>
      </c>
    </row>
    <row r="211" customFormat="false" ht="15" hidden="false" customHeight="true" outlineLevel="0" collapsed="false">
      <c r="A211" s="91" t="n">
        <f aca="false">INT((209-1)/12)+1</f>
        <v>18</v>
      </c>
      <c r="B211" s="91" t="n">
        <f aca="false">MOD(209-1,12)+1</f>
        <v>5</v>
      </c>
      <c r="C211" s="92" t="n">
        <f aca="false">Dashboard!$C26</f>
        <v>0</v>
      </c>
      <c r="D211" s="93" t="n">
        <f aca="false">Dashboard!$C26-F$210*(Dashboard!$C10/12)</f>
        <v>-7823.29645463268</v>
      </c>
      <c r="E211" s="94" t="n">
        <f aca="false">F$210*(Dashboard!$C10/12)</f>
        <v>7823.29645463268</v>
      </c>
      <c r="F211" s="92" t="n">
        <f aca="false">MAX(F$210-(Dashboard!$C26-F$210*(Dashboard!$C10/12)),0)</f>
        <v>1348959.83153452</v>
      </c>
      <c r="G211" s="95" t="n">
        <f aca="false">G$210+F$210*(Dashboard!$C10/12)</f>
        <v>948959.83153452</v>
      </c>
      <c r="H211" s="96" t="n">
        <f aca="false">H$210+Dashboard!$C26-F$210*(Dashboard!$C10/12)</f>
        <v>-948959.83153452</v>
      </c>
    </row>
    <row r="212" customFormat="false" ht="15" hidden="false" customHeight="true" outlineLevel="0" collapsed="false">
      <c r="A212" s="91" t="n">
        <f aca="false">INT((210-1)/12)+1</f>
        <v>18</v>
      </c>
      <c r="B212" s="91" t="n">
        <f aca="false">MOD(210-1,12)+1</f>
        <v>6</v>
      </c>
      <c r="C212" s="92" t="n">
        <f aca="false">Dashboard!$C26</f>
        <v>0</v>
      </c>
      <c r="D212" s="93" t="n">
        <f aca="false">Dashboard!$C26-F$211*(Dashboard!$C10/12)</f>
        <v>-7868.93235061803</v>
      </c>
      <c r="E212" s="94" t="n">
        <f aca="false">F$211*(Dashboard!$C10/12)</f>
        <v>7868.93235061803</v>
      </c>
      <c r="F212" s="92" t="n">
        <f aca="false">MAX(F$211-(Dashboard!$C26-F$211*(Dashboard!$C10/12)),0)</f>
        <v>1356828.76388514</v>
      </c>
      <c r="G212" s="95" t="n">
        <f aca="false">G$211+F$211*(Dashboard!$C10/12)</f>
        <v>956828.763885138</v>
      </c>
      <c r="H212" s="96" t="n">
        <f aca="false">H$211+Dashboard!$C26-F$211*(Dashboard!$C10/12)</f>
        <v>-956828.763885138</v>
      </c>
    </row>
    <row r="213" customFormat="false" ht="15" hidden="false" customHeight="true" outlineLevel="0" collapsed="false">
      <c r="A213" s="91" t="n">
        <f aca="false">INT((211-1)/12)+1</f>
        <v>18</v>
      </c>
      <c r="B213" s="91" t="n">
        <f aca="false">MOD(211-1,12)+1</f>
        <v>7</v>
      </c>
      <c r="C213" s="92" t="n">
        <f aca="false">Dashboard!$C26</f>
        <v>0</v>
      </c>
      <c r="D213" s="93" t="n">
        <f aca="false">Dashboard!$C26-F$212*(Dashboard!$C10/12)</f>
        <v>-7914.83445599664</v>
      </c>
      <c r="E213" s="94" t="n">
        <f aca="false">F$212*(Dashboard!$C10/12)</f>
        <v>7914.83445599664</v>
      </c>
      <c r="F213" s="92" t="n">
        <f aca="false">MAX(F$212-(Dashboard!$C26-F$212*(Dashboard!$C10/12)),0)</f>
        <v>1364743.59834113</v>
      </c>
      <c r="G213" s="95" t="n">
        <f aca="false">G$212+F$212*(Dashboard!$C10/12)</f>
        <v>964743.598341134</v>
      </c>
      <c r="H213" s="96" t="n">
        <f aca="false">H$212+Dashboard!$C26-F$212*(Dashboard!$C10/12)</f>
        <v>-964743.598341134</v>
      </c>
    </row>
    <row r="214" customFormat="false" ht="15" hidden="false" customHeight="true" outlineLevel="0" collapsed="false">
      <c r="A214" s="91" t="n">
        <f aca="false">INT((212-1)/12)+1</f>
        <v>18</v>
      </c>
      <c r="B214" s="91" t="n">
        <f aca="false">MOD(212-1,12)+1</f>
        <v>8</v>
      </c>
      <c r="C214" s="92" t="n">
        <f aca="false">Dashboard!$C26</f>
        <v>0</v>
      </c>
      <c r="D214" s="93" t="n">
        <f aca="false">Dashboard!$C26-F$213*(Dashboard!$C10/12)</f>
        <v>-7961.00432365662</v>
      </c>
      <c r="E214" s="94" t="n">
        <f aca="false">F$213*(Dashboard!$C10/12)</f>
        <v>7961.00432365662</v>
      </c>
      <c r="F214" s="92" t="n">
        <f aca="false">MAX(F$213-(Dashboard!$C26-F$213*(Dashboard!$C10/12)),0)</f>
        <v>1372704.60266479</v>
      </c>
      <c r="G214" s="95" t="n">
        <f aca="false">G$213+F$213*(Dashboard!$C10/12)</f>
        <v>972704.602664791</v>
      </c>
      <c r="H214" s="96" t="n">
        <f aca="false">H$213+Dashboard!$C26-F$213*(Dashboard!$C10/12)</f>
        <v>-972704.602664791</v>
      </c>
    </row>
    <row r="215" customFormat="false" ht="15" hidden="false" customHeight="true" outlineLevel="0" collapsed="false">
      <c r="A215" s="91" t="n">
        <f aca="false">INT((213-1)/12)+1</f>
        <v>18</v>
      </c>
      <c r="B215" s="91" t="n">
        <f aca="false">MOD(213-1,12)+1</f>
        <v>9</v>
      </c>
      <c r="C215" s="92" t="n">
        <f aca="false">Dashboard!$C26</f>
        <v>0</v>
      </c>
      <c r="D215" s="93" t="n">
        <f aca="false">Dashboard!$C26-F$214*(Dashboard!$C10/12)</f>
        <v>-8007.44351554462</v>
      </c>
      <c r="E215" s="94" t="n">
        <f aca="false">F$214*(Dashboard!$C10/12)</f>
        <v>8007.44351554462</v>
      </c>
      <c r="F215" s="92" t="n">
        <f aca="false">MAX(F$214-(Dashboard!$C26-F$214*(Dashboard!$C10/12)),0)</f>
        <v>1380712.04618034</v>
      </c>
      <c r="G215" s="95" t="n">
        <f aca="false">G$214+F$214*(Dashboard!$C10/12)</f>
        <v>980712.046180336</v>
      </c>
      <c r="H215" s="96" t="n">
        <f aca="false">H$214+Dashboard!$C26-F$214*(Dashboard!$C10/12)</f>
        <v>-980712.046180336</v>
      </c>
    </row>
    <row r="216" customFormat="false" ht="15" hidden="false" customHeight="true" outlineLevel="0" collapsed="false">
      <c r="A216" s="91" t="n">
        <f aca="false">INT((214-1)/12)+1</f>
        <v>18</v>
      </c>
      <c r="B216" s="91" t="n">
        <f aca="false">MOD(214-1,12)+1</f>
        <v>10</v>
      </c>
      <c r="C216" s="92" t="n">
        <f aca="false">Dashboard!$C26</f>
        <v>0</v>
      </c>
      <c r="D216" s="93" t="n">
        <f aca="false">Dashboard!$C26-F$215*(Dashboard!$C10/12)</f>
        <v>-8054.15360271863</v>
      </c>
      <c r="E216" s="94" t="n">
        <f aca="false">F$215*(Dashboard!$C10/12)</f>
        <v>8054.15360271863</v>
      </c>
      <c r="F216" s="92" t="n">
        <f aca="false">MAX(F$215-(Dashboard!$C26-F$215*(Dashboard!$C10/12)),0)</f>
        <v>1388766.19978305</v>
      </c>
      <c r="G216" s="95" t="n">
        <f aca="false">G$215+F$215*(Dashboard!$C10/12)</f>
        <v>988766.199783054</v>
      </c>
      <c r="H216" s="96" t="n">
        <f aca="false">H$215+Dashboard!$C26-F$215*(Dashboard!$C10/12)</f>
        <v>-988766.199783054</v>
      </c>
    </row>
    <row r="217" customFormat="false" ht="15" hidden="false" customHeight="true" outlineLevel="0" collapsed="false">
      <c r="A217" s="91" t="n">
        <f aca="false">INT((215-1)/12)+1</f>
        <v>18</v>
      </c>
      <c r="B217" s="91" t="n">
        <f aca="false">MOD(215-1,12)+1</f>
        <v>11</v>
      </c>
      <c r="C217" s="92" t="n">
        <f aca="false">Dashboard!$C26</f>
        <v>0</v>
      </c>
      <c r="D217" s="93" t="n">
        <f aca="false">Dashboard!$C26-F$216*(Dashboard!$C10/12)</f>
        <v>-8101.13616540115</v>
      </c>
      <c r="E217" s="94" t="n">
        <f aca="false">F$216*(Dashboard!$C10/12)</f>
        <v>8101.13616540115</v>
      </c>
      <c r="F217" s="92" t="n">
        <f aca="false">MAX(F$216-(Dashboard!$C26-F$216*(Dashboard!$C10/12)),0)</f>
        <v>1396867.33594846</v>
      </c>
      <c r="G217" s="95" t="n">
        <f aca="false">G$216+F$216*(Dashboard!$C10/12)</f>
        <v>996867.335948455</v>
      </c>
      <c r="H217" s="96" t="n">
        <f aca="false">H$216+Dashboard!$C26-F$216*(Dashboard!$C10/12)</f>
        <v>-996867.335948455</v>
      </c>
    </row>
    <row r="218" customFormat="false" ht="15" hidden="false" customHeight="true" outlineLevel="0" collapsed="false">
      <c r="A218" s="85" t="n">
        <f aca="false">INT((216-1)/12)+1</f>
        <v>18</v>
      </c>
      <c r="B218" s="85" t="n">
        <f aca="false">MOD(216-1,12)+1</f>
        <v>12</v>
      </c>
      <c r="C218" s="86" t="n">
        <f aca="false">Dashboard!$C26</f>
        <v>0</v>
      </c>
      <c r="D218" s="87" t="n">
        <f aca="false">Dashboard!$C26-F$217*(Dashboard!$C10/12)</f>
        <v>-8148.39279303266</v>
      </c>
      <c r="E218" s="88" t="n">
        <f aca="false">F$217*(Dashboard!$C10/12)</f>
        <v>8148.39279303266</v>
      </c>
      <c r="F218" s="86" t="n">
        <f aca="false">MAX(F$217-(Dashboard!$C26-F$217*(Dashboard!$C10/12)),0)</f>
        <v>1405015.72874149</v>
      </c>
      <c r="G218" s="89" t="n">
        <f aca="false">G$217+F$217*(Dashboard!$C10/12)</f>
        <v>1005015.72874149</v>
      </c>
      <c r="H218" s="90" t="n">
        <f aca="false">H$217+Dashboard!$C26-F$217*(Dashboard!$C10/12)</f>
        <v>-1005015.72874149</v>
      </c>
    </row>
    <row r="219" customFormat="false" ht="15" hidden="false" customHeight="true" outlineLevel="0" collapsed="false">
      <c r="A219" s="85" t="n">
        <f aca="false">INT((217-1)/12)+1</f>
        <v>19</v>
      </c>
      <c r="B219" s="85" t="n">
        <f aca="false">MOD(217-1,12)+1</f>
        <v>1</v>
      </c>
      <c r="C219" s="86" t="n">
        <f aca="false">Dashboard!$C26</f>
        <v>0</v>
      </c>
      <c r="D219" s="87" t="n">
        <f aca="false">Dashboard!$C26-F$218*(Dashboard!$C10/12)</f>
        <v>-8195.92508432535</v>
      </c>
      <c r="E219" s="88" t="n">
        <f aca="false">F$218*(Dashboard!$C10/12)</f>
        <v>8195.92508432535</v>
      </c>
      <c r="F219" s="86" t="n">
        <f aca="false">MAX(F$218-(Dashboard!$C26-F$218*(Dashboard!$C10/12)),0)</f>
        <v>1413211.65382581</v>
      </c>
      <c r="G219" s="89" t="n">
        <f aca="false">G$218+F$218*(Dashboard!$C10/12)</f>
        <v>1013211.65382581</v>
      </c>
      <c r="H219" s="90" t="n">
        <f aca="false">H$218+Dashboard!$C26-F$218*(Dashboard!$C10/12)</f>
        <v>-1013211.65382581</v>
      </c>
    </row>
    <row r="220" customFormat="false" ht="15" hidden="false" customHeight="true" outlineLevel="0" collapsed="false">
      <c r="A220" s="85" t="n">
        <f aca="false">INT((218-1)/12)+1</f>
        <v>19</v>
      </c>
      <c r="B220" s="85" t="n">
        <f aca="false">MOD(218-1,12)+1</f>
        <v>2</v>
      </c>
      <c r="C220" s="86" t="n">
        <f aca="false">Dashboard!$C26</f>
        <v>0</v>
      </c>
      <c r="D220" s="87" t="n">
        <f aca="false">Dashboard!$C26-F$219*(Dashboard!$C10/12)</f>
        <v>-8243.73464731725</v>
      </c>
      <c r="E220" s="88" t="n">
        <f aca="false">F$219*(Dashboard!$C10/12)</f>
        <v>8243.73464731725</v>
      </c>
      <c r="F220" s="86" t="n">
        <f aca="false">MAX(F$219-(Dashboard!$C26-F$219*(Dashboard!$C10/12)),0)</f>
        <v>1421455.38847313</v>
      </c>
      <c r="G220" s="89" t="n">
        <f aca="false">G$219+F$219*(Dashboard!$C10/12)</f>
        <v>1021455.38847313</v>
      </c>
      <c r="H220" s="90" t="n">
        <f aca="false">H$219+Dashboard!$C26-F$219*(Dashboard!$C10/12)</f>
        <v>-1021455.38847313</v>
      </c>
    </row>
    <row r="221" customFormat="false" ht="15" hidden="false" customHeight="true" outlineLevel="0" collapsed="false">
      <c r="A221" s="85" t="n">
        <f aca="false">INT((219-1)/12)+1</f>
        <v>19</v>
      </c>
      <c r="B221" s="85" t="n">
        <f aca="false">MOD(219-1,12)+1</f>
        <v>3</v>
      </c>
      <c r="C221" s="86" t="n">
        <f aca="false">Dashboard!$C26</f>
        <v>0</v>
      </c>
      <c r="D221" s="87" t="n">
        <f aca="false">Dashboard!$C26-F$220*(Dashboard!$C10/12)</f>
        <v>-8291.8230994266</v>
      </c>
      <c r="E221" s="88" t="n">
        <f aca="false">F$220*(Dashboard!$C10/12)</f>
        <v>8291.8230994266</v>
      </c>
      <c r="F221" s="86" t="n">
        <f aca="false">MAX(F$220-(Dashboard!$C26-F$220*(Dashboard!$C10/12)),0)</f>
        <v>1429747.21157256</v>
      </c>
      <c r="G221" s="89" t="n">
        <f aca="false">G$220+F$220*(Dashboard!$C10/12)</f>
        <v>1029747.21157256</v>
      </c>
      <c r="H221" s="90" t="n">
        <f aca="false">H$220+Dashboard!$C26-F$220*(Dashboard!$C10/12)</f>
        <v>-1029747.21157256</v>
      </c>
    </row>
    <row r="222" customFormat="false" ht="15" hidden="false" customHeight="true" outlineLevel="0" collapsed="false">
      <c r="A222" s="85" t="n">
        <f aca="false">INT((220-1)/12)+1</f>
        <v>19</v>
      </c>
      <c r="B222" s="85" t="n">
        <f aca="false">MOD(220-1,12)+1</f>
        <v>4</v>
      </c>
      <c r="C222" s="86" t="n">
        <f aca="false">Dashboard!$C26</f>
        <v>0</v>
      </c>
      <c r="D222" s="87" t="n">
        <f aca="false">Dashboard!$C26-F$221*(Dashboard!$C10/12)</f>
        <v>-8340.19206750659</v>
      </c>
      <c r="E222" s="88" t="n">
        <f aca="false">F$221*(Dashboard!$C10/12)</f>
        <v>8340.19206750659</v>
      </c>
      <c r="F222" s="86" t="n">
        <f aca="false">MAX(F$221-(Dashboard!$C26-F$221*(Dashboard!$C10/12)),0)</f>
        <v>1438087.40364006</v>
      </c>
      <c r="G222" s="89" t="n">
        <f aca="false">G$221+F$221*(Dashboard!$C10/12)</f>
        <v>1038087.40364006</v>
      </c>
      <c r="H222" s="90" t="n">
        <f aca="false">H$221+Dashboard!$C26-F$221*(Dashboard!$C10/12)</f>
        <v>-1038087.40364006</v>
      </c>
    </row>
    <row r="223" customFormat="false" ht="15" hidden="false" customHeight="true" outlineLevel="0" collapsed="false">
      <c r="A223" s="85" t="n">
        <f aca="false">INT((221-1)/12)+1</f>
        <v>19</v>
      </c>
      <c r="B223" s="85" t="n">
        <f aca="false">MOD(221-1,12)+1</f>
        <v>5</v>
      </c>
      <c r="C223" s="86" t="n">
        <f aca="false">Dashboard!$C26</f>
        <v>0</v>
      </c>
      <c r="D223" s="87" t="n">
        <f aca="false">Dashboard!$C26-F$222*(Dashboard!$C10/12)</f>
        <v>-8388.84318790037</v>
      </c>
      <c r="E223" s="88" t="n">
        <f aca="false">F$222*(Dashboard!$C10/12)</f>
        <v>8388.84318790037</v>
      </c>
      <c r="F223" s="86" t="n">
        <f aca="false">MAX(F$222-(Dashboard!$C26-F$222*(Dashboard!$C10/12)),0)</f>
        <v>1446476.24682796</v>
      </c>
      <c r="G223" s="89" t="n">
        <f aca="false">G$222+F$222*(Dashboard!$C10/12)</f>
        <v>1046476.24682796</v>
      </c>
      <c r="H223" s="90" t="n">
        <f aca="false">H$222+Dashboard!$C26-F$222*(Dashboard!$C10/12)</f>
        <v>-1046476.24682796</v>
      </c>
    </row>
    <row r="224" customFormat="false" ht="15" hidden="false" customHeight="true" outlineLevel="0" collapsed="false">
      <c r="A224" s="85" t="n">
        <f aca="false">INT((222-1)/12)+1</f>
        <v>19</v>
      </c>
      <c r="B224" s="85" t="n">
        <f aca="false">MOD(222-1,12)+1</f>
        <v>6</v>
      </c>
      <c r="C224" s="86" t="n">
        <f aca="false">Dashboard!$C26</f>
        <v>0</v>
      </c>
      <c r="D224" s="87" t="n">
        <f aca="false">Dashboard!$C26-F$223*(Dashboard!$C10/12)</f>
        <v>-8437.77810649646</v>
      </c>
      <c r="E224" s="88" t="n">
        <f aca="false">F$223*(Dashboard!$C10/12)</f>
        <v>8437.77810649646</v>
      </c>
      <c r="F224" s="86" t="n">
        <f aca="false">MAX(F$223-(Dashboard!$C26-F$223*(Dashboard!$C10/12)),0)</f>
        <v>1454914.02493446</v>
      </c>
      <c r="G224" s="89" t="n">
        <f aca="false">G$223+F$223*(Dashboard!$C10/12)</f>
        <v>1054914.02493446</v>
      </c>
      <c r="H224" s="90" t="n">
        <f aca="false">H$223+Dashboard!$C26-F$223*(Dashboard!$C10/12)</f>
        <v>-1054914.02493446</v>
      </c>
    </row>
    <row r="225" customFormat="false" ht="15" hidden="false" customHeight="true" outlineLevel="0" collapsed="false">
      <c r="A225" s="85" t="n">
        <f aca="false">INT((223-1)/12)+1</f>
        <v>19</v>
      </c>
      <c r="B225" s="85" t="n">
        <f aca="false">MOD(223-1,12)+1</f>
        <v>7</v>
      </c>
      <c r="C225" s="86" t="n">
        <f aca="false">Dashboard!$C26</f>
        <v>0</v>
      </c>
      <c r="D225" s="87" t="n">
        <f aca="false">Dashboard!$C26-F$224*(Dashboard!$C10/12)</f>
        <v>-8486.99847878436</v>
      </c>
      <c r="E225" s="88" t="n">
        <f aca="false">F$224*(Dashboard!$C10/12)</f>
        <v>8486.99847878436</v>
      </c>
      <c r="F225" s="86" t="n">
        <f aca="false">MAX(F$224-(Dashboard!$C26-F$224*(Dashboard!$C10/12)),0)</f>
        <v>1463401.02341325</v>
      </c>
      <c r="G225" s="89" t="n">
        <f aca="false">G$224+F$224*(Dashboard!$C10/12)</f>
        <v>1063401.02341325</v>
      </c>
      <c r="H225" s="90" t="n">
        <f aca="false">H$224+Dashboard!$C26-F$224*(Dashboard!$C10/12)</f>
        <v>-1063401.02341325</v>
      </c>
    </row>
    <row r="226" customFormat="false" ht="15" hidden="false" customHeight="true" outlineLevel="0" collapsed="false">
      <c r="A226" s="85" t="n">
        <f aca="false">INT((224-1)/12)+1</f>
        <v>19</v>
      </c>
      <c r="B226" s="85" t="n">
        <f aca="false">MOD(224-1,12)+1</f>
        <v>8</v>
      </c>
      <c r="C226" s="86" t="n">
        <f aca="false">Dashboard!$C26</f>
        <v>0</v>
      </c>
      <c r="D226" s="87" t="n">
        <f aca="false">Dashboard!$C26-F$225*(Dashboard!$C10/12)</f>
        <v>-8536.5059699106</v>
      </c>
      <c r="E226" s="88" t="n">
        <f aca="false">F$225*(Dashboard!$C10/12)</f>
        <v>8536.5059699106</v>
      </c>
      <c r="F226" s="86" t="n">
        <f aca="false">MAX(F$225-(Dashboard!$C26-F$225*(Dashboard!$C10/12)),0)</f>
        <v>1471937.52938316</v>
      </c>
      <c r="G226" s="89" t="n">
        <f aca="false">G$225+F$225*(Dashboard!$C10/12)</f>
        <v>1071937.52938316</v>
      </c>
      <c r="H226" s="90" t="n">
        <f aca="false">H$225+Dashboard!$C26-F$225*(Dashboard!$C10/12)</f>
        <v>-1071937.52938316</v>
      </c>
    </row>
    <row r="227" customFormat="false" ht="15" hidden="false" customHeight="true" outlineLevel="0" collapsed="false">
      <c r="A227" s="85" t="n">
        <f aca="false">INT((225-1)/12)+1</f>
        <v>19</v>
      </c>
      <c r="B227" s="85" t="n">
        <f aca="false">MOD(225-1,12)+1</f>
        <v>9</v>
      </c>
      <c r="C227" s="86" t="n">
        <f aca="false">Dashboard!$C26</f>
        <v>0</v>
      </c>
      <c r="D227" s="87" t="n">
        <f aca="false">Dashboard!$C26-F$226*(Dashboard!$C10/12)</f>
        <v>-8586.30225473508</v>
      </c>
      <c r="E227" s="88" t="n">
        <f aca="false">F$226*(Dashboard!$C10/12)</f>
        <v>8586.30225473508</v>
      </c>
      <c r="F227" s="86" t="n">
        <f aca="false">MAX(F$226-(Dashboard!$C26-F$226*(Dashboard!$C10/12)),0)</f>
        <v>1480523.83163789</v>
      </c>
      <c r="G227" s="89" t="n">
        <f aca="false">G$226+F$226*(Dashboard!$C10/12)</f>
        <v>1080523.83163789</v>
      </c>
      <c r="H227" s="90" t="n">
        <f aca="false">H$226+Dashboard!$C26-F$226*(Dashboard!$C10/12)</f>
        <v>-1080523.83163789</v>
      </c>
    </row>
    <row r="228" customFormat="false" ht="15" hidden="false" customHeight="true" outlineLevel="0" collapsed="false">
      <c r="A228" s="85" t="n">
        <f aca="false">INT((226-1)/12)+1</f>
        <v>19</v>
      </c>
      <c r="B228" s="85" t="n">
        <f aca="false">MOD(226-1,12)+1</f>
        <v>10</v>
      </c>
      <c r="C228" s="86" t="n">
        <f aca="false">Dashboard!$C26</f>
        <v>0</v>
      </c>
      <c r="D228" s="87" t="n">
        <f aca="false">Dashboard!$C26-F$227*(Dashboard!$C10/12)</f>
        <v>-8636.3890178877</v>
      </c>
      <c r="E228" s="88" t="n">
        <f aca="false">F$227*(Dashboard!$C10/12)</f>
        <v>8636.3890178877</v>
      </c>
      <c r="F228" s="86" t="n">
        <f aca="false">MAX(F$227-(Dashboard!$C26-F$227*(Dashboard!$C10/12)),0)</f>
        <v>1489160.22065578</v>
      </c>
      <c r="G228" s="89" t="n">
        <f aca="false">G$227+F$227*(Dashboard!$C10/12)</f>
        <v>1089160.22065578</v>
      </c>
      <c r="H228" s="90" t="n">
        <f aca="false">H$227+Dashboard!$C26-F$227*(Dashboard!$C10/12)</f>
        <v>-1089160.22065578</v>
      </c>
    </row>
    <row r="229" customFormat="false" ht="15" hidden="false" customHeight="true" outlineLevel="0" collapsed="false">
      <c r="A229" s="85" t="n">
        <f aca="false">INT((227-1)/12)+1</f>
        <v>19</v>
      </c>
      <c r="B229" s="85" t="n">
        <f aca="false">MOD(227-1,12)+1</f>
        <v>11</v>
      </c>
      <c r="C229" s="86" t="n">
        <f aca="false">Dashboard!$C26</f>
        <v>0</v>
      </c>
      <c r="D229" s="87" t="n">
        <f aca="false">Dashboard!$C26-F$228*(Dashboard!$C10/12)</f>
        <v>-8686.76795382537</v>
      </c>
      <c r="E229" s="88" t="n">
        <f aca="false">F$228*(Dashboard!$C10/12)</f>
        <v>8686.76795382537</v>
      </c>
      <c r="F229" s="86" t="n">
        <f aca="false">MAX(F$228-(Dashboard!$C26-F$228*(Dashboard!$C10/12)),0)</f>
        <v>1497846.9886096</v>
      </c>
      <c r="G229" s="89" t="n">
        <f aca="false">G$228+F$228*(Dashboard!$C10/12)</f>
        <v>1097846.9886096</v>
      </c>
      <c r="H229" s="90" t="n">
        <f aca="false">H$228+Dashboard!$C26-F$228*(Dashboard!$C10/12)</f>
        <v>-1097846.9886096</v>
      </c>
    </row>
    <row r="230" customFormat="false" ht="15" hidden="false" customHeight="true" outlineLevel="0" collapsed="false">
      <c r="A230" s="91" t="n">
        <f aca="false">INT((228-1)/12)+1</f>
        <v>19</v>
      </c>
      <c r="B230" s="91" t="n">
        <f aca="false">MOD(228-1,12)+1</f>
        <v>12</v>
      </c>
      <c r="C230" s="92" t="n">
        <f aca="false">Dashboard!$C26</f>
        <v>0</v>
      </c>
      <c r="D230" s="93" t="n">
        <f aca="false">Dashboard!$C26-F$229*(Dashboard!$C10/12)</f>
        <v>-8737.44076688936</v>
      </c>
      <c r="E230" s="94" t="n">
        <f aca="false">F$229*(Dashboard!$C10/12)</f>
        <v>8737.44076688936</v>
      </c>
      <c r="F230" s="92" t="n">
        <f aca="false">MAX(F$229-(Dashboard!$C26-F$229*(Dashboard!$C10/12)),0)</f>
        <v>1506584.42937649</v>
      </c>
      <c r="G230" s="95" t="n">
        <f aca="false">G$229+F$229*(Dashboard!$C10/12)</f>
        <v>1106584.42937649</v>
      </c>
      <c r="H230" s="96" t="n">
        <f aca="false">H$229+Dashboard!$C26-F$229*(Dashboard!$C10/12)</f>
        <v>-1106584.42937649</v>
      </c>
    </row>
    <row r="231" customFormat="false" ht="15" hidden="false" customHeight="true" outlineLevel="0" collapsed="false">
      <c r="A231" s="91" t="n">
        <f aca="false">INT((229-1)/12)+1</f>
        <v>20</v>
      </c>
      <c r="B231" s="91" t="n">
        <f aca="false">MOD(229-1,12)+1</f>
        <v>1</v>
      </c>
      <c r="C231" s="92" t="n">
        <f aca="false">Dashboard!$C26</f>
        <v>0</v>
      </c>
      <c r="D231" s="93" t="n">
        <f aca="false">Dashboard!$C26-F$230*(Dashboard!$C10/12)</f>
        <v>-8788.40917136288</v>
      </c>
      <c r="E231" s="94" t="n">
        <f aca="false">F$230*(Dashboard!$C10/12)</f>
        <v>8788.40917136288</v>
      </c>
      <c r="F231" s="92" t="n">
        <f aca="false">MAX(F$230-(Dashboard!$C26-F$230*(Dashboard!$C10/12)),0)</f>
        <v>1515372.83854786</v>
      </c>
      <c r="G231" s="95" t="n">
        <f aca="false">G$230+F$230*(Dashboard!$C10/12)</f>
        <v>1115372.83854786</v>
      </c>
      <c r="H231" s="96" t="n">
        <f aca="false">H$230+Dashboard!$C26-F$230*(Dashboard!$C10/12)</f>
        <v>-1115372.83854786</v>
      </c>
    </row>
    <row r="232" customFormat="false" ht="15" hidden="false" customHeight="true" outlineLevel="0" collapsed="false">
      <c r="A232" s="91" t="n">
        <f aca="false">INT((230-1)/12)+1</f>
        <v>20</v>
      </c>
      <c r="B232" s="91" t="n">
        <f aca="false">MOD(230-1,12)+1</f>
        <v>2</v>
      </c>
      <c r="C232" s="92" t="n">
        <f aca="false">Dashboard!$C26</f>
        <v>0</v>
      </c>
      <c r="D232" s="93" t="n">
        <f aca="false">Dashboard!$C26-F$231*(Dashboard!$C10/12)</f>
        <v>-8839.67489152916</v>
      </c>
      <c r="E232" s="94" t="n">
        <f aca="false">F$231*(Dashboard!$C10/12)</f>
        <v>8839.67489152916</v>
      </c>
      <c r="F232" s="92" t="n">
        <f aca="false">MAX(F$231-(Dashboard!$C26-F$231*(Dashboard!$C10/12)),0)</f>
        <v>1524212.51343939</v>
      </c>
      <c r="G232" s="95" t="n">
        <f aca="false">G$231+F$231*(Dashboard!$C10/12)</f>
        <v>1124212.51343939</v>
      </c>
      <c r="H232" s="96" t="n">
        <f aca="false">H$231+Dashboard!$C26-F$231*(Dashboard!$C10/12)</f>
        <v>-1124212.51343939</v>
      </c>
    </row>
    <row r="233" customFormat="false" ht="15" hidden="false" customHeight="true" outlineLevel="0" collapsed="false">
      <c r="A233" s="91" t="n">
        <f aca="false">INT((231-1)/12)+1</f>
        <v>20</v>
      </c>
      <c r="B233" s="91" t="n">
        <f aca="false">MOD(231-1,12)+1</f>
        <v>3</v>
      </c>
      <c r="C233" s="92" t="n">
        <f aca="false">Dashboard!$C26</f>
        <v>0</v>
      </c>
      <c r="D233" s="93" t="n">
        <f aca="false">Dashboard!$C26-F$232*(Dashboard!$C10/12)</f>
        <v>-8891.23966172975</v>
      </c>
      <c r="E233" s="94" t="n">
        <f aca="false">F$232*(Dashboard!$C10/12)</f>
        <v>8891.23966172975</v>
      </c>
      <c r="F233" s="92" t="n">
        <f aca="false">MAX(F$232-(Dashboard!$C26-F$232*(Dashboard!$C10/12)),0)</f>
        <v>1533103.75310111</v>
      </c>
      <c r="G233" s="95" t="n">
        <f aca="false">G$232+F$232*(Dashboard!$C10/12)</f>
        <v>1133103.75310111</v>
      </c>
      <c r="H233" s="96" t="n">
        <f aca="false">H$232+Dashboard!$C26-F$232*(Dashboard!$C10/12)</f>
        <v>-1133103.75310111</v>
      </c>
    </row>
    <row r="234" customFormat="false" ht="15" hidden="false" customHeight="true" outlineLevel="0" collapsed="false">
      <c r="A234" s="91" t="n">
        <f aca="false">INT((232-1)/12)+1</f>
        <v>20</v>
      </c>
      <c r="B234" s="91" t="n">
        <f aca="false">MOD(232-1,12)+1</f>
        <v>4</v>
      </c>
      <c r="C234" s="92" t="n">
        <f aca="false">Dashboard!$C26</f>
        <v>0</v>
      </c>
      <c r="D234" s="93" t="n">
        <f aca="false">Dashboard!$C26-F$233*(Dashboard!$C10/12)</f>
        <v>-8943.10522642317</v>
      </c>
      <c r="E234" s="94" t="n">
        <f aca="false">F$233*(Dashboard!$C10/12)</f>
        <v>8943.10522642317</v>
      </c>
      <c r="F234" s="92" t="n">
        <f aca="false">MAX(F$233-(Dashboard!$C26-F$233*(Dashboard!$C10/12)),0)</f>
        <v>1542046.85832754</v>
      </c>
      <c r="G234" s="95" t="n">
        <f aca="false">G$233+F$233*(Dashboard!$C10/12)</f>
        <v>1142046.85832754</v>
      </c>
      <c r="H234" s="96" t="n">
        <f aca="false">H$233+Dashboard!$C26-F$233*(Dashboard!$C10/12)</f>
        <v>-1142046.85832754</v>
      </c>
    </row>
    <row r="235" customFormat="false" ht="15" hidden="false" customHeight="true" outlineLevel="0" collapsed="false">
      <c r="A235" s="91" t="n">
        <f aca="false">INT((233-1)/12)+1</f>
        <v>20</v>
      </c>
      <c r="B235" s="91" t="n">
        <f aca="false">MOD(233-1,12)+1</f>
        <v>5</v>
      </c>
      <c r="C235" s="92" t="n">
        <f aca="false">Dashboard!$C26</f>
        <v>0</v>
      </c>
      <c r="D235" s="93" t="n">
        <f aca="false">Dashboard!$C26-F$234*(Dashboard!$C10/12)</f>
        <v>-8995.27334024397</v>
      </c>
      <c r="E235" s="94" t="n">
        <f aca="false">F$234*(Dashboard!$C10/12)</f>
        <v>8995.27334024397</v>
      </c>
      <c r="F235" s="92" t="n">
        <f aca="false">MAX(F$234-(Dashboard!$C26-F$234*(Dashboard!$C10/12)),0)</f>
        <v>1551042.13166778</v>
      </c>
      <c r="G235" s="95" t="n">
        <f aca="false">G$234+F$234*(Dashboard!$C10/12)</f>
        <v>1151042.13166778</v>
      </c>
      <c r="H235" s="96" t="n">
        <f aca="false">H$234+Dashboard!$C26-F$234*(Dashboard!$C10/12)</f>
        <v>-1151042.13166778</v>
      </c>
    </row>
    <row r="236" customFormat="false" ht="15" hidden="false" customHeight="true" outlineLevel="0" collapsed="false">
      <c r="A236" s="91" t="n">
        <f aca="false">INT((234-1)/12)+1</f>
        <v>20</v>
      </c>
      <c r="B236" s="91" t="n">
        <f aca="false">MOD(234-1,12)+1</f>
        <v>6</v>
      </c>
      <c r="C236" s="92" t="n">
        <f aca="false">Dashboard!$C26</f>
        <v>0</v>
      </c>
      <c r="D236" s="93" t="n">
        <f aca="false">Dashboard!$C26-F$235*(Dashboard!$C10/12)</f>
        <v>-9047.74576806206</v>
      </c>
      <c r="E236" s="94" t="n">
        <f aca="false">F$235*(Dashboard!$C10/12)</f>
        <v>9047.74576806206</v>
      </c>
      <c r="F236" s="92" t="n">
        <f aca="false">MAX(F$235-(Dashboard!$C26-F$235*(Dashboard!$C10/12)),0)</f>
        <v>1560089.87743584</v>
      </c>
      <c r="G236" s="95" t="n">
        <f aca="false">G$235+F$235*(Dashboard!$C10/12)</f>
        <v>1160089.87743584</v>
      </c>
      <c r="H236" s="96" t="n">
        <f aca="false">H$235+Dashboard!$C26-F$235*(Dashboard!$C10/12)</f>
        <v>-1160089.87743584</v>
      </c>
    </row>
    <row r="237" customFormat="false" ht="15" hidden="false" customHeight="true" outlineLevel="0" collapsed="false">
      <c r="A237" s="91" t="n">
        <f aca="false">INT((235-1)/12)+1</f>
        <v>20</v>
      </c>
      <c r="B237" s="91" t="n">
        <f aca="false">MOD(235-1,12)+1</f>
        <v>7</v>
      </c>
      <c r="C237" s="92" t="n">
        <f aca="false">Dashboard!$C26</f>
        <v>0</v>
      </c>
      <c r="D237" s="93" t="n">
        <f aca="false">Dashboard!$C26-F$236*(Dashboard!$C10/12)</f>
        <v>-9100.52428504242</v>
      </c>
      <c r="E237" s="94" t="n">
        <f aca="false">F$236*(Dashboard!$C10/12)</f>
        <v>9100.52428504242</v>
      </c>
      <c r="F237" s="92" t="n">
        <f aca="false">MAX(F$236-(Dashboard!$C26-F$236*(Dashboard!$C10/12)),0)</f>
        <v>1569190.40172089</v>
      </c>
      <c r="G237" s="95" t="n">
        <f aca="false">G$236+F$236*(Dashboard!$C10/12)</f>
        <v>1169190.40172089</v>
      </c>
      <c r="H237" s="96" t="n">
        <f aca="false">H$236+Dashboard!$C26-F$236*(Dashboard!$C10/12)</f>
        <v>-1169190.40172089</v>
      </c>
    </row>
    <row r="238" customFormat="false" ht="15" hidden="false" customHeight="true" outlineLevel="0" collapsed="false">
      <c r="A238" s="91" t="n">
        <f aca="false">INT((236-1)/12)+1</f>
        <v>20</v>
      </c>
      <c r="B238" s="91" t="n">
        <f aca="false">MOD(236-1,12)+1</f>
        <v>8</v>
      </c>
      <c r="C238" s="92" t="n">
        <f aca="false">Dashboard!$C26</f>
        <v>0</v>
      </c>
      <c r="D238" s="93" t="n">
        <f aca="false">Dashboard!$C26-F$237*(Dashboard!$C10/12)</f>
        <v>-9153.61067670517</v>
      </c>
      <c r="E238" s="94" t="n">
        <f aca="false">F$237*(Dashboard!$C10/12)</f>
        <v>9153.61067670517</v>
      </c>
      <c r="F238" s="92" t="n">
        <f aca="false">MAX(F$237-(Dashboard!$C26-F$237*(Dashboard!$C10/12)),0)</f>
        <v>1578344.01239759</v>
      </c>
      <c r="G238" s="95" t="n">
        <f aca="false">G$237+F$237*(Dashboard!$C10/12)</f>
        <v>1178344.01239759</v>
      </c>
      <c r="H238" s="96" t="n">
        <f aca="false">H$237+Dashboard!$C26-F$237*(Dashboard!$C10/12)</f>
        <v>-1178344.01239759</v>
      </c>
    </row>
    <row r="239" customFormat="false" ht="15" hidden="false" customHeight="true" outlineLevel="0" collapsed="false">
      <c r="A239" s="91" t="n">
        <f aca="false">INT((237-1)/12)+1</f>
        <v>20</v>
      </c>
      <c r="B239" s="91" t="n">
        <f aca="false">MOD(237-1,12)+1</f>
        <v>9</v>
      </c>
      <c r="C239" s="92" t="n">
        <f aca="false">Dashboard!$C26</f>
        <v>0</v>
      </c>
      <c r="D239" s="93" t="n">
        <f aca="false">Dashboard!$C26-F$238*(Dashboard!$C10/12)</f>
        <v>-9207.00673898595</v>
      </c>
      <c r="E239" s="94" t="n">
        <f aca="false">F$238*(Dashboard!$C10/12)</f>
        <v>9207.00673898595</v>
      </c>
      <c r="F239" s="92" t="n">
        <f aca="false">MAX(F$238-(Dashboard!$C26-F$238*(Dashboard!$C10/12)),0)</f>
        <v>1587551.01913658</v>
      </c>
      <c r="G239" s="95" t="n">
        <f aca="false">G$238+F$238*(Dashboard!$C10/12)</f>
        <v>1187551.01913658</v>
      </c>
      <c r="H239" s="96" t="n">
        <f aca="false">H$238+Dashboard!$C26-F$238*(Dashboard!$C10/12)</f>
        <v>-1187551.01913658</v>
      </c>
    </row>
    <row r="240" customFormat="false" ht="15" hidden="false" customHeight="true" outlineLevel="0" collapsed="false">
      <c r="A240" s="91" t="n">
        <f aca="false">INT((238-1)/12)+1</f>
        <v>20</v>
      </c>
      <c r="B240" s="91" t="n">
        <f aca="false">MOD(238-1,12)+1</f>
        <v>10</v>
      </c>
      <c r="C240" s="92" t="n">
        <f aca="false">Dashboard!$C26</f>
        <v>0</v>
      </c>
      <c r="D240" s="93" t="n">
        <f aca="false">Dashboard!$C26-F$239*(Dashboard!$C10/12)</f>
        <v>-9260.7142782967</v>
      </c>
      <c r="E240" s="94" t="n">
        <f aca="false">F$239*(Dashboard!$C10/12)</f>
        <v>9260.7142782967</v>
      </c>
      <c r="F240" s="92" t="n">
        <f aca="false">MAX(F$239-(Dashboard!$C26-F$239*(Dashboard!$C10/12)),0)</f>
        <v>1596811.73341487</v>
      </c>
      <c r="G240" s="95" t="n">
        <f aca="false">G$239+F$239*(Dashboard!$C10/12)</f>
        <v>1196811.73341487</v>
      </c>
      <c r="H240" s="96" t="n">
        <f aca="false">H$239+Dashboard!$C26-F$239*(Dashboard!$C10/12)</f>
        <v>-1196811.73341487</v>
      </c>
    </row>
    <row r="241" customFormat="false" ht="15" hidden="false" customHeight="true" outlineLevel="0" collapsed="false">
      <c r="A241" s="91" t="n">
        <f aca="false">INT((239-1)/12)+1</f>
        <v>20</v>
      </c>
      <c r="B241" s="91" t="n">
        <f aca="false">MOD(239-1,12)+1</f>
        <v>11</v>
      </c>
      <c r="C241" s="92" t="n">
        <f aca="false">Dashboard!$C26</f>
        <v>0</v>
      </c>
      <c r="D241" s="93" t="n">
        <f aca="false">Dashboard!$C26-F$240*(Dashboard!$C10/12)</f>
        <v>-9314.73511158677</v>
      </c>
      <c r="E241" s="94" t="n">
        <f aca="false">F$240*(Dashboard!$C10/12)</f>
        <v>9314.73511158677</v>
      </c>
      <c r="F241" s="92" t="n">
        <f aca="false">MAX(F$240-(Dashboard!$C26-F$240*(Dashboard!$C10/12)),0)</f>
        <v>1606126.46852646</v>
      </c>
      <c r="G241" s="95" t="n">
        <f aca="false">G$240+F$240*(Dashboard!$C10/12)</f>
        <v>1206126.46852646</v>
      </c>
      <c r="H241" s="96" t="n">
        <f aca="false">H$240+Dashboard!$C26-F$240*(Dashboard!$C10/12)</f>
        <v>-1206126.46852646</v>
      </c>
    </row>
    <row r="242" customFormat="false" ht="15" hidden="false" customHeight="true" outlineLevel="0" collapsed="false">
      <c r="A242" s="85" t="n">
        <f aca="false">INT((240-1)/12)+1</f>
        <v>20</v>
      </c>
      <c r="B242" s="85" t="n">
        <f aca="false">MOD(240-1,12)+1</f>
        <v>12</v>
      </c>
      <c r="C242" s="86" t="n">
        <f aca="false">Dashboard!$C26</f>
        <v>0</v>
      </c>
      <c r="D242" s="87" t="n">
        <f aca="false">Dashboard!$C26-F$241*(Dashboard!$C10/12)</f>
        <v>-9369.07106640436</v>
      </c>
      <c r="E242" s="88" t="n">
        <f aca="false">F$241*(Dashboard!$C10/12)</f>
        <v>9369.07106640436</v>
      </c>
      <c r="F242" s="86" t="n">
        <f aca="false">MAX(F$241-(Dashboard!$C26-F$241*(Dashboard!$C10/12)),0)</f>
        <v>1615495.53959287</v>
      </c>
      <c r="G242" s="89" t="n">
        <f aca="false">G$241+F$241*(Dashboard!$C10/12)</f>
        <v>1215495.53959287</v>
      </c>
      <c r="H242" s="90" t="n">
        <f aca="false">H$241+Dashboard!$C26-F$241*(Dashboard!$C10/12)</f>
        <v>-1215495.53959287</v>
      </c>
    </row>
    <row r="243" customFormat="false" ht="15" hidden="false" customHeight="true" outlineLevel="0" collapsed="false">
      <c r="A243" s="85" t="n">
        <f aca="false">INT((241-1)/12)+1</f>
        <v>21</v>
      </c>
      <c r="B243" s="85" t="n">
        <f aca="false">MOD(241-1,12)+1</f>
        <v>1</v>
      </c>
      <c r="C243" s="86" t="n">
        <f aca="false">Dashboard!$C26</f>
        <v>0</v>
      </c>
      <c r="D243" s="87" t="n">
        <f aca="false">Dashboard!$C26-F$242*(Dashboard!$C10/12)</f>
        <v>-9423.72398095838</v>
      </c>
      <c r="E243" s="88" t="n">
        <f aca="false">F$242*(Dashboard!$C10/12)</f>
        <v>9423.72398095838</v>
      </c>
      <c r="F243" s="86" t="n">
        <f aca="false">MAX(F$242-(Dashboard!$C26-F$242*(Dashboard!$C10/12)),0)</f>
        <v>1624919.26357382</v>
      </c>
      <c r="G243" s="89" t="n">
        <f aca="false">G$242+F$242*(Dashboard!$C10/12)</f>
        <v>1224919.26357382</v>
      </c>
      <c r="H243" s="90" t="n">
        <f aca="false">H$242+Dashboard!$C26-F$242*(Dashboard!$C10/12)</f>
        <v>-1224919.26357382</v>
      </c>
    </row>
    <row r="244" customFormat="false" ht="15" hidden="false" customHeight="true" outlineLevel="0" collapsed="false">
      <c r="A244" s="85" t="n">
        <f aca="false">INT((242-1)/12)+1</f>
        <v>21</v>
      </c>
      <c r="B244" s="85" t="n">
        <f aca="false">MOD(242-1,12)+1</f>
        <v>2</v>
      </c>
      <c r="C244" s="86" t="n">
        <f aca="false">Dashboard!$C26</f>
        <v>0</v>
      </c>
      <c r="D244" s="87" t="n">
        <f aca="false">Dashboard!$C26-F$243*(Dashboard!$C10/12)</f>
        <v>-9478.69570418064</v>
      </c>
      <c r="E244" s="88" t="n">
        <f aca="false">F$243*(Dashboard!$C10/12)</f>
        <v>9478.69570418064</v>
      </c>
      <c r="F244" s="86" t="n">
        <f aca="false">MAX(F$243-(Dashboard!$C26-F$243*(Dashboard!$C10/12)),0)</f>
        <v>1634397.959278</v>
      </c>
      <c r="G244" s="89" t="n">
        <f aca="false">G$243+F$243*(Dashboard!$C10/12)</f>
        <v>1234397.959278</v>
      </c>
      <c r="H244" s="90" t="n">
        <f aca="false">H$243+Dashboard!$C26-F$243*(Dashboard!$C10/12)</f>
        <v>-1234397.959278</v>
      </c>
    </row>
    <row r="245" customFormat="false" ht="15" hidden="false" customHeight="true" outlineLevel="0" collapsed="false">
      <c r="A245" s="85" t="n">
        <f aca="false">INT((243-1)/12)+1</f>
        <v>21</v>
      </c>
      <c r="B245" s="85" t="n">
        <f aca="false">MOD(243-1,12)+1</f>
        <v>3</v>
      </c>
      <c r="C245" s="86" t="n">
        <f aca="false">Dashboard!$C26</f>
        <v>0</v>
      </c>
      <c r="D245" s="87" t="n">
        <f aca="false">Dashboard!$C26-F$244*(Dashboard!$C10/12)</f>
        <v>-9533.98809578836</v>
      </c>
      <c r="E245" s="88" t="n">
        <f aca="false">F$244*(Dashboard!$C10/12)</f>
        <v>9533.98809578836</v>
      </c>
      <c r="F245" s="86" t="n">
        <f aca="false">MAX(F$244-(Dashboard!$C26-F$244*(Dashboard!$C10/12)),0)</f>
        <v>1643931.94737379</v>
      </c>
      <c r="G245" s="89" t="n">
        <f aca="false">G$244+F$244*(Dashboard!$C10/12)</f>
        <v>1243931.94737379</v>
      </c>
      <c r="H245" s="90" t="n">
        <f aca="false">H$244+Dashboard!$C26-F$244*(Dashboard!$C10/12)</f>
        <v>-1243931.94737379</v>
      </c>
    </row>
    <row r="246" customFormat="false" ht="15" hidden="false" customHeight="true" outlineLevel="0" collapsed="false">
      <c r="A246" s="85" t="n">
        <f aca="false">INT((244-1)/12)+1</f>
        <v>21</v>
      </c>
      <c r="B246" s="85" t="n">
        <f aca="false">MOD(244-1,12)+1</f>
        <v>4</v>
      </c>
      <c r="C246" s="86" t="n">
        <f aca="false">Dashboard!$C26</f>
        <v>0</v>
      </c>
      <c r="D246" s="87" t="n">
        <f aca="false">Dashboard!$C26-F$245*(Dashboard!$C10/12)</f>
        <v>-9589.60302634713</v>
      </c>
      <c r="E246" s="88" t="n">
        <f aca="false">F$245*(Dashboard!$C10/12)</f>
        <v>9589.60302634713</v>
      </c>
      <c r="F246" s="86" t="n">
        <f aca="false">MAX(F$245-(Dashboard!$C26-F$245*(Dashboard!$C10/12)),0)</f>
        <v>1653521.55040014</v>
      </c>
      <c r="G246" s="89" t="n">
        <f aca="false">G$245+F$245*(Dashboard!$C10/12)</f>
        <v>1253521.55040014</v>
      </c>
      <c r="H246" s="90" t="n">
        <f aca="false">H$245+Dashboard!$C26-F$245*(Dashboard!$C10/12)</f>
        <v>-1253521.55040014</v>
      </c>
    </row>
    <row r="247" customFormat="false" ht="15" hidden="false" customHeight="true" outlineLevel="0" collapsed="false">
      <c r="A247" s="85" t="n">
        <f aca="false">INT((245-1)/12)+1</f>
        <v>21</v>
      </c>
      <c r="B247" s="85" t="n">
        <f aca="false">MOD(245-1,12)+1</f>
        <v>5</v>
      </c>
      <c r="C247" s="86" t="n">
        <f aca="false">Dashboard!$C26</f>
        <v>0</v>
      </c>
      <c r="D247" s="87" t="n">
        <f aca="false">Dashboard!$C26-F$246*(Dashboard!$C10/12)</f>
        <v>-9645.54237733415</v>
      </c>
      <c r="E247" s="88" t="n">
        <f aca="false">F$246*(Dashboard!$C10/12)</f>
        <v>9645.54237733415</v>
      </c>
      <c r="F247" s="86" t="n">
        <f aca="false">MAX(F$246-(Dashboard!$C26-F$246*(Dashboard!$C10/12)),0)</f>
        <v>1663167.09277747</v>
      </c>
      <c r="G247" s="89" t="n">
        <f aca="false">G$246+F$246*(Dashboard!$C10/12)</f>
        <v>1263167.09277747</v>
      </c>
      <c r="H247" s="90" t="n">
        <f aca="false">H$246+Dashboard!$C26-F$246*(Dashboard!$C10/12)</f>
        <v>-1263167.09277747</v>
      </c>
    </row>
    <row r="248" customFormat="false" ht="15" hidden="false" customHeight="true" outlineLevel="0" collapsed="false">
      <c r="A248" s="85" t="n">
        <f aca="false">INT((246-1)/12)+1</f>
        <v>21</v>
      </c>
      <c r="B248" s="85" t="n">
        <f aca="false">MOD(246-1,12)+1</f>
        <v>6</v>
      </c>
      <c r="C248" s="86" t="n">
        <f aca="false">Dashboard!$C26</f>
        <v>0</v>
      </c>
      <c r="D248" s="87" t="n">
        <f aca="false">Dashboard!$C26-F$247*(Dashboard!$C10/12)</f>
        <v>-9701.80804120193</v>
      </c>
      <c r="E248" s="88" t="n">
        <f aca="false">F$247*(Dashboard!$C10/12)</f>
        <v>9701.80804120193</v>
      </c>
      <c r="F248" s="86" t="n">
        <f aca="false">MAX(F$247-(Dashboard!$C26-F$247*(Dashboard!$C10/12)),0)</f>
        <v>1672868.90081868</v>
      </c>
      <c r="G248" s="89" t="n">
        <f aca="false">G$247+F$247*(Dashboard!$C10/12)</f>
        <v>1272868.90081868</v>
      </c>
      <c r="H248" s="90" t="n">
        <f aca="false">H$247+Dashboard!$C26-F$247*(Dashboard!$C10/12)</f>
        <v>-1272868.90081868</v>
      </c>
    </row>
    <row r="249" customFormat="false" ht="15" hidden="false" customHeight="true" outlineLevel="0" collapsed="false">
      <c r="A249" s="85" t="n">
        <f aca="false">INT((247-1)/12)+1</f>
        <v>21</v>
      </c>
      <c r="B249" s="85" t="n">
        <f aca="false">MOD(247-1,12)+1</f>
        <v>7</v>
      </c>
      <c r="C249" s="86" t="n">
        <f aca="false">Dashboard!$C26</f>
        <v>0</v>
      </c>
      <c r="D249" s="87" t="n">
        <f aca="false">Dashboard!$C26-F$248*(Dashboard!$C10/12)</f>
        <v>-9758.40192144228</v>
      </c>
      <c r="E249" s="88" t="n">
        <f aca="false">F$248*(Dashboard!$C10/12)</f>
        <v>9758.40192144228</v>
      </c>
      <c r="F249" s="86" t="n">
        <f aca="false">MAX(F$248-(Dashboard!$C26-F$248*(Dashboard!$C10/12)),0)</f>
        <v>1682627.30274012</v>
      </c>
      <c r="G249" s="89" t="n">
        <f aca="false">G$248+F$248*(Dashboard!$C10/12)</f>
        <v>1282627.30274012</v>
      </c>
      <c r="H249" s="90" t="n">
        <f aca="false">H$248+Dashboard!$C26-F$248*(Dashboard!$C10/12)</f>
        <v>-1282627.30274012</v>
      </c>
    </row>
    <row r="250" customFormat="false" ht="15" hidden="false" customHeight="true" outlineLevel="0" collapsed="false">
      <c r="A250" s="85" t="n">
        <f aca="false">INT((248-1)/12)+1</f>
        <v>21</v>
      </c>
      <c r="B250" s="85" t="n">
        <f aca="false">MOD(248-1,12)+1</f>
        <v>8</v>
      </c>
      <c r="C250" s="86" t="n">
        <f aca="false">Dashboard!$C26</f>
        <v>0</v>
      </c>
      <c r="D250" s="87" t="n">
        <f aca="false">Dashboard!$C26-F$249*(Dashboard!$C10/12)</f>
        <v>-9815.32593265069</v>
      </c>
      <c r="E250" s="88" t="n">
        <f aca="false">F$249*(Dashboard!$C10/12)</f>
        <v>9815.32593265069</v>
      </c>
      <c r="F250" s="86" t="n">
        <f aca="false">MAX(F$249-(Dashboard!$C26-F$249*(Dashboard!$C10/12)),0)</f>
        <v>1692442.62867277</v>
      </c>
      <c r="G250" s="89" t="n">
        <f aca="false">G$249+F$249*(Dashboard!$C10/12)</f>
        <v>1292442.62867277</v>
      </c>
      <c r="H250" s="90" t="n">
        <f aca="false">H$249+Dashboard!$C26-F$249*(Dashboard!$C10/12)</f>
        <v>-1292442.62867277</v>
      </c>
    </row>
    <row r="251" customFormat="false" ht="15" hidden="false" customHeight="true" outlineLevel="0" collapsed="false">
      <c r="A251" s="85" t="n">
        <f aca="false">INT((249-1)/12)+1</f>
        <v>21</v>
      </c>
      <c r="B251" s="85" t="n">
        <f aca="false">MOD(249-1,12)+1</f>
        <v>9</v>
      </c>
      <c r="C251" s="86" t="n">
        <f aca="false">Dashboard!$C26</f>
        <v>0</v>
      </c>
      <c r="D251" s="87" t="n">
        <f aca="false">Dashboard!$C26-F$250*(Dashboard!$C10/12)</f>
        <v>-9872.58200059115</v>
      </c>
      <c r="E251" s="88" t="n">
        <f aca="false">F$250*(Dashboard!$C10/12)</f>
        <v>9872.58200059115</v>
      </c>
      <c r="F251" s="86" t="n">
        <f aca="false">MAX(F$250-(Dashboard!$C26-F$250*(Dashboard!$C10/12)),0)</f>
        <v>1702315.21067336</v>
      </c>
      <c r="G251" s="89" t="n">
        <f aca="false">G$250+F$250*(Dashboard!$C10/12)</f>
        <v>1302315.21067336</v>
      </c>
      <c r="H251" s="90" t="n">
        <f aca="false">H$250+Dashboard!$C26-F$250*(Dashboard!$C10/12)</f>
        <v>-1302315.21067336</v>
      </c>
    </row>
    <row r="252" customFormat="false" ht="15" hidden="false" customHeight="true" outlineLevel="0" collapsed="false">
      <c r="A252" s="85" t="n">
        <f aca="false">INT((250-1)/12)+1</f>
        <v>21</v>
      </c>
      <c r="B252" s="85" t="n">
        <f aca="false">MOD(250-1,12)+1</f>
        <v>10</v>
      </c>
      <c r="C252" s="86" t="n">
        <f aca="false">Dashboard!$C26</f>
        <v>0</v>
      </c>
      <c r="D252" s="87" t="n">
        <f aca="false">Dashboard!$C26-F$251*(Dashboard!$C10/12)</f>
        <v>-9930.17206226127</v>
      </c>
      <c r="E252" s="88" t="n">
        <f aca="false">F$251*(Dashboard!$C10/12)</f>
        <v>9930.17206226127</v>
      </c>
      <c r="F252" s="86" t="n">
        <f aca="false">MAX(F$251-(Dashboard!$C26-F$251*(Dashboard!$C10/12)),0)</f>
        <v>1712245.38273562</v>
      </c>
      <c r="G252" s="89" t="n">
        <f aca="false">G$251+F$251*(Dashboard!$C10/12)</f>
        <v>1312245.38273562</v>
      </c>
      <c r="H252" s="90" t="n">
        <f aca="false">H$251+Dashboard!$C26-F$251*(Dashboard!$C10/12)</f>
        <v>-1312245.38273562</v>
      </c>
    </row>
    <row r="253" customFormat="false" ht="15" hidden="false" customHeight="true" outlineLevel="0" collapsed="false">
      <c r="A253" s="85" t="n">
        <f aca="false">INT((251-1)/12)+1</f>
        <v>21</v>
      </c>
      <c r="B253" s="85" t="n">
        <f aca="false">MOD(251-1,12)+1</f>
        <v>11</v>
      </c>
      <c r="C253" s="86" t="n">
        <f aca="false">Dashboard!$C26</f>
        <v>0</v>
      </c>
      <c r="D253" s="87" t="n">
        <f aca="false">Dashboard!$C26-F$252*(Dashboard!$C10/12)</f>
        <v>-9988.09806595779</v>
      </c>
      <c r="E253" s="88" t="n">
        <f aca="false">F$252*(Dashboard!$C10/12)</f>
        <v>9988.09806595779</v>
      </c>
      <c r="F253" s="86" t="n">
        <f aca="false">MAX(F$252-(Dashboard!$C26-F$252*(Dashboard!$C10/12)),0)</f>
        <v>1722233.48080158</v>
      </c>
      <c r="G253" s="89" t="n">
        <f aca="false">G$252+F$252*(Dashboard!$C10/12)</f>
        <v>1322233.48080158</v>
      </c>
      <c r="H253" s="90" t="n">
        <f aca="false">H$252+Dashboard!$C26-F$252*(Dashboard!$C10/12)</f>
        <v>-1322233.48080158</v>
      </c>
    </row>
    <row r="254" customFormat="false" ht="15" hidden="false" customHeight="true" outlineLevel="0" collapsed="false">
      <c r="A254" s="91" t="n">
        <f aca="false">INT((252-1)/12)+1</f>
        <v>21</v>
      </c>
      <c r="B254" s="91" t="n">
        <f aca="false">MOD(252-1,12)+1</f>
        <v>12</v>
      </c>
      <c r="C254" s="92" t="n">
        <f aca="false">Dashboard!$C26</f>
        <v>0</v>
      </c>
      <c r="D254" s="93" t="n">
        <f aca="false">Dashboard!$C26-F$253*(Dashboard!$C10/12)</f>
        <v>-10046.3619713425</v>
      </c>
      <c r="E254" s="94" t="n">
        <f aca="false">F$253*(Dashboard!$C10/12)</f>
        <v>10046.3619713425</v>
      </c>
      <c r="F254" s="92" t="n">
        <f aca="false">MAX(F$253-(Dashboard!$C26-F$253*(Dashboard!$C10/12)),0)</f>
        <v>1732279.84277292</v>
      </c>
      <c r="G254" s="95" t="n">
        <f aca="false">G$253+F$253*(Dashboard!$C10/12)</f>
        <v>1332279.84277292</v>
      </c>
      <c r="H254" s="96" t="n">
        <f aca="false">H$253+Dashboard!$C26-F$253*(Dashboard!$C10/12)</f>
        <v>-1332279.84277292</v>
      </c>
    </row>
    <row r="255" customFormat="false" ht="15" hidden="false" customHeight="true" outlineLevel="0" collapsed="false">
      <c r="A255" s="91" t="n">
        <f aca="false">INT((253-1)/12)+1</f>
        <v>22</v>
      </c>
      <c r="B255" s="91" t="n">
        <f aca="false">MOD(253-1,12)+1</f>
        <v>1</v>
      </c>
      <c r="C255" s="92" t="n">
        <f aca="false">Dashboard!$C26</f>
        <v>0</v>
      </c>
      <c r="D255" s="93" t="n">
        <f aca="false">Dashboard!$C26-F$254*(Dashboard!$C10/12)</f>
        <v>-10104.9657495087</v>
      </c>
      <c r="E255" s="94" t="n">
        <f aca="false">F$254*(Dashboard!$C10/12)</f>
        <v>10104.9657495087</v>
      </c>
      <c r="F255" s="92" t="n">
        <f aca="false">MAX(F$254-(Dashboard!$C26-F$254*(Dashboard!$C10/12)),0)</f>
        <v>1742384.80852243</v>
      </c>
      <c r="G255" s="95" t="n">
        <f aca="false">G$254+F$254*(Dashboard!$C10/12)</f>
        <v>1342384.80852243</v>
      </c>
      <c r="H255" s="96" t="n">
        <f aca="false">H$254+Dashboard!$C26-F$254*(Dashboard!$C10/12)</f>
        <v>-1342384.80852243</v>
      </c>
    </row>
    <row r="256" customFormat="false" ht="15" hidden="false" customHeight="true" outlineLevel="0" collapsed="false">
      <c r="A256" s="91" t="n">
        <f aca="false">INT((254-1)/12)+1</f>
        <v>22</v>
      </c>
      <c r="B256" s="91" t="n">
        <f aca="false">MOD(254-1,12)+1</f>
        <v>2</v>
      </c>
      <c r="C256" s="92" t="n">
        <f aca="false">Dashboard!$C26</f>
        <v>0</v>
      </c>
      <c r="D256" s="93" t="n">
        <f aca="false">Dashboard!$C26-F$255*(Dashboard!$C10/12)</f>
        <v>-10163.9113830475</v>
      </c>
      <c r="E256" s="94" t="n">
        <f aca="false">F$255*(Dashboard!$C10/12)</f>
        <v>10163.9113830475</v>
      </c>
      <c r="F256" s="92" t="n">
        <f aca="false">MAX(F$255-(Dashboard!$C26-F$255*(Dashboard!$C10/12)),0)</f>
        <v>1752548.71990548</v>
      </c>
      <c r="G256" s="95" t="n">
        <f aca="false">G$255+F$255*(Dashboard!$C10/12)</f>
        <v>1352548.71990548</v>
      </c>
      <c r="H256" s="96" t="n">
        <f aca="false">H$255+Dashboard!$C26-F$255*(Dashboard!$C10/12)</f>
        <v>-1352548.71990548</v>
      </c>
    </row>
    <row r="257" customFormat="false" ht="15" hidden="false" customHeight="true" outlineLevel="0" collapsed="false">
      <c r="A257" s="91" t="n">
        <f aca="false">INT((255-1)/12)+1</f>
        <v>22</v>
      </c>
      <c r="B257" s="91" t="n">
        <f aca="false">MOD(255-1,12)+1</f>
        <v>3</v>
      </c>
      <c r="C257" s="92" t="n">
        <f aca="false">Dashboard!$C26</f>
        <v>0</v>
      </c>
      <c r="D257" s="93" t="n">
        <f aca="false">Dashboard!$C26-F$256*(Dashboard!$C10/12)</f>
        <v>-10223.2008661153</v>
      </c>
      <c r="E257" s="94" t="n">
        <f aca="false">F$256*(Dashboard!$C10/12)</f>
        <v>10223.2008661153</v>
      </c>
      <c r="F257" s="92" t="n">
        <f aca="false">MAX(F$256-(Dashboard!$C26-F$256*(Dashboard!$C10/12)),0)</f>
        <v>1762771.92077159</v>
      </c>
      <c r="G257" s="95" t="n">
        <f aca="false">G$256+F$256*(Dashboard!$C10/12)</f>
        <v>1362771.92077159</v>
      </c>
      <c r="H257" s="96" t="n">
        <f aca="false">H$256+Dashboard!$C26-F$256*(Dashboard!$C10/12)</f>
        <v>-1362771.92077159</v>
      </c>
    </row>
    <row r="258" customFormat="false" ht="15" hidden="false" customHeight="true" outlineLevel="0" collapsed="false">
      <c r="A258" s="91" t="n">
        <f aca="false">INT((256-1)/12)+1</f>
        <v>22</v>
      </c>
      <c r="B258" s="91" t="n">
        <f aca="false">MOD(256-1,12)+1</f>
        <v>4</v>
      </c>
      <c r="C258" s="92" t="n">
        <f aca="false">Dashboard!$C26</f>
        <v>0</v>
      </c>
      <c r="D258" s="93" t="n">
        <f aca="false">Dashboard!$C26-F$257*(Dashboard!$C10/12)</f>
        <v>-10282.836204501</v>
      </c>
      <c r="E258" s="94" t="n">
        <f aca="false">F$257*(Dashboard!$C10/12)</f>
        <v>10282.836204501</v>
      </c>
      <c r="F258" s="92" t="n">
        <f aca="false">MAX(F$257-(Dashboard!$C26-F$257*(Dashboard!$C10/12)),0)</f>
        <v>1773054.75697609</v>
      </c>
      <c r="G258" s="95" t="n">
        <f aca="false">G$257+F$257*(Dashboard!$C10/12)</f>
        <v>1373054.75697609</v>
      </c>
      <c r="H258" s="96" t="n">
        <f aca="false">H$257+Dashboard!$C26-F$257*(Dashboard!$C10/12)</f>
        <v>-1373054.75697609</v>
      </c>
    </row>
    <row r="259" customFormat="false" ht="15" hidden="false" customHeight="true" outlineLevel="0" collapsed="false">
      <c r="A259" s="91" t="n">
        <f aca="false">INT((257-1)/12)+1</f>
        <v>22</v>
      </c>
      <c r="B259" s="91" t="n">
        <f aca="false">MOD(257-1,12)+1</f>
        <v>5</v>
      </c>
      <c r="C259" s="92" t="n">
        <f aca="false">Dashboard!$C26</f>
        <v>0</v>
      </c>
      <c r="D259" s="93" t="n">
        <f aca="false">Dashboard!$C26-F$258*(Dashboard!$C10/12)</f>
        <v>-10342.8194156939</v>
      </c>
      <c r="E259" s="94" t="n">
        <f aca="false">F$258*(Dashboard!$C10/12)</f>
        <v>10342.8194156939</v>
      </c>
      <c r="F259" s="92" t="n">
        <f aca="false">MAX(F$258-(Dashboard!$C26-F$258*(Dashboard!$C10/12)),0)</f>
        <v>1783397.57639179</v>
      </c>
      <c r="G259" s="95" t="n">
        <f aca="false">G$258+F$258*(Dashboard!$C10/12)</f>
        <v>1383397.57639179</v>
      </c>
      <c r="H259" s="96" t="n">
        <f aca="false">H$258+Dashboard!$C26-F$258*(Dashboard!$C10/12)</f>
        <v>-1383397.57639179</v>
      </c>
    </row>
    <row r="260" customFormat="false" ht="15" hidden="false" customHeight="true" outlineLevel="0" collapsed="false">
      <c r="A260" s="91" t="n">
        <f aca="false">INT((258-1)/12)+1</f>
        <v>22</v>
      </c>
      <c r="B260" s="91" t="n">
        <f aca="false">MOD(258-1,12)+1</f>
        <v>6</v>
      </c>
      <c r="C260" s="92" t="n">
        <f aca="false">Dashboard!$C26</f>
        <v>0</v>
      </c>
      <c r="D260" s="93" t="n">
        <f aca="false">Dashboard!$C26-F$259*(Dashboard!$C10/12)</f>
        <v>-10403.1525289521</v>
      </c>
      <c r="E260" s="94" t="n">
        <f aca="false">F$259*(Dashboard!$C10/12)</f>
        <v>10403.1525289521</v>
      </c>
      <c r="F260" s="92" t="n">
        <f aca="false">MAX(F$259-(Dashboard!$C26-F$259*(Dashboard!$C10/12)),0)</f>
        <v>1793800.72892074</v>
      </c>
      <c r="G260" s="95" t="n">
        <f aca="false">G$259+F$259*(Dashboard!$C10/12)</f>
        <v>1393800.72892074</v>
      </c>
      <c r="H260" s="96" t="n">
        <f aca="false">H$259+Dashboard!$C26-F$259*(Dashboard!$C10/12)</f>
        <v>-1393800.72892074</v>
      </c>
    </row>
    <row r="261" customFormat="false" ht="15" hidden="false" customHeight="true" outlineLevel="0" collapsed="false">
      <c r="A261" s="91" t="n">
        <f aca="false">INT((259-1)/12)+1</f>
        <v>22</v>
      </c>
      <c r="B261" s="91" t="n">
        <f aca="false">MOD(259-1,12)+1</f>
        <v>7</v>
      </c>
      <c r="C261" s="92" t="n">
        <f aca="false">Dashboard!$C26</f>
        <v>0</v>
      </c>
      <c r="D261" s="93" t="n">
        <f aca="false">Dashboard!$C26-F$260*(Dashboard!$C10/12)</f>
        <v>-10463.837585371</v>
      </c>
      <c r="E261" s="94" t="n">
        <f aca="false">F$260*(Dashboard!$C10/12)</f>
        <v>10463.837585371</v>
      </c>
      <c r="F261" s="92" t="n">
        <f aca="false">MAX(F$260-(Dashboard!$C26-F$260*(Dashboard!$C10/12)),0)</f>
        <v>1804264.56650611</v>
      </c>
      <c r="G261" s="95" t="n">
        <f aca="false">G$260+F$260*(Dashboard!$C10/12)</f>
        <v>1404264.56650611</v>
      </c>
      <c r="H261" s="96" t="n">
        <f aca="false">H$260+Dashboard!$C26-F$260*(Dashboard!$C10/12)</f>
        <v>-1404264.56650611</v>
      </c>
    </row>
    <row r="262" customFormat="false" ht="15" hidden="false" customHeight="true" outlineLevel="0" collapsed="false">
      <c r="A262" s="91" t="n">
        <f aca="false">INT((260-1)/12)+1</f>
        <v>22</v>
      </c>
      <c r="B262" s="91" t="n">
        <f aca="false">MOD(260-1,12)+1</f>
        <v>8</v>
      </c>
      <c r="C262" s="92" t="n">
        <f aca="false">Dashboard!$C26</f>
        <v>0</v>
      </c>
      <c r="D262" s="93" t="n">
        <f aca="false">Dashboard!$C26-F$261*(Dashboard!$C10/12)</f>
        <v>-10524.8766379523</v>
      </c>
      <c r="E262" s="94" t="n">
        <f aca="false">F$261*(Dashboard!$C10/12)</f>
        <v>10524.8766379523</v>
      </c>
      <c r="F262" s="92" t="n">
        <f aca="false">MAX(F$261-(Dashboard!$C26-F$261*(Dashboard!$C10/12)),0)</f>
        <v>1814789.44314406</v>
      </c>
      <c r="G262" s="95" t="n">
        <f aca="false">G$261+F$261*(Dashboard!$C10/12)</f>
        <v>1414789.44314406</v>
      </c>
      <c r="H262" s="96" t="n">
        <f aca="false">H$261+Dashboard!$C26-F$261*(Dashboard!$C10/12)</f>
        <v>-1414789.44314406</v>
      </c>
    </row>
    <row r="263" customFormat="false" ht="15" hidden="false" customHeight="true" outlineLevel="0" collapsed="false">
      <c r="A263" s="91" t="n">
        <f aca="false">INT((261-1)/12)+1</f>
        <v>22</v>
      </c>
      <c r="B263" s="91" t="n">
        <f aca="false">MOD(261-1,12)+1</f>
        <v>9</v>
      </c>
      <c r="C263" s="92" t="n">
        <f aca="false">Dashboard!$C26</f>
        <v>0</v>
      </c>
      <c r="D263" s="93" t="n">
        <f aca="false">Dashboard!$C26-F$262*(Dashboard!$C10/12)</f>
        <v>-10586.2717516737</v>
      </c>
      <c r="E263" s="94" t="n">
        <f aca="false">F$262*(Dashboard!$C10/12)</f>
        <v>10586.2717516737</v>
      </c>
      <c r="F263" s="92" t="n">
        <f aca="false">MAX(F$262-(Dashboard!$C26-F$262*(Dashboard!$C10/12)),0)</f>
        <v>1825375.71489574</v>
      </c>
      <c r="G263" s="95" t="n">
        <f aca="false">G$262+F$262*(Dashboard!$C10/12)</f>
        <v>1425375.71489574</v>
      </c>
      <c r="H263" s="96" t="n">
        <f aca="false">H$262+Dashboard!$C26-F$262*(Dashboard!$C10/12)</f>
        <v>-1425375.71489574</v>
      </c>
    </row>
    <row r="264" customFormat="false" ht="15" hidden="false" customHeight="true" outlineLevel="0" collapsed="false">
      <c r="A264" s="91" t="n">
        <f aca="false">INT((262-1)/12)+1</f>
        <v>22</v>
      </c>
      <c r="B264" s="91" t="n">
        <f aca="false">MOD(262-1,12)+1</f>
        <v>10</v>
      </c>
      <c r="C264" s="92" t="n">
        <f aca="false">Dashboard!$C26</f>
        <v>0</v>
      </c>
      <c r="D264" s="93" t="n">
        <f aca="false">Dashboard!$C26-F$263*(Dashboard!$C10/12)</f>
        <v>-10648.0250035585</v>
      </c>
      <c r="E264" s="94" t="n">
        <f aca="false">F$263*(Dashboard!$C10/12)</f>
        <v>10648.0250035585</v>
      </c>
      <c r="F264" s="92" t="n">
        <f aca="false">MAX(F$263-(Dashboard!$C26-F$263*(Dashboard!$C10/12)),0)</f>
        <v>1836023.7398993</v>
      </c>
      <c r="G264" s="95" t="n">
        <f aca="false">G$263+F$263*(Dashboard!$C10/12)</f>
        <v>1436023.7398993</v>
      </c>
      <c r="H264" s="96" t="n">
        <f aca="false">H$263+Dashboard!$C26-F$263*(Dashboard!$C10/12)</f>
        <v>-1436023.7398993</v>
      </c>
    </row>
    <row r="265" customFormat="false" ht="15" hidden="false" customHeight="true" outlineLevel="0" collapsed="false">
      <c r="A265" s="91" t="n">
        <f aca="false">INT((263-1)/12)+1</f>
        <v>22</v>
      </c>
      <c r="B265" s="91" t="n">
        <f aca="false">MOD(263-1,12)+1</f>
        <v>11</v>
      </c>
      <c r="C265" s="92" t="n">
        <f aca="false">Dashboard!$C26</f>
        <v>0</v>
      </c>
      <c r="D265" s="93" t="n">
        <f aca="false">Dashboard!$C26-F$264*(Dashboard!$C10/12)</f>
        <v>-10710.1384827459</v>
      </c>
      <c r="E265" s="94" t="n">
        <f aca="false">F$264*(Dashboard!$C10/12)</f>
        <v>10710.1384827459</v>
      </c>
      <c r="F265" s="92" t="n">
        <f aca="false">MAX(F$264-(Dashboard!$C26-F$264*(Dashboard!$C10/12)),0)</f>
        <v>1846733.87838204</v>
      </c>
      <c r="G265" s="95" t="n">
        <f aca="false">G$264+F$264*(Dashboard!$C10/12)</f>
        <v>1446733.87838204</v>
      </c>
      <c r="H265" s="96" t="n">
        <f aca="false">H$264+Dashboard!$C26-F$264*(Dashboard!$C10/12)</f>
        <v>-1446733.87838204</v>
      </c>
    </row>
    <row r="266" customFormat="false" ht="15" hidden="false" customHeight="true" outlineLevel="0" collapsed="false">
      <c r="A266" s="85" t="n">
        <f aca="false">INT((264-1)/12)+1</f>
        <v>22</v>
      </c>
      <c r="B266" s="85" t="n">
        <f aca="false">MOD(264-1,12)+1</f>
        <v>12</v>
      </c>
      <c r="C266" s="86" t="n">
        <f aca="false">Dashboard!$C26</f>
        <v>0</v>
      </c>
      <c r="D266" s="87" t="n">
        <f aca="false">Dashboard!$C26-F$265*(Dashboard!$C10/12)</f>
        <v>-10772.6142905619</v>
      </c>
      <c r="E266" s="88" t="n">
        <f aca="false">F$265*(Dashboard!$C10/12)</f>
        <v>10772.6142905619</v>
      </c>
      <c r="F266" s="86" t="n">
        <f aca="false">MAX(F$265-(Dashboard!$C26-F$265*(Dashboard!$C10/12)),0)</f>
        <v>1857506.4926726</v>
      </c>
      <c r="G266" s="89" t="n">
        <f aca="false">G$265+F$265*(Dashboard!$C10/12)</f>
        <v>1457506.4926726</v>
      </c>
      <c r="H266" s="90" t="n">
        <f aca="false">H$265+Dashboard!$C26-F$265*(Dashboard!$C10/12)</f>
        <v>-1457506.4926726</v>
      </c>
    </row>
    <row r="267" customFormat="false" ht="15" hidden="false" customHeight="true" outlineLevel="0" collapsed="false">
      <c r="A267" s="85" t="n">
        <f aca="false">INT((265-1)/12)+1</f>
        <v>23</v>
      </c>
      <c r="B267" s="85" t="n">
        <f aca="false">MOD(265-1,12)+1</f>
        <v>1</v>
      </c>
      <c r="C267" s="86" t="n">
        <f aca="false">Dashboard!$C26</f>
        <v>0</v>
      </c>
      <c r="D267" s="87" t="n">
        <f aca="false">Dashboard!$C26-F$266*(Dashboard!$C10/12)</f>
        <v>-10835.4545405902</v>
      </c>
      <c r="E267" s="88" t="n">
        <f aca="false">F$266*(Dashboard!$C10/12)</f>
        <v>10835.4545405902</v>
      </c>
      <c r="F267" s="86" t="n">
        <f aca="false">MAX(F$266-(Dashboard!$C26-F$266*(Dashboard!$C10/12)),0)</f>
        <v>1868341.94721319</v>
      </c>
      <c r="G267" s="89" t="n">
        <f aca="false">G$266+F$266*(Dashboard!$C10/12)</f>
        <v>1468341.94721319</v>
      </c>
      <c r="H267" s="90" t="n">
        <f aca="false">H$266+Dashboard!$C26-F$266*(Dashboard!$C10/12)</f>
        <v>-1468341.94721319</v>
      </c>
    </row>
    <row r="268" customFormat="false" ht="15" hidden="false" customHeight="true" outlineLevel="0" collapsed="false">
      <c r="A268" s="85" t="n">
        <f aca="false">INT((266-1)/12)+1</f>
        <v>23</v>
      </c>
      <c r="B268" s="85" t="n">
        <f aca="false">MOD(266-1,12)+1</f>
        <v>2</v>
      </c>
      <c r="C268" s="86" t="n">
        <f aca="false">Dashboard!$C26</f>
        <v>0</v>
      </c>
      <c r="D268" s="87" t="n">
        <f aca="false">Dashboard!$C26-F$267*(Dashboard!$C10/12)</f>
        <v>-10898.6613587436</v>
      </c>
      <c r="E268" s="88" t="n">
        <f aca="false">F$267*(Dashboard!$C10/12)</f>
        <v>10898.6613587436</v>
      </c>
      <c r="F268" s="86" t="n">
        <f aca="false">MAX(F$267-(Dashboard!$C26-F$267*(Dashboard!$C10/12)),0)</f>
        <v>1879240.60857194</v>
      </c>
      <c r="G268" s="89" t="n">
        <f aca="false">G$267+F$267*(Dashboard!$C10/12)</f>
        <v>1479240.60857194</v>
      </c>
      <c r="H268" s="90" t="n">
        <f aca="false">H$267+Dashboard!$C26-F$267*(Dashboard!$C10/12)</f>
        <v>-1479240.60857194</v>
      </c>
    </row>
    <row r="269" customFormat="false" ht="15" hidden="false" customHeight="true" outlineLevel="0" collapsed="false">
      <c r="A269" s="85" t="n">
        <f aca="false">INT((267-1)/12)+1</f>
        <v>23</v>
      </c>
      <c r="B269" s="85" t="n">
        <f aca="false">MOD(267-1,12)+1</f>
        <v>3</v>
      </c>
      <c r="C269" s="86" t="n">
        <f aca="false">Dashboard!$C26</f>
        <v>0</v>
      </c>
      <c r="D269" s="87" t="n">
        <f aca="false">Dashboard!$C26-F$268*(Dashboard!$C10/12)</f>
        <v>-10962.2368833363</v>
      </c>
      <c r="E269" s="88" t="n">
        <f aca="false">F$268*(Dashboard!$C10/12)</f>
        <v>10962.2368833363</v>
      </c>
      <c r="F269" s="86" t="n">
        <f aca="false">MAX(F$268-(Dashboard!$C26-F$268*(Dashboard!$C10/12)),0)</f>
        <v>1890202.84545527</v>
      </c>
      <c r="G269" s="89" t="n">
        <f aca="false">G$268+F$268*(Dashboard!$C10/12)</f>
        <v>1490202.84545527</v>
      </c>
      <c r="H269" s="90" t="n">
        <f aca="false">H$268+Dashboard!$C26-F$268*(Dashboard!$C10/12)</f>
        <v>-1490202.84545527</v>
      </c>
    </row>
    <row r="270" customFormat="false" ht="15" hidden="false" customHeight="true" outlineLevel="0" collapsed="false">
      <c r="A270" s="85" t="n">
        <f aca="false">INT((268-1)/12)+1</f>
        <v>23</v>
      </c>
      <c r="B270" s="85" t="n">
        <f aca="false">MOD(268-1,12)+1</f>
        <v>4</v>
      </c>
      <c r="C270" s="86" t="n">
        <f aca="false">Dashboard!$C26</f>
        <v>0</v>
      </c>
      <c r="D270" s="87" t="n">
        <f aca="false">Dashboard!$C26-F$269*(Dashboard!$C10/12)</f>
        <v>-11026.1832651558</v>
      </c>
      <c r="E270" s="88" t="n">
        <f aca="false">F$269*(Dashboard!$C10/12)</f>
        <v>11026.1832651558</v>
      </c>
      <c r="F270" s="86" t="n">
        <f aca="false">MAX(F$269-(Dashboard!$C26-F$269*(Dashboard!$C10/12)),0)</f>
        <v>1901229.02872043</v>
      </c>
      <c r="G270" s="89" t="n">
        <f aca="false">G$269+F$269*(Dashboard!$C10/12)</f>
        <v>1501229.02872043</v>
      </c>
      <c r="H270" s="90" t="n">
        <f aca="false">H$269+Dashboard!$C26-F$269*(Dashboard!$C10/12)</f>
        <v>-1501229.02872043</v>
      </c>
    </row>
    <row r="271" customFormat="false" ht="15" hidden="false" customHeight="true" outlineLevel="0" collapsed="false">
      <c r="A271" s="85" t="n">
        <f aca="false">INT((269-1)/12)+1</f>
        <v>23</v>
      </c>
      <c r="B271" s="85" t="n">
        <f aca="false">MOD(269-1,12)+1</f>
        <v>5</v>
      </c>
      <c r="C271" s="86" t="n">
        <f aca="false">Dashboard!$C26</f>
        <v>0</v>
      </c>
      <c r="D271" s="87" t="n">
        <f aca="false">Dashboard!$C26-F$270*(Dashboard!$C10/12)</f>
        <v>-11090.5026675358</v>
      </c>
      <c r="E271" s="88" t="n">
        <f aca="false">F$270*(Dashboard!$C10/12)</f>
        <v>11090.5026675358</v>
      </c>
      <c r="F271" s="86" t="n">
        <f aca="false">MAX(F$270-(Dashboard!$C26-F$270*(Dashboard!$C10/12)),0)</f>
        <v>1912319.53138797</v>
      </c>
      <c r="G271" s="89" t="n">
        <f aca="false">G$270+F$270*(Dashboard!$C10/12)</f>
        <v>1512319.53138797</v>
      </c>
      <c r="H271" s="90" t="n">
        <f aca="false">H$270+Dashboard!$C26-F$270*(Dashboard!$C10/12)</f>
        <v>-1512319.53138797</v>
      </c>
    </row>
    <row r="272" customFormat="false" ht="15" hidden="false" customHeight="true" outlineLevel="0" collapsed="false">
      <c r="A272" s="85" t="n">
        <f aca="false">INT((270-1)/12)+1</f>
        <v>23</v>
      </c>
      <c r="B272" s="85" t="n">
        <f aca="false">MOD(270-1,12)+1</f>
        <v>6</v>
      </c>
      <c r="C272" s="86" t="n">
        <f aca="false">Dashboard!$C26</f>
        <v>0</v>
      </c>
      <c r="D272" s="87" t="n">
        <f aca="false">Dashboard!$C26-F$271*(Dashboard!$C10/12)</f>
        <v>-11155.1972664298</v>
      </c>
      <c r="E272" s="88" t="n">
        <f aca="false">F$271*(Dashboard!$C10/12)</f>
        <v>11155.1972664298</v>
      </c>
      <c r="F272" s="86" t="n">
        <f aca="false">MAX(F$271-(Dashboard!$C26-F$271*(Dashboard!$C10/12)),0)</f>
        <v>1923474.7286544</v>
      </c>
      <c r="G272" s="89" t="n">
        <f aca="false">G$271+F$271*(Dashboard!$C10/12)</f>
        <v>1523474.7286544</v>
      </c>
      <c r="H272" s="90" t="n">
        <f aca="false">H$271+Dashboard!$C26-F$271*(Dashboard!$C10/12)</f>
        <v>-1523474.7286544</v>
      </c>
    </row>
    <row r="273" customFormat="false" ht="15" hidden="false" customHeight="true" outlineLevel="0" collapsed="false">
      <c r="A273" s="85" t="n">
        <f aca="false">INT((271-1)/12)+1</f>
        <v>23</v>
      </c>
      <c r="B273" s="85" t="n">
        <f aca="false">MOD(271-1,12)+1</f>
        <v>7</v>
      </c>
      <c r="C273" s="86" t="n">
        <f aca="false">Dashboard!$C26</f>
        <v>0</v>
      </c>
      <c r="D273" s="87" t="n">
        <f aca="false">Dashboard!$C26-F$272*(Dashboard!$C10/12)</f>
        <v>-11220.269250484</v>
      </c>
      <c r="E273" s="88" t="n">
        <f aca="false">F$272*(Dashboard!$C10/12)</f>
        <v>11220.269250484</v>
      </c>
      <c r="F273" s="86" t="n">
        <f aca="false">MAX(F$272-(Dashboard!$C26-F$272*(Dashboard!$C10/12)),0)</f>
        <v>1934694.99790488</v>
      </c>
      <c r="G273" s="89" t="n">
        <f aca="false">G$272+F$272*(Dashboard!$C10/12)</f>
        <v>1534694.99790488</v>
      </c>
      <c r="H273" s="90" t="n">
        <f aca="false">H$272+Dashboard!$C26-F$272*(Dashboard!$C10/12)</f>
        <v>-1534694.99790488</v>
      </c>
    </row>
    <row r="274" customFormat="false" ht="15" hidden="false" customHeight="true" outlineLevel="0" collapsed="false">
      <c r="A274" s="85" t="n">
        <f aca="false">INT((272-1)/12)+1</f>
        <v>23</v>
      </c>
      <c r="B274" s="85" t="n">
        <f aca="false">MOD(272-1,12)+1</f>
        <v>8</v>
      </c>
      <c r="C274" s="86" t="n">
        <f aca="false">Dashboard!$C26</f>
        <v>0</v>
      </c>
      <c r="D274" s="87" t="n">
        <f aca="false">Dashboard!$C26-F$273*(Dashboard!$C10/12)</f>
        <v>-11285.7208211118</v>
      </c>
      <c r="E274" s="88" t="n">
        <f aca="false">F$273*(Dashboard!$C10/12)</f>
        <v>11285.7208211118</v>
      </c>
      <c r="F274" s="86" t="n">
        <f aca="false">MAX(F$273-(Dashboard!$C26-F$273*(Dashboard!$C10/12)),0)</f>
        <v>1945980.71872599</v>
      </c>
      <c r="G274" s="89" t="n">
        <f aca="false">G$273+F$273*(Dashboard!$C10/12)</f>
        <v>1545980.71872599</v>
      </c>
      <c r="H274" s="90" t="n">
        <f aca="false">H$273+Dashboard!$C26-F$273*(Dashboard!$C10/12)</f>
        <v>-1545980.71872599</v>
      </c>
    </row>
    <row r="275" customFormat="false" ht="15" hidden="false" customHeight="true" outlineLevel="0" collapsed="false">
      <c r="A275" s="85" t="n">
        <f aca="false">INT((273-1)/12)+1</f>
        <v>23</v>
      </c>
      <c r="B275" s="85" t="n">
        <f aca="false">MOD(273-1,12)+1</f>
        <v>9</v>
      </c>
      <c r="C275" s="86" t="n">
        <f aca="false">Dashboard!$C26</f>
        <v>0</v>
      </c>
      <c r="D275" s="87" t="n">
        <f aca="false">Dashboard!$C26-F$274*(Dashboard!$C10/12)</f>
        <v>-11351.5541925683</v>
      </c>
      <c r="E275" s="88" t="n">
        <f aca="false">F$274*(Dashboard!$C10/12)</f>
        <v>11351.5541925683</v>
      </c>
      <c r="F275" s="86" t="n">
        <f aca="false">MAX(F$274-(Dashboard!$C26-F$274*(Dashboard!$C10/12)),0)</f>
        <v>1957332.27291856</v>
      </c>
      <c r="G275" s="89" t="n">
        <f aca="false">G$274+F$274*(Dashboard!$C10/12)</f>
        <v>1557332.27291856</v>
      </c>
      <c r="H275" s="90" t="n">
        <f aca="false">H$274+Dashboard!$C26-F$274*(Dashboard!$C10/12)</f>
        <v>-1557332.27291856</v>
      </c>
    </row>
    <row r="276" customFormat="false" ht="15" hidden="false" customHeight="true" outlineLevel="0" collapsed="false">
      <c r="A276" s="85" t="n">
        <f aca="false">INT((274-1)/12)+1</f>
        <v>23</v>
      </c>
      <c r="B276" s="85" t="n">
        <f aca="false">MOD(274-1,12)+1</f>
        <v>10</v>
      </c>
      <c r="C276" s="86" t="n">
        <f aca="false">Dashboard!$C26</f>
        <v>0</v>
      </c>
      <c r="D276" s="87" t="n">
        <f aca="false">Dashboard!$C26-F$275*(Dashboard!$C10/12)</f>
        <v>-11417.7715920249</v>
      </c>
      <c r="E276" s="88" t="n">
        <f aca="false">F$275*(Dashboard!$C10/12)</f>
        <v>11417.7715920249</v>
      </c>
      <c r="F276" s="86" t="n">
        <f aca="false">MAX(F$275-(Dashboard!$C26-F$275*(Dashboard!$C10/12)),0)</f>
        <v>1968750.04451058</v>
      </c>
      <c r="G276" s="89" t="n">
        <f aca="false">G$275+F$275*(Dashboard!$C10/12)</f>
        <v>1568750.04451058</v>
      </c>
      <c r="H276" s="90" t="n">
        <f aca="false">H$275+Dashboard!$C26-F$275*(Dashboard!$C10/12)</f>
        <v>-1568750.04451058</v>
      </c>
    </row>
    <row r="277" customFormat="false" ht="15" hidden="false" customHeight="true" outlineLevel="0" collapsed="false">
      <c r="A277" s="85" t="n">
        <f aca="false">INT((275-1)/12)+1</f>
        <v>23</v>
      </c>
      <c r="B277" s="85" t="n">
        <f aca="false">MOD(275-1,12)+1</f>
        <v>11</v>
      </c>
      <c r="C277" s="86" t="n">
        <f aca="false">Dashboard!$C26</f>
        <v>0</v>
      </c>
      <c r="D277" s="87" t="n">
        <f aca="false">Dashboard!$C26-F$276*(Dashboard!$C10/12)</f>
        <v>-11484.3752596451</v>
      </c>
      <c r="E277" s="88" t="n">
        <f aca="false">F$276*(Dashboard!$C10/12)</f>
        <v>11484.3752596451</v>
      </c>
      <c r="F277" s="86" t="n">
        <f aca="false">MAX(F$276-(Dashboard!$C26-F$276*(Dashboard!$C10/12)),0)</f>
        <v>1980234.41977023</v>
      </c>
      <c r="G277" s="89" t="n">
        <f aca="false">G$276+F$276*(Dashboard!$C10/12)</f>
        <v>1580234.41977023</v>
      </c>
      <c r="H277" s="90" t="n">
        <f aca="false">H$276+Dashboard!$C26-F$276*(Dashboard!$C10/12)</f>
        <v>-1580234.41977023</v>
      </c>
    </row>
    <row r="278" customFormat="false" ht="15" hidden="false" customHeight="true" outlineLevel="0" collapsed="false">
      <c r="A278" s="91" t="n">
        <f aca="false">INT((276-1)/12)+1</f>
        <v>23</v>
      </c>
      <c r="B278" s="91" t="n">
        <f aca="false">MOD(276-1,12)+1</f>
        <v>12</v>
      </c>
      <c r="C278" s="92" t="n">
        <f aca="false">Dashboard!$C26</f>
        <v>0</v>
      </c>
      <c r="D278" s="93" t="n">
        <f aca="false">Dashboard!$C26-F$277*(Dashboard!$C10/12)</f>
        <v>-11551.3674486597</v>
      </c>
      <c r="E278" s="94" t="n">
        <f aca="false">F$277*(Dashboard!$C10/12)</f>
        <v>11551.3674486597</v>
      </c>
      <c r="F278" s="92" t="n">
        <f aca="false">MAX(F$277-(Dashboard!$C26-F$277*(Dashboard!$C10/12)),0)</f>
        <v>1991785.78721889</v>
      </c>
      <c r="G278" s="95" t="n">
        <f aca="false">G$277+F$277*(Dashboard!$C10/12)</f>
        <v>1591785.78721889</v>
      </c>
      <c r="H278" s="96" t="n">
        <f aca="false">H$277+Dashboard!$C26-F$277*(Dashboard!$C10/12)</f>
        <v>-1591785.78721889</v>
      </c>
    </row>
    <row r="279" customFormat="false" ht="15" hidden="false" customHeight="true" outlineLevel="0" collapsed="false">
      <c r="A279" s="91" t="n">
        <f aca="false">INT((277-1)/12)+1</f>
        <v>24</v>
      </c>
      <c r="B279" s="91" t="n">
        <f aca="false">MOD(277-1,12)+1</f>
        <v>1</v>
      </c>
      <c r="C279" s="92" t="n">
        <f aca="false">Dashboard!$C26</f>
        <v>0</v>
      </c>
      <c r="D279" s="93" t="n">
        <f aca="false">Dashboard!$C26-F$278*(Dashboard!$C10/12)</f>
        <v>-11618.7504254435</v>
      </c>
      <c r="E279" s="94" t="n">
        <f aca="false">F$278*(Dashboard!$C10/12)</f>
        <v>11618.7504254435</v>
      </c>
      <c r="F279" s="92" t="n">
        <f aca="false">MAX(F$278-(Dashboard!$C26-F$278*(Dashboard!$C10/12)),0)</f>
        <v>2003404.53764433</v>
      </c>
      <c r="G279" s="95" t="n">
        <f aca="false">G$278+F$278*(Dashboard!$C10/12)</f>
        <v>1603404.53764433</v>
      </c>
      <c r="H279" s="96" t="n">
        <f aca="false">H$278+Dashboard!$C26-F$278*(Dashboard!$C10/12)</f>
        <v>-1603404.53764433</v>
      </c>
    </row>
    <row r="280" customFormat="false" ht="15" hidden="false" customHeight="true" outlineLevel="0" collapsed="false">
      <c r="A280" s="91" t="n">
        <f aca="false">INT((278-1)/12)+1</f>
        <v>24</v>
      </c>
      <c r="B280" s="91" t="n">
        <f aca="false">MOD(278-1,12)+1</f>
        <v>2</v>
      </c>
      <c r="C280" s="92" t="n">
        <f aca="false">Dashboard!$C26</f>
        <v>0</v>
      </c>
      <c r="D280" s="93" t="n">
        <f aca="false">Dashboard!$C26-F$279*(Dashboard!$C10/12)</f>
        <v>-11686.5264695919</v>
      </c>
      <c r="E280" s="94" t="n">
        <f aca="false">F$279*(Dashboard!$C10/12)</f>
        <v>11686.5264695919</v>
      </c>
      <c r="F280" s="92" t="n">
        <f aca="false">MAX(F$279-(Dashboard!$C26-F$279*(Dashboard!$C10/12)),0)</f>
        <v>2015091.06411392</v>
      </c>
      <c r="G280" s="95" t="n">
        <f aca="false">G$279+F$279*(Dashboard!$C10/12)</f>
        <v>1615091.06411392</v>
      </c>
      <c r="H280" s="96" t="n">
        <f aca="false">H$279+Dashboard!$C26-F$279*(Dashboard!$C10/12)</f>
        <v>-1615091.06411392</v>
      </c>
    </row>
    <row r="281" customFormat="false" ht="15" hidden="false" customHeight="true" outlineLevel="0" collapsed="false">
      <c r="A281" s="91" t="n">
        <f aca="false">INT((279-1)/12)+1</f>
        <v>24</v>
      </c>
      <c r="B281" s="91" t="n">
        <f aca="false">MOD(279-1,12)+1</f>
        <v>3</v>
      </c>
      <c r="C281" s="92" t="n">
        <f aca="false">Dashboard!$C26</f>
        <v>0</v>
      </c>
      <c r="D281" s="93" t="n">
        <f aca="false">Dashboard!$C26-F$280*(Dashboard!$C10/12)</f>
        <v>-11754.6978739979</v>
      </c>
      <c r="E281" s="94" t="n">
        <f aca="false">F$280*(Dashboard!$C10/12)</f>
        <v>11754.6978739979</v>
      </c>
      <c r="F281" s="92" t="n">
        <f aca="false">MAX(F$280-(Dashboard!$C26-F$280*(Dashboard!$C10/12)),0)</f>
        <v>2026845.76198792</v>
      </c>
      <c r="G281" s="95" t="n">
        <f aca="false">G$280+F$280*(Dashboard!$C10/12)</f>
        <v>1626845.76198792</v>
      </c>
      <c r="H281" s="96" t="n">
        <f aca="false">H$280+Dashboard!$C26-F$280*(Dashboard!$C10/12)</f>
        <v>-1626845.76198792</v>
      </c>
    </row>
    <row r="282" customFormat="false" ht="15" hidden="false" customHeight="true" outlineLevel="0" collapsed="false">
      <c r="A282" s="91" t="n">
        <f aca="false">INT((280-1)/12)+1</f>
        <v>24</v>
      </c>
      <c r="B282" s="91" t="n">
        <f aca="false">MOD(280-1,12)+1</f>
        <v>4</v>
      </c>
      <c r="C282" s="92" t="n">
        <f aca="false">Dashboard!$C26</f>
        <v>0</v>
      </c>
      <c r="D282" s="93" t="n">
        <f aca="false">Dashboard!$C26-F$281*(Dashboard!$C10/12)</f>
        <v>-11823.2669449295</v>
      </c>
      <c r="E282" s="94" t="n">
        <f aca="false">F$281*(Dashboard!$C10/12)</f>
        <v>11823.2669449295</v>
      </c>
      <c r="F282" s="92" t="n">
        <f aca="false">MAX(F$281-(Dashboard!$C26-F$281*(Dashboard!$C10/12)),0)</f>
        <v>2038669.02893285</v>
      </c>
      <c r="G282" s="95" t="n">
        <f aca="false">G$281+F$281*(Dashboard!$C10/12)</f>
        <v>1638669.02893285</v>
      </c>
      <c r="H282" s="96" t="n">
        <f aca="false">H$281+Dashboard!$C26-F$281*(Dashboard!$C10/12)</f>
        <v>-1638669.02893285</v>
      </c>
    </row>
    <row r="283" customFormat="false" ht="15" hidden="false" customHeight="true" outlineLevel="0" collapsed="false">
      <c r="A283" s="91" t="n">
        <f aca="false">INT((281-1)/12)+1</f>
        <v>24</v>
      </c>
      <c r="B283" s="91" t="n">
        <f aca="false">MOD(281-1,12)+1</f>
        <v>5</v>
      </c>
      <c r="C283" s="92" t="n">
        <f aca="false">Dashboard!$C26</f>
        <v>0</v>
      </c>
      <c r="D283" s="93" t="n">
        <f aca="false">Dashboard!$C26-F$282*(Dashboard!$C10/12)</f>
        <v>-11892.2360021083</v>
      </c>
      <c r="E283" s="94" t="n">
        <f aca="false">F$282*(Dashboard!$C10/12)</f>
        <v>11892.2360021083</v>
      </c>
      <c r="F283" s="92" t="n">
        <f aca="false">MAX(F$282-(Dashboard!$C26-F$282*(Dashboard!$C10/12)),0)</f>
        <v>2050561.26493496</v>
      </c>
      <c r="G283" s="95" t="n">
        <f aca="false">G$282+F$282*(Dashboard!$C10/12)</f>
        <v>1650561.26493496</v>
      </c>
      <c r="H283" s="96" t="n">
        <f aca="false">H$282+Dashboard!$C26-F$282*(Dashboard!$C10/12)</f>
        <v>-1650561.26493496</v>
      </c>
    </row>
    <row r="284" customFormat="false" ht="15" hidden="false" customHeight="true" outlineLevel="0" collapsed="false">
      <c r="A284" s="91" t="n">
        <f aca="false">INT((282-1)/12)+1</f>
        <v>24</v>
      </c>
      <c r="B284" s="91" t="n">
        <f aca="false">MOD(282-1,12)+1</f>
        <v>6</v>
      </c>
      <c r="C284" s="92" t="n">
        <f aca="false">Dashboard!$C26</f>
        <v>0</v>
      </c>
      <c r="D284" s="93" t="n">
        <f aca="false">Dashboard!$C26-F$283*(Dashboard!$C10/12)</f>
        <v>-11961.6073787873</v>
      </c>
      <c r="E284" s="94" t="n">
        <f aca="false">F$283*(Dashboard!$C10/12)</f>
        <v>11961.6073787873</v>
      </c>
      <c r="F284" s="92" t="n">
        <f aca="false">MAX(F$283-(Dashboard!$C26-F$283*(Dashboard!$C10/12)),0)</f>
        <v>2062522.87231375</v>
      </c>
      <c r="G284" s="95" t="n">
        <f aca="false">G$283+F$283*(Dashboard!$C10/12)</f>
        <v>1662522.87231375</v>
      </c>
      <c r="H284" s="96" t="n">
        <f aca="false">H$283+Dashboard!$C26-F$283*(Dashboard!$C10/12)</f>
        <v>-1662522.87231375</v>
      </c>
    </row>
    <row r="285" customFormat="false" ht="15" hidden="false" customHeight="true" outlineLevel="0" collapsed="false">
      <c r="A285" s="91" t="n">
        <f aca="false">INT((283-1)/12)+1</f>
        <v>24</v>
      </c>
      <c r="B285" s="91" t="n">
        <f aca="false">MOD(283-1,12)+1</f>
        <v>7</v>
      </c>
      <c r="C285" s="92" t="n">
        <f aca="false">Dashboard!$C26</f>
        <v>0</v>
      </c>
      <c r="D285" s="93" t="n">
        <f aca="false">Dashboard!$C26-F$284*(Dashboard!$C10/12)</f>
        <v>-12031.3834218302</v>
      </c>
      <c r="E285" s="94" t="n">
        <f aca="false">F$284*(Dashboard!$C10/12)</f>
        <v>12031.3834218302</v>
      </c>
      <c r="F285" s="92" t="n">
        <f aca="false">MAX(F$284-(Dashboard!$C26-F$284*(Dashboard!$C10/12)),0)</f>
        <v>2074554.25573558</v>
      </c>
      <c r="G285" s="95" t="n">
        <f aca="false">G$284+F$284*(Dashboard!$C10/12)</f>
        <v>1674554.25573558</v>
      </c>
      <c r="H285" s="96" t="n">
        <f aca="false">H$284+Dashboard!$C26-F$284*(Dashboard!$C10/12)</f>
        <v>-1674554.25573558</v>
      </c>
    </row>
    <row r="286" customFormat="false" ht="15" hidden="false" customHeight="true" outlineLevel="0" collapsed="false">
      <c r="A286" s="91" t="n">
        <f aca="false">INT((284-1)/12)+1</f>
        <v>24</v>
      </c>
      <c r="B286" s="91" t="n">
        <f aca="false">MOD(284-1,12)+1</f>
        <v>8</v>
      </c>
      <c r="C286" s="92" t="n">
        <f aca="false">Dashboard!$C26</f>
        <v>0</v>
      </c>
      <c r="D286" s="93" t="n">
        <f aca="false">Dashboard!$C26-F$285*(Dashboard!$C10/12)</f>
        <v>-12101.5664917909</v>
      </c>
      <c r="E286" s="94" t="n">
        <f aca="false">F$285*(Dashboard!$C10/12)</f>
        <v>12101.5664917909</v>
      </c>
      <c r="F286" s="92" t="n">
        <f aca="false">MAX(F$285-(Dashboard!$C26-F$285*(Dashboard!$C10/12)),0)</f>
        <v>2086655.82222737</v>
      </c>
      <c r="G286" s="95" t="n">
        <f aca="false">G$285+F$285*(Dashboard!$C10/12)</f>
        <v>1686655.82222737</v>
      </c>
      <c r="H286" s="96" t="n">
        <f aca="false">H$285+Dashboard!$C26-F$285*(Dashboard!$C10/12)</f>
        <v>-1686655.82222737</v>
      </c>
    </row>
    <row r="287" customFormat="false" ht="15" hidden="false" customHeight="true" outlineLevel="0" collapsed="false">
      <c r="A287" s="91" t="n">
        <f aca="false">INT((285-1)/12)+1</f>
        <v>24</v>
      </c>
      <c r="B287" s="91" t="n">
        <f aca="false">MOD(285-1,12)+1</f>
        <v>9</v>
      </c>
      <c r="C287" s="92" t="n">
        <f aca="false">Dashboard!$C26</f>
        <v>0</v>
      </c>
      <c r="D287" s="93" t="n">
        <f aca="false">Dashboard!$C26-F$286*(Dashboard!$C10/12)</f>
        <v>-12172.158962993</v>
      </c>
      <c r="E287" s="94" t="n">
        <f aca="false">F$286*(Dashboard!$C10/12)</f>
        <v>12172.158962993</v>
      </c>
      <c r="F287" s="92" t="n">
        <f aca="false">MAX(F$286-(Dashboard!$C26-F$286*(Dashboard!$C10/12)),0)</f>
        <v>2098827.98119036</v>
      </c>
      <c r="G287" s="95" t="n">
        <f aca="false">G$286+F$286*(Dashboard!$C10/12)</f>
        <v>1698827.98119036</v>
      </c>
      <c r="H287" s="96" t="n">
        <f aca="false">H$286+Dashboard!$C26-F$286*(Dashboard!$C10/12)</f>
        <v>-1698827.98119036</v>
      </c>
    </row>
    <row r="288" customFormat="false" ht="15" hidden="false" customHeight="true" outlineLevel="0" collapsed="false">
      <c r="A288" s="91" t="n">
        <f aca="false">INT((286-1)/12)+1</f>
        <v>24</v>
      </c>
      <c r="B288" s="91" t="n">
        <f aca="false">MOD(286-1,12)+1</f>
        <v>10</v>
      </c>
      <c r="C288" s="92" t="n">
        <f aca="false">Dashboard!$C26</f>
        <v>0</v>
      </c>
      <c r="D288" s="93" t="n">
        <f aca="false">Dashboard!$C26-F$287*(Dashboard!$C10/12)</f>
        <v>-12243.1632236104</v>
      </c>
      <c r="E288" s="94" t="n">
        <f aca="false">F$287*(Dashboard!$C10/12)</f>
        <v>12243.1632236104</v>
      </c>
      <c r="F288" s="92" t="n">
        <f aca="false">MAX(F$287-(Dashboard!$C26-F$287*(Dashboard!$C10/12)),0)</f>
        <v>2111071.14441397</v>
      </c>
      <c r="G288" s="95" t="n">
        <f aca="false">G$287+F$287*(Dashboard!$C10/12)</f>
        <v>1711071.14441397</v>
      </c>
      <c r="H288" s="96" t="n">
        <f aca="false">H$287+Dashboard!$C26-F$287*(Dashboard!$C10/12)</f>
        <v>-1711071.14441397</v>
      </c>
    </row>
    <row r="289" customFormat="false" ht="15" hidden="false" customHeight="true" outlineLevel="0" collapsed="false">
      <c r="A289" s="91" t="n">
        <f aca="false">INT((287-1)/12)+1</f>
        <v>24</v>
      </c>
      <c r="B289" s="91" t="n">
        <f aca="false">MOD(287-1,12)+1</f>
        <v>11</v>
      </c>
      <c r="C289" s="92" t="n">
        <f aca="false">Dashboard!$C26</f>
        <v>0</v>
      </c>
      <c r="D289" s="93" t="n">
        <f aca="false">Dashboard!$C26-F$288*(Dashboard!$C10/12)</f>
        <v>-12314.5816757482</v>
      </c>
      <c r="E289" s="94" t="n">
        <f aca="false">F$288*(Dashboard!$C10/12)</f>
        <v>12314.5816757482</v>
      </c>
      <c r="F289" s="92" t="n">
        <f aca="false">MAX(F$288-(Dashboard!$C26-F$288*(Dashboard!$C10/12)),0)</f>
        <v>2123385.72608972</v>
      </c>
      <c r="G289" s="95" t="n">
        <f aca="false">G$288+F$288*(Dashboard!$C10/12)</f>
        <v>1723385.72608972</v>
      </c>
      <c r="H289" s="96" t="n">
        <f aca="false">H$288+Dashboard!$C26-F$288*(Dashboard!$C10/12)</f>
        <v>-1723385.72608972</v>
      </c>
    </row>
    <row r="290" customFormat="false" ht="15" hidden="false" customHeight="true" outlineLevel="0" collapsed="false">
      <c r="A290" s="85" t="n">
        <f aca="false">INT((288-1)/12)+1</f>
        <v>24</v>
      </c>
      <c r="B290" s="85" t="n">
        <f aca="false">MOD(288-1,12)+1</f>
        <v>12</v>
      </c>
      <c r="C290" s="86" t="n">
        <f aca="false">Dashboard!$C26</f>
        <v>0</v>
      </c>
      <c r="D290" s="87" t="n">
        <f aca="false">Dashboard!$C26-F$289*(Dashboard!$C10/12)</f>
        <v>-12386.4167355234</v>
      </c>
      <c r="E290" s="88" t="n">
        <f aca="false">F$289*(Dashboard!$C10/12)</f>
        <v>12386.4167355234</v>
      </c>
      <c r="F290" s="86" t="n">
        <f aca="false">MAX(F$289-(Dashboard!$C26-F$289*(Dashboard!$C10/12)),0)</f>
        <v>2135772.14282524</v>
      </c>
      <c r="G290" s="89" t="n">
        <f aca="false">G$289+F$289*(Dashboard!$C10/12)</f>
        <v>1735772.14282524</v>
      </c>
      <c r="H290" s="90" t="n">
        <f aca="false">H$289+Dashboard!$C26-F$289*(Dashboard!$C10/12)</f>
        <v>-1735772.14282524</v>
      </c>
    </row>
    <row r="291" customFormat="false" ht="15" hidden="false" customHeight="true" outlineLevel="0" collapsed="false">
      <c r="A291" s="85" t="n">
        <f aca="false">INT((289-1)/12)+1</f>
        <v>25</v>
      </c>
      <c r="B291" s="85" t="n">
        <f aca="false">MOD(289-1,12)+1</f>
        <v>1</v>
      </c>
      <c r="C291" s="86" t="n">
        <f aca="false">Dashboard!$C26</f>
        <v>0</v>
      </c>
      <c r="D291" s="87" t="n">
        <f aca="false">Dashboard!$C26-F$290*(Dashboard!$C10/12)</f>
        <v>-12458.6708331473</v>
      </c>
      <c r="E291" s="88" t="n">
        <f aca="false">F$290*(Dashboard!$C10/12)</f>
        <v>12458.6708331473</v>
      </c>
      <c r="F291" s="86" t="n">
        <f aca="false">MAX(F$290-(Dashboard!$C26-F$290*(Dashboard!$C10/12)),0)</f>
        <v>2148230.81365839</v>
      </c>
      <c r="G291" s="89" t="n">
        <f aca="false">G$290+F$290*(Dashboard!$C10/12)</f>
        <v>1748230.81365839</v>
      </c>
      <c r="H291" s="90" t="n">
        <f aca="false">H$290+Dashboard!$C26-F$290*(Dashboard!$C10/12)</f>
        <v>-1748230.81365839</v>
      </c>
    </row>
    <row r="292" customFormat="false" ht="15" hidden="false" customHeight="true" outlineLevel="0" collapsed="false">
      <c r="A292" s="85" t="n">
        <f aca="false">INT((290-1)/12)+1</f>
        <v>25</v>
      </c>
      <c r="B292" s="85" t="n">
        <f aca="false">MOD(290-1,12)+1</f>
        <v>2</v>
      </c>
      <c r="C292" s="86" t="n">
        <f aca="false">Dashboard!$C26</f>
        <v>0</v>
      </c>
      <c r="D292" s="87" t="n">
        <f aca="false">Dashboard!$C26-F$291*(Dashboard!$C10/12)</f>
        <v>-12531.3464130073</v>
      </c>
      <c r="E292" s="88" t="n">
        <f aca="false">F$291*(Dashboard!$C10/12)</f>
        <v>12531.3464130073</v>
      </c>
      <c r="F292" s="86" t="n">
        <f aca="false">MAX(F$291-(Dashboard!$C26-F$291*(Dashboard!$C10/12)),0)</f>
        <v>2160762.1600714</v>
      </c>
      <c r="G292" s="89" t="n">
        <f aca="false">G$291+F$291*(Dashboard!$C10/12)</f>
        <v>1760762.1600714</v>
      </c>
      <c r="H292" s="90" t="n">
        <f aca="false">H$291+Dashboard!$C26-F$291*(Dashboard!$C10/12)</f>
        <v>-1760762.1600714</v>
      </c>
    </row>
    <row r="293" customFormat="false" ht="15" hidden="false" customHeight="true" outlineLevel="0" collapsed="false">
      <c r="A293" s="85" t="n">
        <f aca="false">INT((291-1)/12)+1</f>
        <v>25</v>
      </c>
      <c r="B293" s="85" t="n">
        <f aca="false">MOD(291-1,12)+1</f>
        <v>3</v>
      </c>
      <c r="C293" s="86" t="n">
        <f aca="false">Dashboard!$C26</f>
        <v>0</v>
      </c>
      <c r="D293" s="87" t="n">
        <f aca="false">Dashboard!$C26-F$292*(Dashboard!$C10/12)</f>
        <v>-12604.4459337498</v>
      </c>
      <c r="E293" s="88" t="n">
        <f aca="false">F$292*(Dashboard!$C10/12)</f>
        <v>12604.4459337498</v>
      </c>
      <c r="F293" s="86" t="n">
        <f aca="false">MAX(F$292-(Dashboard!$C26-F$292*(Dashboard!$C10/12)),0)</f>
        <v>2173366.60600515</v>
      </c>
      <c r="G293" s="89" t="n">
        <f aca="false">G$292+F$292*(Dashboard!$C10/12)</f>
        <v>1773366.60600515</v>
      </c>
      <c r="H293" s="90" t="n">
        <f aca="false">H$292+Dashboard!$C26-F$292*(Dashboard!$C10/12)</f>
        <v>-1773366.60600515</v>
      </c>
    </row>
    <row r="294" customFormat="false" ht="15" hidden="false" customHeight="true" outlineLevel="0" collapsed="false">
      <c r="A294" s="85" t="n">
        <f aca="false">INT((292-1)/12)+1</f>
        <v>25</v>
      </c>
      <c r="B294" s="85" t="n">
        <f aca="false">MOD(292-1,12)+1</f>
        <v>4</v>
      </c>
      <c r="C294" s="86" t="n">
        <f aca="false">Dashboard!$C26</f>
        <v>0</v>
      </c>
      <c r="D294" s="87" t="n">
        <f aca="false">Dashboard!$C26-F$293*(Dashboard!$C10/12)</f>
        <v>-12677.9718683634</v>
      </c>
      <c r="E294" s="88" t="n">
        <f aca="false">F$293*(Dashboard!$C10/12)</f>
        <v>12677.9718683634</v>
      </c>
      <c r="F294" s="86" t="n">
        <f aca="false">MAX(F$293-(Dashboard!$C26-F$293*(Dashboard!$C10/12)),0)</f>
        <v>2186044.57787351</v>
      </c>
      <c r="G294" s="89" t="n">
        <f aca="false">G$293+F$293*(Dashboard!$C10/12)</f>
        <v>1786044.57787351</v>
      </c>
      <c r="H294" s="90" t="n">
        <f aca="false">H$293+Dashboard!$C26-F$293*(Dashboard!$C10/12)</f>
        <v>-1786044.57787351</v>
      </c>
    </row>
    <row r="295" customFormat="false" ht="15" hidden="false" customHeight="true" outlineLevel="0" collapsed="false">
      <c r="A295" s="85" t="n">
        <f aca="false">INT((293-1)/12)+1</f>
        <v>25</v>
      </c>
      <c r="B295" s="85" t="n">
        <f aca="false">MOD(293-1,12)+1</f>
        <v>5</v>
      </c>
      <c r="C295" s="86" t="n">
        <f aca="false">Dashboard!$C26</f>
        <v>0</v>
      </c>
      <c r="D295" s="87" t="n">
        <f aca="false">Dashboard!$C26-F$294*(Dashboard!$C10/12)</f>
        <v>-12751.9267042621</v>
      </c>
      <c r="E295" s="88" t="n">
        <f aca="false">F$294*(Dashboard!$C10/12)</f>
        <v>12751.9267042621</v>
      </c>
      <c r="F295" s="86" t="n">
        <f aca="false">MAX(F$294-(Dashboard!$C26-F$294*(Dashboard!$C10/12)),0)</f>
        <v>2198796.50457777</v>
      </c>
      <c r="G295" s="89" t="n">
        <f aca="false">G$294+F$294*(Dashboard!$C10/12)</f>
        <v>1798796.50457777</v>
      </c>
      <c r="H295" s="90" t="n">
        <f aca="false">H$294+Dashboard!$C26-F$294*(Dashboard!$C10/12)</f>
        <v>-1798796.50457777</v>
      </c>
    </row>
    <row r="296" customFormat="false" ht="15" hidden="false" customHeight="true" outlineLevel="0" collapsed="false">
      <c r="A296" s="85" t="n">
        <f aca="false">INT((294-1)/12)+1</f>
        <v>25</v>
      </c>
      <c r="B296" s="85" t="n">
        <f aca="false">MOD(294-1,12)+1</f>
        <v>6</v>
      </c>
      <c r="C296" s="86" t="n">
        <f aca="false">Dashboard!$C26</f>
        <v>0</v>
      </c>
      <c r="D296" s="87" t="n">
        <f aca="false">Dashboard!$C26-F$295*(Dashboard!$C10/12)</f>
        <v>-12826.3129433703</v>
      </c>
      <c r="E296" s="88" t="n">
        <f aca="false">F$295*(Dashboard!$C10/12)</f>
        <v>12826.3129433703</v>
      </c>
      <c r="F296" s="86" t="n">
        <f aca="false">MAX(F$295-(Dashboard!$C26-F$295*(Dashboard!$C10/12)),0)</f>
        <v>2211622.81752114</v>
      </c>
      <c r="G296" s="89" t="n">
        <f aca="false">G$295+F$295*(Dashboard!$C10/12)</f>
        <v>1811622.81752114</v>
      </c>
      <c r="H296" s="90" t="n">
        <f aca="false">H$295+Dashboard!$C26-F$295*(Dashboard!$C10/12)</f>
        <v>-1811622.81752114</v>
      </c>
    </row>
    <row r="297" customFormat="false" ht="15" hidden="false" customHeight="true" outlineLevel="0" collapsed="false">
      <c r="A297" s="85" t="n">
        <f aca="false">INT((295-1)/12)+1</f>
        <v>25</v>
      </c>
      <c r="B297" s="85" t="n">
        <f aca="false">MOD(295-1,12)+1</f>
        <v>7</v>
      </c>
      <c r="C297" s="86" t="n">
        <f aca="false">Dashboard!$C26</f>
        <v>0</v>
      </c>
      <c r="D297" s="87" t="n">
        <f aca="false">Dashboard!$C26-F$296*(Dashboard!$C10/12)</f>
        <v>-12901.1331022067</v>
      </c>
      <c r="E297" s="88" t="n">
        <f aca="false">F$296*(Dashboard!$C10/12)</f>
        <v>12901.1331022067</v>
      </c>
      <c r="F297" s="86" t="n">
        <f aca="false">MAX(F$296-(Dashboard!$C26-F$296*(Dashboard!$C10/12)),0)</f>
        <v>2224523.95062335</v>
      </c>
      <c r="G297" s="89" t="n">
        <f aca="false">G$296+F$296*(Dashboard!$C10/12)</f>
        <v>1824523.95062335</v>
      </c>
      <c r="H297" s="90" t="n">
        <f aca="false">H$296+Dashboard!$C26-F$296*(Dashboard!$C10/12)</f>
        <v>-1824523.95062335</v>
      </c>
    </row>
    <row r="298" customFormat="false" ht="15" hidden="false" customHeight="true" outlineLevel="0" collapsed="false">
      <c r="A298" s="85" t="n">
        <f aca="false">INT((296-1)/12)+1</f>
        <v>25</v>
      </c>
      <c r="B298" s="85" t="n">
        <f aca="false">MOD(296-1,12)+1</f>
        <v>8</v>
      </c>
      <c r="C298" s="86" t="n">
        <f aca="false">Dashboard!$C26</f>
        <v>0</v>
      </c>
      <c r="D298" s="87" t="n">
        <f aca="false">Dashboard!$C26-F$297*(Dashboard!$C10/12)</f>
        <v>-12976.3897119695</v>
      </c>
      <c r="E298" s="88" t="n">
        <f aca="false">F$297*(Dashboard!$C10/12)</f>
        <v>12976.3897119695</v>
      </c>
      <c r="F298" s="86" t="n">
        <f aca="false">MAX(F$297-(Dashboard!$C26-F$297*(Dashboard!$C10/12)),0)</f>
        <v>2237500.34033532</v>
      </c>
      <c r="G298" s="89" t="n">
        <f aca="false">G$297+F$297*(Dashboard!$C10/12)</f>
        <v>1837500.34033532</v>
      </c>
      <c r="H298" s="90" t="n">
        <f aca="false">H$297+Dashboard!$C26-F$297*(Dashboard!$C10/12)</f>
        <v>-1837500.34033532</v>
      </c>
    </row>
    <row r="299" customFormat="false" ht="15" hidden="false" customHeight="true" outlineLevel="0" collapsed="false">
      <c r="A299" s="85" t="n">
        <f aca="false">INT((297-1)/12)+1</f>
        <v>25</v>
      </c>
      <c r="B299" s="85" t="n">
        <f aca="false">MOD(297-1,12)+1</f>
        <v>9</v>
      </c>
      <c r="C299" s="86" t="n">
        <f aca="false">Dashboard!$C26</f>
        <v>0</v>
      </c>
      <c r="D299" s="87" t="n">
        <f aca="false">Dashboard!$C26-F$298*(Dashboard!$C10/12)</f>
        <v>-13052.0853186227</v>
      </c>
      <c r="E299" s="88" t="n">
        <f aca="false">F$298*(Dashboard!$C10/12)</f>
        <v>13052.0853186227</v>
      </c>
      <c r="F299" s="86" t="n">
        <f aca="false">MAX(F$298-(Dashboard!$C26-F$298*(Dashboard!$C10/12)),0)</f>
        <v>2250552.42565394</v>
      </c>
      <c r="G299" s="89" t="n">
        <f aca="false">G$298+F$298*(Dashboard!$C10/12)</f>
        <v>1850552.42565394</v>
      </c>
      <c r="H299" s="90" t="n">
        <f aca="false">H$298+Dashboard!$C26-F$298*(Dashboard!$C10/12)</f>
        <v>-1850552.42565394</v>
      </c>
    </row>
    <row r="300" customFormat="false" ht="15" hidden="false" customHeight="true" outlineLevel="0" collapsed="false">
      <c r="A300" s="85" t="n">
        <f aca="false">INT((298-1)/12)+1</f>
        <v>25</v>
      </c>
      <c r="B300" s="85" t="n">
        <f aca="false">MOD(298-1,12)+1</f>
        <v>10</v>
      </c>
      <c r="C300" s="86" t="n">
        <f aca="false">Dashboard!$C26</f>
        <v>0</v>
      </c>
      <c r="D300" s="87" t="n">
        <f aca="false">Dashboard!$C26-F$299*(Dashboard!$C10/12)</f>
        <v>-13128.2224829813</v>
      </c>
      <c r="E300" s="88" t="n">
        <f aca="false">F$299*(Dashboard!$C10/12)</f>
        <v>13128.2224829813</v>
      </c>
      <c r="F300" s="86" t="n">
        <f aca="false">MAX(F$299-(Dashboard!$C26-F$299*(Dashboard!$C10/12)),0)</f>
        <v>2263680.64813692</v>
      </c>
      <c r="G300" s="89" t="n">
        <f aca="false">G$299+F$299*(Dashboard!$C10/12)</f>
        <v>1863680.64813692</v>
      </c>
      <c r="H300" s="90" t="n">
        <f aca="false">H$299+Dashboard!$C26-F$299*(Dashboard!$C10/12)</f>
        <v>-1863680.64813692</v>
      </c>
    </row>
    <row r="301" customFormat="false" ht="15" hidden="false" customHeight="true" outlineLevel="0" collapsed="false">
      <c r="A301" s="85" t="n">
        <f aca="false">INT((299-1)/12)+1</f>
        <v>25</v>
      </c>
      <c r="B301" s="85" t="n">
        <f aca="false">MOD(299-1,12)+1</f>
        <v>11</v>
      </c>
      <c r="C301" s="86" t="n">
        <f aca="false">Dashboard!$C26</f>
        <v>0</v>
      </c>
      <c r="D301" s="87" t="n">
        <f aca="false">Dashboard!$C26-F$300*(Dashboard!$C10/12)</f>
        <v>-13204.8037807987</v>
      </c>
      <c r="E301" s="88" t="n">
        <f aca="false">F$300*(Dashboard!$C10/12)</f>
        <v>13204.8037807987</v>
      </c>
      <c r="F301" s="86" t="n">
        <f aca="false">MAX(F$300-(Dashboard!$C26-F$300*(Dashboard!$C10/12)),0)</f>
        <v>2276885.45191772</v>
      </c>
      <c r="G301" s="89" t="n">
        <f aca="false">G$300+F$300*(Dashboard!$C10/12)</f>
        <v>1876885.45191772</v>
      </c>
      <c r="H301" s="90" t="n">
        <f aca="false">H$300+Dashboard!$C26-F$300*(Dashboard!$C10/12)</f>
        <v>-1876885.45191772</v>
      </c>
    </row>
    <row r="302" customFormat="false" ht="15" hidden="false" customHeight="true" outlineLevel="0" collapsed="false">
      <c r="A302" s="91" t="n">
        <f aca="false">INT((300-1)/12)+1</f>
        <v>25</v>
      </c>
      <c r="B302" s="91" t="n">
        <f aca="false">MOD(300-1,12)+1</f>
        <v>12</v>
      </c>
      <c r="C302" s="92" t="n">
        <f aca="false">Dashboard!$C26</f>
        <v>0</v>
      </c>
      <c r="D302" s="93" t="n">
        <f aca="false">Dashboard!$C26-F$301*(Dashboard!$C10/12)</f>
        <v>-13281.8318028534</v>
      </c>
      <c r="E302" s="94" t="n">
        <f aca="false">F$301*(Dashboard!$C10/12)</f>
        <v>13281.8318028534</v>
      </c>
      <c r="F302" s="92" t="n">
        <f aca="false">MAX(F$301-(Dashboard!$C26-F$301*(Dashboard!$C10/12)),0)</f>
        <v>2290167.28372058</v>
      </c>
      <c r="G302" s="95" t="n">
        <f aca="false">G$301+F$301*(Dashboard!$C10/12)</f>
        <v>1890167.28372058</v>
      </c>
      <c r="H302" s="96" t="n">
        <f aca="false">H$301+Dashboard!$C26-F$301*(Dashboard!$C10/12)</f>
        <v>-1890167.28372058</v>
      </c>
    </row>
    <row r="303" customFormat="false" ht="15" hidden="false" customHeight="true" outlineLevel="0" collapsed="false">
      <c r="A303" s="91" t="n">
        <f aca="false">INT((301-1)/12)+1</f>
        <v>26</v>
      </c>
      <c r="B303" s="91" t="n">
        <f aca="false">MOD(301-1,12)+1</f>
        <v>1</v>
      </c>
      <c r="C303" s="92" t="n">
        <f aca="false">Dashboard!$C26</f>
        <v>0</v>
      </c>
      <c r="D303" s="93" t="n">
        <f aca="false">Dashboard!$C26-F$302*(Dashboard!$C10/12)</f>
        <v>-13359.3091550367</v>
      </c>
      <c r="E303" s="94" t="n">
        <f aca="false">F$302*(Dashboard!$C10/12)</f>
        <v>13359.3091550367</v>
      </c>
      <c r="F303" s="92" t="n">
        <f aca="false">MAX(F$302-(Dashboard!$C26-F$302*(Dashboard!$C10/12)),0)</f>
        <v>2303526.59287561</v>
      </c>
      <c r="G303" s="95" t="n">
        <f aca="false">G$302+F$302*(Dashboard!$C10/12)</f>
        <v>1903526.59287561</v>
      </c>
      <c r="H303" s="96" t="n">
        <f aca="false">H$302+Dashboard!$C26-F$302*(Dashboard!$C10/12)</f>
        <v>-1903526.59287561</v>
      </c>
    </row>
    <row r="304" customFormat="false" ht="15" hidden="false" customHeight="true" outlineLevel="0" collapsed="false">
      <c r="A304" s="91" t="n">
        <f aca="false">INT((302-1)/12)+1</f>
        <v>26</v>
      </c>
      <c r="B304" s="91" t="n">
        <f aca="false">MOD(302-1,12)+1</f>
        <v>2</v>
      </c>
      <c r="C304" s="92" t="n">
        <f aca="false">Dashboard!$C26</f>
        <v>0</v>
      </c>
      <c r="D304" s="93" t="n">
        <f aca="false">Dashboard!$C26-F$303*(Dashboard!$C10/12)</f>
        <v>-13437.2384584411</v>
      </c>
      <c r="E304" s="94" t="n">
        <f aca="false">F$303*(Dashboard!$C10/12)</f>
        <v>13437.2384584411</v>
      </c>
      <c r="F304" s="92" t="n">
        <f aca="false">MAX(F$303-(Dashboard!$C26-F$303*(Dashboard!$C10/12)),0)</f>
        <v>2316963.83133405</v>
      </c>
      <c r="G304" s="95" t="n">
        <f aca="false">G$303+F$303*(Dashboard!$C10/12)</f>
        <v>1916963.83133405</v>
      </c>
      <c r="H304" s="96" t="n">
        <f aca="false">H$303+Dashboard!$C26-F$303*(Dashboard!$C10/12)</f>
        <v>-1916963.83133405</v>
      </c>
    </row>
    <row r="305" customFormat="false" ht="15" hidden="false" customHeight="true" outlineLevel="0" collapsed="false">
      <c r="A305" s="91" t="n">
        <f aca="false">INT((303-1)/12)+1</f>
        <v>26</v>
      </c>
      <c r="B305" s="91" t="n">
        <f aca="false">MOD(303-1,12)+1</f>
        <v>3</v>
      </c>
      <c r="C305" s="92" t="n">
        <f aca="false">Dashboard!$C26</f>
        <v>0</v>
      </c>
      <c r="D305" s="93" t="n">
        <f aca="false">Dashboard!$C26-F$304*(Dashboard!$C10/12)</f>
        <v>-13515.6223494486</v>
      </c>
      <c r="E305" s="94" t="n">
        <f aca="false">F$304*(Dashboard!$C10/12)</f>
        <v>13515.6223494486</v>
      </c>
      <c r="F305" s="92" t="n">
        <f aca="false">MAX(F$304-(Dashboard!$C26-F$304*(Dashboard!$C10/12)),0)</f>
        <v>2330479.4536835</v>
      </c>
      <c r="G305" s="95" t="n">
        <f aca="false">G$304+F$304*(Dashboard!$C10/12)</f>
        <v>1930479.4536835</v>
      </c>
      <c r="H305" s="96" t="n">
        <f aca="false">H$304+Dashboard!$C26-F$304*(Dashboard!$C10/12)</f>
        <v>-1930479.4536835</v>
      </c>
    </row>
    <row r="306" customFormat="false" ht="15" hidden="false" customHeight="true" outlineLevel="0" collapsed="false">
      <c r="A306" s="91" t="n">
        <f aca="false">INT((304-1)/12)+1</f>
        <v>26</v>
      </c>
      <c r="B306" s="91" t="n">
        <f aca="false">MOD(304-1,12)+1</f>
        <v>4</v>
      </c>
      <c r="C306" s="92" t="n">
        <f aca="false">Dashboard!$C26</f>
        <v>0</v>
      </c>
      <c r="D306" s="93" t="n">
        <f aca="false">Dashboard!$C26-F$305*(Dashboard!$C10/12)</f>
        <v>-13594.4634798204</v>
      </c>
      <c r="E306" s="94" t="n">
        <f aca="false">F$305*(Dashboard!$C10/12)</f>
        <v>13594.4634798204</v>
      </c>
      <c r="F306" s="92" t="n">
        <f aca="false">MAX(F$305-(Dashboard!$C26-F$305*(Dashboard!$C10/12)),0)</f>
        <v>2344073.91716332</v>
      </c>
      <c r="G306" s="95" t="n">
        <f aca="false">G$305+F$305*(Dashboard!$C10/12)</f>
        <v>1944073.91716332</v>
      </c>
      <c r="H306" s="96" t="n">
        <f aca="false">H$305+Dashboard!$C26-F$305*(Dashboard!$C10/12)</f>
        <v>-1944073.91716332</v>
      </c>
    </row>
    <row r="307" customFormat="false" ht="15" hidden="false" customHeight="true" outlineLevel="0" collapsed="false">
      <c r="A307" s="91" t="n">
        <f aca="false">INT((305-1)/12)+1</f>
        <v>26</v>
      </c>
      <c r="B307" s="91" t="n">
        <f aca="false">MOD(305-1,12)+1</f>
        <v>5</v>
      </c>
      <c r="C307" s="92" t="n">
        <f aca="false">Dashboard!$C26</f>
        <v>0</v>
      </c>
      <c r="D307" s="93" t="n">
        <f aca="false">Dashboard!$C26-F$306*(Dashboard!$C10/12)</f>
        <v>-13673.7645167861</v>
      </c>
      <c r="E307" s="94" t="n">
        <f aca="false">F$306*(Dashboard!$C10/12)</f>
        <v>13673.7645167861</v>
      </c>
      <c r="F307" s="92" t="n">
        <f aca="false">MAX(F$306-(Dashboard!$C26-F$306*(Dashboard!$C10/12)),0)</f>
        <v>2357747.68168011</v>
      </c>
      <c r="G307" s="95" t="n">
        <f aca="false">G$306+F$306*(Dashboard!$C10/12)</f>
        <v>1957747.68168011</v>
      </c>
      <c r="H307" s="96" t="n">
        <f aca="false">H$306+Dashboard!$C26-F$306*(Dashboard!$C10/12)</f>
        <v>-1957747.68168011</v>
      </c>
    </row>
    <row r="308" customFormat="false" ht="15" hidden="false" customHeight="true" outlineLevel="0" collapsed="false">
      <c r="A308" s="91" t="n">
        <f aca="false">INT((306-1)/12)+1</f>
        <v>26</v>
      </c>
      <c r="B308" s="91" t="n">
        <f aca="false">MOD(306-1,12)+1</f>
        <v>6</v>
      </c>
      <c r="C308" s="92" t="n">
        <f aca="false">Dashboard!$C26</f>
        <v>0</v>
      </c>
      <c r="D308" s="93" t="n">
        <f aca="false">Dashboard!$C26-F$307*(Dashboard!$C10/12)</f>
        <v>-13753.528143134</v>
      </c>
      <c r="E308" s="94" t="n">
        <f aca="false">F$307*(Dashboard!$C10/12)</f>
        <v>13753.528143134</v>
      </c>
      <c r="F308" s="92" t="n">
        <f aca="false">MAX(F$307-(Dashboard!$C26-F$307*(Dashboard!$C10/12)),0)</f>
        <v>2371501.20982324</v>
      </c>
      <c r="G308" s="95" t="n">
        <f aca="false">G$307+F$307*(Dashboard!$C10/12)</f>
        <v>1971501.20982324</v>
      </c>
      <c r="H308" s="96" t="n">
        <f aca="false">H$307+Dashboard!$C26-F$307*(Dashboard!$C10/12)</f>
        <v>-1971501.20982324</v>
      </c>
    </row>
    <row r="309" customFormat="false" ht="15" hidden="false" customHeight="true" outlineLevel="0" collapsed="false">
      <c r="A309" s="91" t="n">
        <f aca="false">INT((307-1)/12)+1</f>
        <v>26</v>
      </c>
      <c r="B309" s="91" t="n">
        <f aca="false">MOD(307-1,12)+1</f>
        <v>7</v>
      </c>
      <c r="C309" s="92" t="n">
        <f aca="false">Dashboard!$C26</f>
        <v>0</v>
      </c>
      <c r="D309" s="93" t="n">
        <f aca="false">Dashboard!$C26-F$308*(Dashboard!$C10/12)</f>
        <v>-13833.7570573023</v>
      </c>
      <c r="E309" s="94" t="n">
        <f aca="false">F$308*(Dashboard!$C10/12)</f>
        <v>13833.7570573023</v>
      </c>
      <c r="F309" s="92" t="n">
        <f aca="false">MAX(F$308-(Dashboard!$C26-F$308*(Dashboard!$C10/12)),0)</f>
        <v>2385334.96688055</v>
      </c>
      <c r="G309" s="95" t="n">
        <f aca="false">G$308+F$308*(Dashboard!$C10/12)</f>
        <v>1985334.96688055</v>
      </c>
      <c r="H309" s="96" t="n">
        <f aca="false">H$308+Dashboard!$C26-F$308*(Dashboard!$C10/12)</f>
        <v>-1985334.96688055</v>
      </c>
    </row>
    <row r="310" customFormat="false" ht="15" hidden="false" customHeight="true" outlineLevel="0" collapsed="false">
      <c r="A310" s="91" t="n">
        <f aca="false">INT((308-1)/12)+1</f>
        <v>26</v>
      </c>
      <c r="B310" s="91" t="n">
        <f aca="false">MOD(308-1,12)+1</f>
        <v>8</v>
      </c>
      <c r="C310" s="92" t="n">
        <f aca="false">Dashboard!$C26</f>
        <v>0</v>
      </c>
      <c r="D310" s="93" t="n">
        <f aca="false">Dashboard!$C26-F$309*(Dashboard!$C10/12)</f>
        <v>-13914.4539734698</v>
      </c>
      <c r="E310" s="94" t="n">
        <f aca="false">F$309*(Dashboard!$C10/12)</f>
        <v>13914.4539734698</v>
      </c>
      <c r="F310" s="92" t="n">
        <f aca="false">MAX(F$309-(Dashboard!$C26-F$309*(Dashboard!$C10/12)),0)</f>
        <v>2399249.42085402</v>
      </c>
      <c r="G310" s="95" t="n">
        <f aca="false">G$309+F$309*(Dashboard!$C10/12)</f>
        <v>1999249.42085402</v>
      </c>
      <c r="H310" s="96" t="n">
        <f aca="false">H$309+Dashboard!$C26-F$309*(Dashboard!$C10/12)</f>
        <v>-1999249.42085402</v>
      </c>
    </row>
    <row r="311" customFormat="false" ht="15" hidden="false" customHeight="true" outlineLevel="0" collapsed="false">
      <c r="A311" s="91" t="n">
        <f aca="false">INT((309-1)/12)+1</f>
        <v>26</v>
      </c>
      <c r="B311" s="91" t="n">
        <f aca="false">MOD(309-1,12)+1</f>
        <v>9</v>
      </c>
      <c r="C311" s="92" t="n">
        <f aca="false">Dashboard!$C26</f>
        <v>0</v>
      </c>
      <c r="D311" s="93" t="n">
        <f aca="false">Dashboard!$C26-F$310*(Dashboard!$C10/12)</f>
        <v>-13995.6216216484</v>
      </c>
      <c r="E311" s="94" t="n">
        <f aca="false">F$310*(Dashboard!$C10/12)</f>
        <v>13995.6216216484</v>
      </c>
      <c r="F311" s="92" t="n">
        <f aca="false">MAX(F$310-(Dashboard!$C26-F$310*(Dashboard!$C10/12)),0)</f>
        <v>2413245.04247566</v>
      </c>
      <c r="G311" s="95" t="n">
        <f aca="false">G$310+F$310*(Dashboard!$C10/12)</f>
        <v>2013245.04247566</v>
      </c>
      <c r="H311" s="96" t="n">
        <f aca="false">H$310+Dashboard!$C26-F$310*(Dashboard!$C10/12)</f>
        <v>-2013245.04247566</v>
      </c>
    </row>
    <row r="312" customFormat="false" ht="15" hidden="false" customHeight="true" outlineLevel="0" collapsed="false">
      <c r="A312" s="91" t="n">
        <f aca="false">INT((310-1)/12)+1</f>
        <v>26</v>
      </c>
      <c r="B312" s="91" t="n">
        <f aca="false">MOD(310-1,12)+1</f>
        <v>10</v>
      </c>
      <c r="C312" s="92" t="n">
        <f aca="false">Dashboard!$C26</f>
        <v>0</v>
      </c>
      <c r="D312" s="93" t="n">
        <f aca="false">Dashboard!$C26-F$311*(Dashboard!$C10/12)</f>
        <v>-14077.2627477747</v>
      </c>
      <c r="E312" s="94" t="n">
        <f aca="false">F$311*(Dashboard!$C10/12)</f>
        <v>14077.2627477747</v>
      </c>
      <c r="F312" s="92" t="n">
        <f aca="false">MAX(F$311-(Dashboard!$C26-F$311*(Dashboard!$C10/12)),0)</f>
        <v>2427322.30522344</v>
      </c>
      <c r="G312" s="95" t="n">
        <f aca="false">G$311+F$311*(Dashboard!$C10/12)</f>
        <v>2027322.30522344</v>
      </c>
      <c r="H312" s="96" t="n">
        <f aca="false">H$311+Dashboard!$C26-F$311*(Dashboard!$C10/12)</f>
        <v>-2027322.30522344</v>
      </c>
    </row>
    <row r="313" customFormat="false" ht="15" hidden="false" customHeight="true" outlineLevel="0" collapsed="false">
      <c r="A313" s="91" t="n">
        <f aca="false">INT((311-1)/12)+1</f>
        <v>26</v>
      </c>
      <c r="B313" s="91" t="n">
        <f aca="false">MOD(311-1,12)+1</f>
        <v>11</v>
      </c>
      <c r="C313" s="92" t="n">
        <f aca="false">Dashboard!$C26</f>
        <v>0</v>
      </c>
      <c r="D313" s="93" t="n">
        <f aca="false">Dashboard!$C26-F$312*(Dashboard!$C10/12)</f>
        <v>-14159.3801138034</v>
      </c>
      <c r="E313" s="94" t="n">
        <f aca="false">F$312*(Dashboard!$C10/12)</f>
        <v>14159.3801138034</v>
      </c>
      <c r="F313" s="92" t="n">
        <f aca="false">MAX(F$312-(Dashboard!$C26-F$312*(Dashboard!$C10/12)),0)</f>
        <v>2441481.68533724</v>
      </c>
      <c r="G313" s="95" t="n">
        <f aca="false">G$312+F$312*(Dashboard!$C10/12)</f>
        <v>2041481.68533724</v>
      </c>
      <c r="H313" s="96" t="n">
        <f aca="false">H$312+Dashboard!$C26-F$312*(Dashboard!$C10/12)</f>
        <v>-2041481.68533724</v>
      </c>
    </row>
    <row r="314" customFormat="false" ht="15" hidden="false" customHeight="true" outlineLevel="0" collapsed="false">
      <c r="A314" s="85" t="n">
        <f aca="false">INT((312-1)/12)+1</f>
        <v>26</v>
      </c>
      <c r="B314" s="85" t="n">
        <f aca="false">MOD(312-1,12)+1</f>
        <v>12</v>
      </c>
      <c r="C314" s="86" t="n">
        <f aca="false">Dashboard!$C26</f>
        <v>0</v>
      </c>
      <c r="D314" s="87" t="n">
        <f aca="false">Dashboard!$C26-F$313*(Dashboard!$C10/12)</f>
        <v>-14241.9764978006</v>
      </c>
      <c r="E314" s="88" t="n">
        <f aca="false">F$313*(Dashboard!$C10/12)</f>
        <v>14241.9764978006</v>
      </c>
      <c r="F314" s="86" t="n">
        <f aca="false">MAX(F$313-(Dashboard!$C26-F$313*(Dashboard!$C10/12)),0)</f>
        <v>2455723.66183504</v>
      </c>
      <c r="G314" s="89" t="n">
        <f aca="false">G$313+F$313*(Dashboard!$C10/12)</f>
        <v>2055723.66183504</v>
      </c>
      <c r="H314" s="90" t="n">
        <f aca="false">H$313+Dashboard!$C26-F$313*(Dashboard!$C10/12)</f>
        <v>-2055723.66183504</v>
      </c>
    </row>
    <row r="315" customFormat="false" ht="15" hidden="false" customHeight="true" outlineLevel="0" collapsed="false">
      <c r="A315" s="85" t="n">
        <f aca="false">INT((313-1)/12)+1</f>
        <v>27</v>
      </c>
      <c r="B315" s="85" t="n">
        <f aca="false">MOD(313-1,12)+1</f>
        <v>1</v>
      </c>
      <c r="C315" s="86" t="n">
        <f aca="false">Dashboard!$C26</f>
        <v>0</v>
      </c>
      <c r="D315" s="87" t="n">
        <f aca="false">Dashboard!$C26-F$314*(Dashboard!$C10/12)</f>
        <v>-14325.0546940377</v>
      </c>
      <c r="E315" s="88" t="n">
        <f aca="false">F$314*(Dashboard!$C10/12)</f>
        <v>14325.0546940377</v>
      </c>
      <c r="F315" s="86" t="n">
        <f aca="false">MAX(F$314-(Dashboard!$C26-F$314*(Dashboard!$C10/12)),0)</f>
        <v>2470048.71652908</v>
      </c>
      <c r="G315" s="89" t="n">
        <f aca="false">G$314+F$314*(Dashboard!$C10/12)</f>
        <v>2070048.71652908</v>
      </c>
      <c r="H315" s="90" t="n">
        <f aca="false">H$314+Dashboard!$C26-F$314*(Dashboard!$C10/12)</f>
        <v>-2070048.71652908</v>
      </c>
    </row>
    <row r="316" customFormat="false" ht="15" hidden="false" customHeight="true" outlineLevel="0" collapsed="false">
      <c r="A316" s="85" t="n">
        <f aca="false">INT((314-1)/12)+1</f>
        <v>27</v>
      </c>
      <c r="B316" s="85" t="n">
        <f aca="false">MOD(314-1,12)+1</f>
        <v>2</v>
      </c>
      <c r="C316" s="86" t="n">
        <f aca="false">Dashboard!$C26</f>
        <v>0</v>
      </c>
      <c r="D316" s="87" t="n">
        <f aca="false">Dashboard!$C26-F$315*(Dashboard!$C10/12)</f>
        <v>-14408.6175130863</v>
      </c>
      <c r="E316" s="88" t="n">
        <f aca="false">F$315*(Dashboard!$C10/12)</f>
        <v>14408.6175130863</v>
      </c>
      <c r="F316" s="86" t="n">
        <f aca="false">MAX(F$315-(Dashboard!$C26-F$315*(Dashboard!$C10/12)),0)</f>
        <v>2484457.33404217</v>
      </c>
      <c r="G316" s="89" t="n">
        <f aca="false">G$315+F$315*(Dashboard!$C10/12)</f>
        <v>2084457.33404217</v>
      </c>
      <c r="H316" s="90" t="n">
        <f aca="false">H$315+Dashboard!$C26-F$315*(Dashboard!$C10/12)</f>
        <v>-2084457.33404217</v>
      </c>
    </row>
    <row r="317" customFormat="false" ht="15" hidden="false" customHeight="true" outlineLevel="0" collapsed="false">
      <c r="A317" s="85" t="n">
        <f aca="false">INT((315-1)/12)+1</f>
        <v>27</v>
      </c>
      <c r="B317" s="85" t="n">
        <f aca="false">MOD(315-1,12)+1</f>
        <v>3</v>
      </c>
      <c r="C317" s="86" t="n">
        <f aca="false">Dashboard!$C26</f>
        <v>0</v>
      </c>
      <c r="D317" s="87" t="n">
        <f aca="false">Dashboard!$C26-F$316*(Dashboard!$C10/12)</f>
        <v>-14492.6677819126</v>
      </c>
      <c r="E317" s="88" t="n">
        <f aca="false">F$316*(Dashboard!$C10/12)</f>
        <v>14492.6677819126</v>
      </c>
      <c r="F317" s="86" t="n">
        <f aca="false">MAX(F$316-(Dashboard!$C26-F$316*(Dashboard!$C10/12)),0)</f>
        <v>2498950.00182408</v>
      </c>
      <c r="G317" s="89" t="n">
        <f aca="false">G$316+F$316*(Dashboard!$C10/12)</f>
        <v>2098950.00182408</v>
      </c>
      <c r="H317" s="90" t="n">
        <f aca="false">H$316+Dashboard!$C26-F$316*(Dashboard!$C10/12)</f>
        <v>-2098950.00182408</v>
      </c>
    </row>
    <row r="318" customFormat="false" ht="15" hidden="false" customHeight="true" outlineLevel="0" collapsed="false">
      <c r="A318" s="85" t="n">
        <f aca="false">INT((316-1)/12)+1</f>
        <v>27</v>
      </c>
      <c r="B318" s="85" t="n">
        <f aca="false">MOD(316-1,12)+1</f>
        <v>4</v>
      </c>
      <c r="C318" s="86" t="n">
        <f aca="false">Dashboard!$C26</f>
        <v>0</v>
      </c>
      <c r="D318" s="87" t="n">
        <f aca="false">Dashboard!$C26-F$317*(Dashboard!$C10/12)</f>
        <v>-14577.2083439738</v>
      </c>
      <c r="E318" s="88" t="n">
        <f aca="false">F$317*(Dashboard!$C10/12)</f>
        <v>14577.2083439738</v>
      </c>
      <c r="F318" s="86" t="n">
        <f aca="false">MAX(F$317-(Dashboard!$C26-F$317*(Dashboard!$C10/12)),0)</f>
        <v>2513527.21016805</v>
      </c>
      <c r="G318" s="89" t="n">
        <f aca="false">G$317+F$317*(Dashboard!$C10/12)</f>
        <v>2113527.21016805</v>
      </c>
      <c r="H318" s="90" t="n">
        <f aca="false">H$317+Dashboard!$C26-F$317*(Dashboard!$C10/12)</f>
        <v>-2113527.21016805</v>
      </c>
    </row>
    <row r="319" customFormat="false" ht="15" hidden="false" customHeight="true" outlineLevel="0" collapsed="false">
      <c r="A319" s="85" t="n">
        <f aca="false">INT((317-1)/12)+1</f>
        <v>27</v>
      </c>
      <c r="B319" s="85" t="n">
        <f aca="false">MOD(317-1,12)+1</f>
        <v>5</v>
      </c>
      <c r="C319" s="86" t="n">
        <f aca="false">Dashboard!$C26</f>
        <v>0</v>
      </c>
      <c r="D319" s="87" t="n">
        <f aca="false">Dashboard!$C26-F$318*(Dashboard!$C10/12)</f>
        <v>-14662.2420593136</v>
      </c>
      <c r="E319" s="88" t="n">
        <f aca="false">F$318*(Dashboard!$C10/12)</f>
        <v>14662.2420593136</v>
      </c>
      <c r="F319" s="86" t="n">
        <f aca="false">MAX(F$318-(Dashboard!$C26-F$318*(Dashboard!$C10/12)),0)</f>
        <v>2528189.45222737</v>
      </c>
      <c r="G319" s="89" t="n">
        <f aca="false">G$318+F$318*(Dashboard!$C10/12)</f>
        <v>2128189.45222737</v>
      </c>
      <c r="H319" s="90" t="n">
        <f aca="false">H$318+Dashboard!$C26-F$318*(Dashboard!$C10/12)</f>
        <v>-2128189.45222737</v>
      </c>
    </row>
    <row r="320" customFormat="false" ht="15" hidden="false" customHeight="true" outlineLevel="0" collapsed="false">
      <c r="A320" s="85" t="n">
        <f aca="false">INT((318-1)/12)+1</f>
        <v>27</v>
      </c>
      <c r="B320" s="85" t="n">
        <f aca="false">MOD(318-1,12)+1</f>
        <v>6</v>
      </c>
      <c r="C320" s="86" t="n">
        <f aca="false">Dashboard!$C26</f>
        <v>0</v>
      </c>
      <c r="D320" s="87" t="n">
        <f aca="false">Dashboard!$C26-F$319*(Dashboard!$C10/12)</f>
        <v>-14747.7718046596</v>
      </c>
      <c r="E320" s="88" t="n">
        <f aca="false">F$319*(Dashboard!$C10/12)</f>
        <v>14747.7718046596</v>
      </c>
      <c r="F320" s="86" t="n">
        <f aca="false">MAX(F$319-(Dashboard!$C26-F$319*(Dashboard!$C10/12)),0)</f>
        <v>2542937.22403203</v>
      </c>
      <c r="G320" s="89" t="n">
        <f aca="false">G$319+F$319*(Dashboard!$C10/12)</f>
        <v>2142937.22403203</v>
      </c>
      <c r="H320" s="90" t="n">
        <f aca="false">H$319+Dashboard!$C26-F$319*(Dashboard!$C10/12)</f>
        <v>-2142937.22403203</v>
      </c>
    </row>
    <row r="321" customFormat="false" ht="15" hidden="false" customHeight="true" outlineLevel="0" collapsed="false">
      <c r="A321" s="85" t="n">
        <f aca="false">INT((319-1)/12)+1</f>
        <v>27</v>
      </c>
      <c r="B321" s="85" t="n">
        <f aca="false">MOD(319-1,12)+1</f>
        <v>7</v>
      </c>
      <c r="C321" s="86" t="n">
        <f aca="false">Dashboard!$C26</f>
        <v>0</v>
      </c>
      <c r="D321" s="87" t="n">
        <f aca="false">Dashboard!$C26-F$320*(Dashboard!$C10/12)</f>
        <v>-14833.8004735202</v>
      </c>
      <c r="E321" s="88" t="n">
        <f aca="false">F$320*(Dashboard!$C10/12)</f>
        <v>14833.8004735202</v>
      </c>
      <c r="F321" s="86" t="n">
        <f aca="false">MAX(F$320-(Dashboard!$C26-F$320*(Dashboard!$C10/12)),0)</f>
        <v>2557771.02450555</v>
      </c>
      <c r="G321" s="89" t="n">
        <f aca="false">G$320+F$320*(Dashboard!$C10/12)</f>
        <v>2157771.02450555</v>
      </c>
      <c r="H321" s="90" t="n">
        <f aca="false">H$320+Dashboard!$C26-F$320*(Dashboard!$C10/12)</f>
        <v>-2157771.02450555</v>
      </c>
    </row>
    <row r="322" customFormat="false" ht="15" hidden="false" customHeight="true" outlineLevel="0" collapsed="false">
      <c r="A322" s="85" t="n">
        <f aca="false">INT((320-1)/12)+1</f>
        <v>27</v>
      </c>
      <c r="B322" s="85" t="n">
        <f aca="false">MOD(320-1,12)+1</f>
        <v>8</v>
      </c>
      <c r="C322" s="86" t="n">
        <f aca="false">Dashboard!$C26</f>
        <v>0</v>
      </c>
      <c r="D322" s="87" t="n">
        <f aca="false">Dashboard!$C26-F$321*(Dashboard!$C10/12)</f>
        <v>-14920.3309762824</v>
      </c>
      <c r="E322" s="88" t="n">
        <f aca="false">F$321*(Dashboard!$C10/12)</f>
        <v>14920.3309762824</v>
      </c>
      <c r="F322" s="86" t="n">
        <f aca="false">MAX(F$321-(Dashboard!$C26-F$321*(Dashboard!$C10/12)),0)</f>
        <v>2572691.35548183</v>
      </c>
      <c r="G322" s="89" t="n">
        <f aca="false">G$321+F$321*(Dashboard!$C10/12)</f>
        <v>2172691.35548183</v>
      </c>
      <c r="H322" s="90" t="n">
        <f aca="false">H$321+Dashboard!$C26-F$321*(Dashboard!$C10/12)</f>
        <v>-2172691.35548183</v>
      </c>
    </row>
    <row r="323" customFormat="false" ht="15" hidden="false" customHeight="true" outlineLevel="0" collapsed="false">
      <c r="A323" s="85" t="n">
        <f aca="false">INT((321-1)/12)+1</f>
        <v>27</v>
      </c>
      <c r="B323" s="85" t="n">
        <f aca="false">MOD(321-1,12)+1</f>
        <v>9</v>
      </c>
      <c r="C323" s="86" t="n">
        <f aca="false">Dashboard!$C26</f>
        <v>0</v>
      </c>
      <c r="D323" s="87" t="n">
        <f aca="false">Dashboard!$C26-F$322*(Dashboard!$C10/12)</f>
        <v>-15007.3662403107</v>
      </c>
      <c r="E323" s="88" t="n">
        <f aca="false">F$322*(Dashboard!$C10/12)</f>
        <v>15007.3662403107</v>
      </c>
      <c r="F323" s="86" t="n">
        <f aca="false">MAX(F$322-(Dashboard!$C26-F$322*(Dashboard!$C10/12)),0)</f>
        <v>2587698.72172214</v>
      </c>
      <c r="G323" s="89" t="n">
        <f aca="false">G$322+F$322*(Dashboard!$C10/12)</f>
        <v>2187698.72172214</v>
      </c>
      <c r="H323" s="90" t="n">
        <f aca="false">H$322+Dashboard!$C26-F$322*(Dashboard!$C10/12)</f>
        <v>-2187698.72172214</v>
      </c>
    </row>
    <row r="324" customFormat="false" ht="15" hidden="false" customHeight="true" outlineLevel="0" collapsed="false">
      <c r="A324" s="85" t="n">
        <f aca="false">INT((322-1)/12)+1</f>
        <v>27</v>
      </c>
      <c r="B324" s="85" t="n">
        <f aca="false">MOD(322-1,12)+1</f>
        <v>10</v>
      </c>
      <c r="C324" s="86" t="n">
        <f aca="false">Dashboard!$C26</f>
        <v>0</v>
      </c>
      <c r="D324" s="87" t="n">
        <f aca="false">Dashboard!$C26-F$323*(Dashboard!$C10/12)</f>
        <v>-15094.9092100458</v>
      </c>
      <c r="E324" s="88" t="n">
        <f aca="false">F$323*(Dashboard!$C10/12)</f>
        <v>15094.9092100458</v>
      </c>
      <c r="F324" s="86" t="n">
        <f aca="false">MAX(F$323-(Dashboard!$C26-F$323*(Dashboard!$C10/12)),0)</f>
        <v>2602793.63093218</v>
      </c>
      <c r="G324" s="89" t="n">
        <f aca="false">G$323+F$323*(Dashboard!$C10/12)</f>
        <v>2202793.63093218</v>
      </c>
      <c r="H324" s="90" t="n">
        <f aca="false">H$323+Dashboard!$C26-F$323*(Dashboard!$C10/12)</f>
        <v>-2202793.63093218</v>
      </c>
    </row>
    <row r="325" customFormat="false" ht="15" hidden="false" customHeight="true" outlineLevel="0" collapsed="false">
      <c r="A325" s="85" t="n">
        <f aca="false">INT((323-1)/12)+1</f>
        <v>27</v>
      </c>
      <c r="B325" s="85" t="n">
        <f aca="false">MOD(323-1,12)+1</f>
        <v>11</v>
      </c>
      <c r="C325" s="86" t="n">
        <f aca="false">Dashboard!$C26</f>
        <v>0</v>
      </c>
      <c r="D325" s="87" t="n">
        <f aca="false">Dashboard!$C26-F$324*(Dashboard!$C10/12)</f>
        <v>-15182.9628471044</v>
      </c>
      <c r="E325" s="88" t="n">
        <f aca="false">F$324*(Dashboard!$C10/12)</f>
        <v>15182.9628471044</v>
      </c>
      <c r="F325" s="86" t="n">
        <f aca="false">MAX(F$324-(Dashboard!$C26-F$324*(Dashboard!$C10/12)),0)</f>
        <v>2617976.59377929</v>
      </c>
      <c r="G325" s="89" t="n">
        <f aca="false">G$324+F$324*(Dashboard!$C10/12)</f>
        <v>2217976.59377929</v>
      </c>
      <c r="H325" s="90" t="n">
        <f aca="false">H$324+Dashboard!$C26-F$324*(Dashboard!$C10/12)</f>
        <v>-2217976.59377929</v>
      </c>
    </row>
    <row r="326" customFormat="false" ht="15" hidden="false" customHeight="true" outlineLevel="0" collapsed="false">
      <c r="A326" s="91" t="n">
        <f aca="false">INT((324-1)/12)+1</f>
        <v>27</v>
      </c>
      <c r="B326" s="91" t="n">
        <f aca="false">MOD(324-1,12)+1</f>
        <v>12</v>
      </c>
      <c r="C326" s="92" t="n">
        <f aca="false">Dashboard!$C26</f>
        <v>0</v>
      </c>
      <c r="D326" s="93" t="n">
        <f aca="false">Dashboard!$C26-F$325*(Dashboard!$C10/12)</f>
        <v>-15271.5301303792</v>
      </c>
      <c r="E326" s="94" t="n">
        <f aca="false">F$325*(Dashboard!$C10/12)</f>
        <v>15271.5301303792</v>
      </c>
      <c r="F326" s="92" t="n">
        <f aca="false">MAX(F$325-(Dashboard!$C26-F$325*(Dashboard!$C10/12)),0)</f>
        <v>2633248.12390967</v>
      </c>
      <c r="G326" s="95" t="n">
        <f aca="false">G$325+F$325*(Dashboard!$C10/12)</f>
        <v>2233248.12390967</v>
      </c>
      <c r="H326" s="96" t="n">
        <f aca="false">H$325+Dashboard!$C26-F$325*(Dashboard!$C10/12)</f>
        <v>-2233248.12390967</v>
      </c>
    </row>
    <row r="327" customFormat="false" ht="15" hidden="false" customHeight="true" outlineLevel="0" collapsed="false">
      <c r="A327" s="91" t="n">
        <f aca="false">INT((325-1)/12)+1</f>
        <v>28</v>
      </c>
      <c r="B327" s="91" t="n">
        <f aca="false">MOD(325-1,12)+1</f>
        <v>1</v>
      </c>
      <c r="C327" s="92" t="n">
        <f aca="false">Dashboard!$C26</f>
        <v>0</v>
      </c>
      <c r="D327" s="93" t="n">
        <f aca="false">Dashboard!$C26-F$326*(Dashboard!$C10/12)</f>
        <v>-15360.6140561397</v>
      </c>
      <c r="E327" s="94" t="n">
        <f aca="false">F$326*(Dashboard!$C10/12)</f>
        <v>15360.6140561397</v>
      </c>
      <c r="F327" s="92" t="n">
        <f aca="false">MAX(F$326-(Dashboard!$C26-F$326*(Dashboard!$C10/12)),0)</f>
        <v>2648608.73796581</v>
      </c>
      <c r="G327" s="95" t="n">
        <f aca="false">G$326+F$326*(Dashboard!$C10/12)</f>
        <v>2248608.73796581</v>
      </c>
      <c r="H327" s="96" t="n">
        <f aca="false">H$326+Dashboard!$C26-F$326*(Dashboard!$C10/12)</f>
        <v>-2248608.73796581</v>
      </c>
    </row>
    <row r="328" customFormat="false" ht="15" hidden="false" customHeight="true" outlineLevel="0" collapsed="false">
      <c r="A328" s="91" t="n">
        <f aca="false">INT((326-1)/12)+1</f>
        <v>28</v>
      </c>
      <c r="B328" s="91" t="n">
        <f aca="false">MOD(326-1,12)+1</f>
        <v>2</v>
      </c>
      <c r="C328" s="92" t="n">
        <f aca="false">Dashboard!$C26</f>
        <v>0</v>
      </c>
      <c r="D328" s="93" t="n">
        <f aca="false">Dashboard!$C26-F$327*(Dashboard!$C10/12)</f>
        <v>-15450.2176381339</v>
      </c>
      <c r="E328" s="94" t="n">
        <f aca="false">F$327*(Dashboard!$C10/12)</f>
        <v>15450.2176381339</v>
      </c>
      <c r="F328" s="92" t="n">
        <f aca="false">MAX(F$327-(Dashboard!$C26-F$327*(Dashboard!$C10/12)),0)</f>
        <v>2664058.95560394</v>
      </c>
      <c r="G328" s="95" t="n">
        <f aca="false">G$327+F$327*(Dashboard!$C10/12)</f>
        <v>2264058.95560394</v>
      </c>
      <c r="H328" s="96" t="n">
        <f aca="false">H$327+Dashboard!$C26-F$327*(Dashboard!$C10/12)</f>
        <v>-2264058.95560394</v>
      </c>
    </row>
    <row r="329" customFormat="false" ht="15" hidden="false" customHeight="true" outlineLevel="0" collapsed="false">
      <c r="A329" s="91" t="n">
        <f aca="false">INT((327-1)/12)+1</f>
        <v>28</v>
      </c>
      <c r="B329" s="91" t="n">
        <f aca="false">MOD(327-1,12)+1</f>
        <v>3</v>
      </c>
      <c r="C329" s="92" t="n">
        <f aca="false">Dashboard!$C26</f>
        <v>0</v>
      </c>
      <c r="D329" s="93" t="n">
        <f aca="false">Dashboard!$C26-F$328*(Dashboard!$C10/12)</f>
        <v>-15540.3439076897</v>
      </c>
      <c r="E329" s="94" t="n">
        <f aca="false">F$328*(Dashboard!$C10/12)</f>
        <v>15540.3439076897</v>
      </c>
      <c r="F329" s="92" t="n">
        <f aca="false">MAX(F$328-(Dashboard!$C26-F$328*(Dashboard!$C10/12)),0)</f>
        <v>2679599.29951163</v>
      </c>
      <c r="G329" s="95" t="n">
        <f aca="false">G$328+F$328*(Dashboard!$C10/12)</f>
        <v>2279599.29951163</v>
      </c>
      <c r="H329" s="96" t="n">
        <f aca="false">H$328+Dashboard!$C26-F$328*(Dashboard!$C10/12)</f>
        <v>-2279599.29951163</v>
      </c>
    </row>
    <row r="330" customFormat="false" ht="15" hidden="false" customHeight="true" outlineLevel="0" collapsed="false">
      <c r="A330" s="91" t="n">
        <f aca="false">INT((328-1)/12)+1</f>
        <v>28</v>
      </c>
      <c r="B330" s="91" t="n">
        <f aca="false">MOD(328-1,12)+1</f>
        <v>4</v>
      </c>
      <c r="C330" s="92" t="n">
        <f aca="false">Dashboard!$C26</f>
        <v>0</v>
      </c>
      <c r="D330" s="93" t="n">
        <f aca="false">Dashboard!$C26-F$329*(Dashboard!$C10/12)</f>
        <v>-15630.9959138179</v>
      </c>
      <c r="E330" s="94" t="n">
        <f aca="false">F$329*(Dashboard!$C10/12)</f>
        <v>15630.9959138179</v>
      </c>
      <c r="F330" s="92" t="n">
        <f aca="false">MAX(F$329-(Dashboard!$C26-F$329*(Dashboard!$C10/12)),0)</f>
        <v>2695230.29542545</v>
      </c>
      <c r="G330" s="95" t="n">
        <f aca="false">G$329+F$329*(Dashboard!$C10/12)</f>
        <v>2295230.29542545</v>
      </c>
      <c r="H330" s="96" t="n">
        <f aca="false">H$329+Dashboard!$C26-F$329*(Dashboard!$C10/12)</f>
        <v>-2295230.29542545</v>
      </c>
    </row>
    <row r="331" customFormat="false" ht="15" hidden="false" customHeight="true" outlineLevel="0" collapsed="false">
      <c r="A331" s="91" t="n">
        <f aca="false">INT((329-1)/12)+1</f>
        <v>28</v>
      </c>
      <c r="B331" s="91" t="n">
        <f aca="false">MOD(329-1,12)+1</f>
        <v>5</v>
      </c>
      <c r="C331" s="92" t="n">
        <f aca="false">Dashboard!$C26</f>
        <v>0</v>
      </c>
      <c r="D331" s="93" t="n">
        <f aca="false">Dashboard!$C26-F$330*(Dashboard!$C10/12)</f>
        <v>-15722.1767233151</v>
      </c>
      <c r="E331" s="94" t="n">
        <f aca="false">F$330*(Dashboard!$C10/12)</f>
        <v>15722.1767233151</v>
      </c>
      <c r="F331" s="92" t="n">
        <f aca="false">MAX(F$330-(Dashboard!$C26-F$330*(Dashboard!$C10/12)),0)</f>
        <v>2710952.47214876</v>
      </c>
      <c r="G331" s="95" t="n">
        <f aca="false">G$330+F$330*(Dashboard!$C10/12)</f>
        <v>2310952.47214876</v>
      </c>
      <c r="H331" s="96" t="n">
        <f aca="false">H$330+Dashboard!$C26-F$330*(Dashboard!$C10/12)</f>
        <v>-2310952.47214876</v>
      </c>
    </row>
    <row r="332" customFormat="false" ht="15" hidden="false" customHeight="true" outlineLevel="0" collapsed="false">
      <c r="A332" s="91" t="n">
        <f aca="false">INT((330-1)/12)+1</f>
        <v>28</v>
      </c>
      <c r="B332" s="91" t="n">
        <f aca="false">MOD(330-1,12)+1</f>
        <v>6</v>
      </c>
      <c r="C332" s="92" t="n">
        <f aca="false">Dashboard!$C26</f>
        <v>0</v>
      </c>
      <c r="D332" s="93" t="n">
        <f aca="false">Dashboard!$C26-F$331*(Dashboard!$C10/12)</f>
        <v>-15813.8894208678</v>
      </c>
      <c r="E332" s="94" t="n">
        <f aca="false">F$331*(Dashboard!$C10/12)</f>
        <v>15813.8894208678</v>
      </c>
      <c r="F332" s="92" t="n">
        <f aca="false">MAX(F$331-(Dashboard!$C26-F$331*(Dashboard!$C10/12)),0)</f>
        <v>2726766.36156963</v>
      </c>
      <c r="G332" s="95" t="n">
        <f aca="false">G$331+F$331*(Dashboard!$C10/12)</f>
        <v>2326766.36156963</v>
      </c>
      <c r="H332" s="96" t="n">
        <f aca="false">H$331+Dashboard!$C26-F$331*(Dashboard!$C10/12)</f>
        <v>-2326766.36156963</v>
      </c>
    </row>
    <row r="333" customFormat="false" ht="15" hidden="false" customHeight="true" outlineLevel="0" collapsed="false">
      <c r="A333" s="91" t="n">
        <f aca="false">INT((331-1)/12)+1</f>
        <v>28</v>
      </c>
      <c r="B333" s="91" t="n">
        <f aca="false">MOD(331-1,12)+1</f>
        <v>7</v>
      </c>
      <c r="C333" s="92" t="n">
        <f aca="false">Dashboard!$C26</f>
        <v>0</v>
      </c>
      <c r="D333" s="93" t="n">
        <f aca="false">Dashboard!$C26-F$332*(Dashboard!$C10/12)</f>
        <v>-15906.1371091562</v>
      </c>
      <c r="E333" s="94" t="n">
        <f aca="false">F$332*(Dashboard!$C10/12)</f>
        <v>15906.1371091562</v>
      </c>
      <c r="F333" s="92" t="n">
        <f aca="false">MAX(F$332-(Dashboard!$C26-F$332*(Dashboard!$C10/12)),0)</f>
        <v>2742672.49867879</v>
      </c>
      <c r="G333" s="95" t="n">
        <f aca="false">G$332+F$332*(Dashboard!$C10/12)</f>
        <v>2342672.49867879</v>
      </c>
      <c r="H333" s="96" t="n">
        <f aca="false">H$332+Dashboard!$C26-F$332*(Dashboard!$C10/12)</f>
        <v>-2342672.49867879</v>
      </c>
    </row>
    <row r="334" customFormat="false" ht="15" hidden="false" customHeight="true" outlineLevel="0" collapsed="false">
      <c r="A334" s="91" t="n">
        <f aca="false">INT((332-1)/12)+1</f>
        <v>28</v>
      </c>
      <c r="B334" s="91" t="n">
        <f aca="false">MOD(332-1,12)+1</f>
        <v>8</v>
      </c>
      <c r="C334" s="92" t="n">
        <f aca="false">Dashboard!$C26</f>
        <v>0</v>
      </c>
      <c r="D334" s="93" t="n">
        <f aca="false">Dashboard!$C26-F$333*(Dashboard!$C10/12)</f>
        <v>-15998.9229089596</v>
      </c>
      <c r="E334" s="94" t="n">
        <f aca="false">F$333*(Dashboard!$C10/12)</f>
        <v>15998.9229089596</v>
      </c>
      <c r="F334" s="92" t="n">
        <f aca="false">MAX(F$333-(Dashboard!$C26-F$333*(Dashboard!$C10/12)),0)</f>
        <v>2758671.42158775</v>
      </c>
      <c r="G334" s="95" t="n">
        <f aca="false">G$333+F$333*(Dashboard!$C10/12)</f>
        <v>2358671.42158775</v>
      </c>
      <c r="H334" s="96" t="n">
        <f aca="false">H$333+Dashboard!$C26-F$333*(Dashboard!$C10/12)</f>
        <v>-2358671.42158775</v>
      </c>
    </row>
    <row r="335" customFormat="false" ht="15" hidden="false" customHeight="true" outlineLevel="0" collapsed="false">
      <c r="A335" s="91" t="n">
        <f aca="false">INT((333-1)/12)+1</f>
        <v>28</v>
      </c>
      <c r="B335" s="91" t="n">
        <f aca="false">MOD(333-1,12)+1</f>
        <v>9</v>
      </c>
      <c r="C335" s="92" t="n">
        <f aca="false">Dashboard!$C26</f>
        <v>0</v>
      </c>
      <c r="D335" s="93" t="n">
        <f aca="false">Dashboard!$C26-F$334*(Dashboard!$C10/12)</f>
        <v>-16092.2499592619</v>
      </c>
      <c r="E335" s="94" t="n">
        <f aca="false">F$334*(Dashboard!$C10/12)</f>
        <v>16092.2499592619</v>
      </c>
      <c r="F335" s="92" t="n">
        <f aca="false">MAX(F$334-(Dashboard!$C26-F$334*(Dashboard!$C10/12)),0)</f>
        <v>2774763.67154701</v>
      </c>
      <c r="G335" s="95" t="n">
        <f aca="false">G$334+F$334*(Dashboard!$C10/12)</f>
        <v>2374763.67154701</v>
      </c>
      <c r="H335" s="96" t="n">
        <f aca="false">H$334+Dashboard!$C26-F$334*(Dashboard!$C10/12)</f>
        <v>-2374763.67154701</v>
      </c>
    </row>
    <row r="336" customFormat="false" ht="15" hidden="false" customHeight="true" outlineLevel="0" collapsed="false">
      <c r="A336" s="91" t="n">
        <f aca="false">INT((334-1)/12)+1</f>
        <v>28</v>
      </c>
      <c r="B336" s="91" t="n">
        <f aca="false">MOD(334-1,12)+1</f>
        <v>10</v>
      </c>
      <c r="C336" s="92" t="n">
        <f aca="false">Dashboard!$C26</f>
        <v>0</v>
      </c>
      <c r="D336" s="93" t="n">
        <f aca="false">Dashboard!$C26-F$335*(Dashboard!$C10/12)</f>
        <v>-16186.1214173576</v>
      </c>
      <c r="E336" s="94" t="n">
        <f aca="false">F$335*(Dashboard!$C10/12)</f>
        <v>16186.1214173576</v>
      </c>
      <c r="F336" s="92" t="n">
        <f aca="false">MAX(F$335-(Dashboard!$C26-F$335*(Dashboard!$C10/12)),0)</f>
        <v>2790949.79296437</v>
      </c>
      <c r="G336" s="95" t="n">
        <f aca="false">G$335+F$335*(Dashboard!$C10/12)</f>
        <v>2390949.79296437</v>
      </c>
      <c r="H336" s="96" t="n">
        <f aca="false">H$335+Dashboard!$C26-F$335*(Dashboard!$C10/12)</f>
        <v>-2390949.79296437</v>
      </c>
    </row>
    <row r="337" customFormat="false" ht="15" hidden="false" customHeight="true" outlineLevel="0" collapsed="false">
      <c r="A337" s="91" t="n">
        <f aca="false">INT((335-1)/12)+1</f>
        <v>28</v>
      </c>
      <c r="B337" s="91" t="n">
        <f aca="false">MOD(335-1,12)+1</f>
        <v>11</v>
      </c>
      <c r="C337" s="92" t="n">
        <f aca="false">Dashboard!$C26</f>
        <v>0</v>
      </c>
      <c r="D337" s="93" t="n">
        <f aca="false">Dashboard!$C26-F$336*(Dashboard!$C10/12)</f>
        <v>-16280.5404589588</v>
      </c>
      <c r="E337" s="94" t="n">
        <f aca="false">F$336*(Dashboard!$C10/12)</f>
        <v>16280.5404589588</v>
      </c>
      <c r="F337" s="92" t="n">
        <f aca="false">MAX(F$336-(Dashboard!$C26-F$336*(Dashboard!$C10/12)),0)</f>
        <v>2807230.33342333</v>
      </c>
      <c r="G337" s="95" t="n">
        <f aca="false">G$336+F$336*(Dashboard!$C10/12)</f>
        <v>2407230.33342333</v>
      </c>
      <c r="H337" s="96" t="n">
        <f aca="false">H$336+Dashboard!$C26-F$336*(Dashboard!$C10/12)</f>
        <v>-2407230.33342333</v>
      </c>
    </row>
    <row r="338" customFormat="false" ht="15" hidden="false" customHeight="true" outlineLevel="0" collapsed="false">
      <c r="A338" s="85" t="n">
        <f aca="false">INT((336-1)/12)+1</f>
        <v>28</v>
      </c>
      <c r="B338" s="85" t="n">
        <f aca="false">MOD(336-1,12)+1</f>
        <v>12</v>
      </c>
      <c r="C338" s="86" t="n">
        <f aca="false">Dashboard!$C26</f>
        <v>0</v>
      </c>
      <c r="D338" s="87" t="n">
        <f aca="false">Dashboard!$C26-F$337*(Dashboard!$C10/12)</f>
        <v>-16375.5102783027</v>
      </c>
      <c r="E338" s="88" t="n">
        <f aca="false">F$337*(Dashboard!$C10/12)</f>
        <v>16375.5102783027</v>
      </c>
      <c r="F338" s="86" t="n">
        <f aca="false">MAX(F$337-(Dashboard!$C26-F$337*(Dashboard!$C10/12)),0)</f>
        <v>2823605.84370163</v>
      </c>
      <c r="G338" s="89" t="n">
        <f aca="false">G$337+F$337*(Dashboard!$C10/12)</f>
        <v>2423605.84370163</v>
      </c>
      <c r="H338" s="90" t="n">
        <f aca="false">H$337+Dashboard!$C26-F$337*(Dashboard!$C10/12)</f>
        <v>-2423605.84370163</v>
      </c>
    </row>
    <row r="339" customFormat="false" ht="15" hidden="false" customHeight="true" outlineLevel="0" collapsed="false">
      <c r="A339" s="85" t="n">
        <f aca="false">INT((337-1)/12)+1</f>
        <v>29</v>
      </c>
      <c r="B339" s="85" t="n">
        <f aca="false">MOD(337-1,12)+1</f>
        <v>1</v>
      </c>
      <c r="C339" s="86" t="n">
        <f aca="false">Dashboard!$C26</f>
        <v>0</v>
      </c>
      <c r="D339" s="87" t="n">
        <f aca="false">Dashboard!$C26-F$338*(Dashboard!$C10/12)</f>
        <v>-16471.0340882595</v>
      </c>
      <c r="E339" s="88" t="n">
        <f aca="false">F$338*(Dashboard!$C10/12)</f>
        <v>16471.0340882595</v>
      </c>
      <c r="F339" s="86" t="n">
        <f aca="false">MAX(F$338-(Dashboard!$C26-F$338*(Dashboard!$C10/12)),0)</f>
        <v>2840076.87778989</v>
      </c>
      <c r="G339" s="89" t="n">
        <f aca="false">G$338+F$338*(Dashboard!$C10/12)</f>
        <v>2440076.87778989</v>
      </c>
      <c r="H339" s="90" t="n">
        <f aca="false">H$338+Dashboard!$C26-F$338*(Dashboard!$C10/12)</f>
        <v>-2440076.87778989</v>
      </c>
    </row>
    <row r="340" customFormat="false" ht="15" hidden="false" customHeight="true" outlineLevel="0" collapsed="false">
      <c r="A340" s="85" t="n">
        <f aca="false">INT((338-1)/12)+1</f>
        <v>29</v>
      </c>
      <c r="B340" s="85" t="n">
        <f aca="false">MOD(338-1,12)+1</f>
        <v>2</v>
      </c>
      <c r="C340" s="86" t="n">
        <f aca="false">Dashboard!$C26</f>
        <v>0</v>
      </c>
      <c r="D340" s="87" t="n">
        <f aca="false">Dashboard!$C26-F$339*(Dashboard!$C10/12)</f>
        <v>-16567.115120441</v>
      </c>
      <c r="E340" s="88" t="n">
        <f aca="false">F$339*(Dashboard!$C10/12)</f>
        <v>16567.115120441</v>
      </c>
      <c r="F340" s="86" t="n">
        <f aca="false">MAX(F$339-(Dashboard!$C26-F$339*(Dashboard!$C10/12)),0)</f>
        <v>2856643.99291033</v>
      </c>
      <c r="G340" s="89" t="n">
        <f aca="false">G$339+F$339*(Dashboard!$C10/12)</f>
        <v>2456643.99291033</v>
      </c>
      <c r="H340" s="90" t="n">
        <f aca="false">H$339+Dashboard!$C26-F$339*(Dashboard!$C10/12)</f>
        <v>-2456643.99291033</v>
      </c>
    </row>
    <row r="341" customFormat="false" ht="15" hidden="false" customHeight="true" outlineLevel="0" collapsed="false">
      <c r="A341" s="85" t="n">
        <f aca="false">INT((339-1)/12)+1</f>
        <v>29</v>
      </c>
      <c r="B341" s="85" t="n">
        <f aca="false">MOD(339-1,12)+1</f>
        <v>3</v>
      </c>
      <c r="C341" s="86" t="n">
        <f aca="false">Dashboard!$C26</f>
        <v>0</v>
      </c>
      <c r="D341" s="87" t="n">
        <f aca="false">Dashboard!$C26-F$340*(Dashboard!$C10/12)</f>
        <v>-16663.7566253103</v>
      </c>
      <c r="E341" s="88" t="n">
        <f aca="false">F$340*(Dashboard!$C10/12)</f>
        <v>16663.7566253103</v>
      </c>
      <c r="F341" s="86" t="n">
        <f aca="false">MAX(F$340-(Dashboard!$C26-F$340*(Dashboard!$C10/12)),0)</f>
        <v>2873307.74953564</v>
      </c>
      <c r="G341" s="89" t="n">
        <f aca="false">G$340+F$340*(Dashboard!$C10/12)</f>
        <v>2473307.74953564</v>
      </c>
      <c r="H341" s="90" t="n">
        <f aca="false">H$340+Dashboard!$C26-F$340*(Dashboard!$C10/12)</f>
        <v>-2473307.74953564</v>
      </c>
    </row>
    <row r="342" customFormat="false" ht="15" hidden="false" customHeight="true" outlineLevel="0" collapsed="false">
      <c r="A342" s="85" t="n">
        <f aca="false">INT((340-1)/12)+1</f>
        <v>29</v>
      </c>
      <c r="B342" s="85" t="n">
        <f aca="false">MOD(340-1,12)+1</f>
        <v>4</v>
      </c>
      <c r="C342" s="86" t="n">
        <f aca="false">Dashboard!$C26</f>
        <v>0</v>
      </c>
      <c r="D342" s="87" t="n">
        <f aca="false">Dashboard!$C26-F$341*(Dashboard!$C10/12)</f>
        <v>-16760.9618722912</v>
      </c>
      <c r="E342" s="88" t="n">
        <f aca="false">F$341*(Dashboard!$C10/12)</f>
        <v>16760.9618722912</v>
      </c>
      <c r="F342" s="86" t="n">
        <f aca="false">MAX(F$341-(Dashboard!$C26-F$341*(Dashboard!$C10/12)),0)</f>
        <v>2890068.71140793</v>
      </c>
      <c r="G342" s="89" t="n">
        <f aca="false">G$341+F$341*(Dashboard!$C10/12)</f>
        <v>2490068.71140793</v>
      </c>
      <c r="H342" s="90" t="n">
        <f aca="false">H$341+Dashboard!$C26-F$341*(Dashboard!$C10/12)</f>
        <v>-2490068.71140793</v>
      </c>
    </row>
    <row r="343" customFormat="false" ht="15" hidden="false" customHeight="true" outlineLevel="0" collapsed="false">
      <c r="A343" s="85" t="n">
        <f aca="false">INT((341-1)/12)+1</f>
        <v>29</v>
      </c>
      <c r="B343" s="85" t="n">
        <f aca="false">MOD(341-1,12)+1</f>
        <v>5</v>
      </c>
      <c r="C343" s="86" t="n">
        <f aca="false">Dashboard!$C26</f>
        <v>0</v>
      </c>
      <c r="D343" s="87" t="n">
        <f aca="false">Dashboard!$C26-F$342*(Dashboard!$C10/12)</f>
        <v>-16858.7341498796</v>
      </c>
      <c r="E343" s="88" t="n">
        <f aca="false">F$342*(Dashboard!$C10/12)</f>
        <v>16858.7341498796</v>
      </c>
      <c r="F343" s="86" t="n">
        <f aca="false">MAX(F$342-(Dashboard!$C26-F$342*(Dashboard!$C10/12)),0)</f>
        <v>2906927.44555781</v>
      </c>
      <c r="G343" s="89" t="n">
        <f aca="false">G$342+F$342*(Dashboard!$C10/12)</f>
        <v>2506927.44555781</v>
      </c>
      <c r="H343" s="90" t="n">
        <f aca="false">H$342+Dashboard!$C26-F$342*(Dashboard!$C10/12)</f>
        <v>-2506927.44555781</v>
      </c>
    </row>
    <row r="344" customFormat="false" ht="15" hidden="false" customHeight="true" outlineLevel="0" collapsed="false">
      <c r="A344" s="85" t="n">
        <f aca="false">INT((342-1)/12)+1</f>
        <v>29</v>
      </c>
      <c r="B344" s="85" t="n">
        <f aca="false">MOD(342-1,12)+1</f>
        <v>6</v>
      </c>
      <c r="C344" s="86" t="n">
        <f aca="false">Dashboard!$C26</f>
        <v>0</v>
      </c>
      <c r="D344" s="87" t="n">
        <f aca="false">Dashboard!$C26-F$343*(Dashboard!$C10/12)</f>
        <v>-16957.0767657539</v>
      </c>
      <c r="E344" s="88" t="n">
        <f aca="false">F$343*(Dashboard!$C10/12)</f>
        <v>16957.0767657539</v>
      </c>
      <c r="F344" s="86" t="n">
        <f aca="false">MAX(F$343-(Dashboard!$C26-F$343*(Dashboard!$C10/12)),0)</f>
        <v>2923884.52232356</v>
      </c>
      <c r="G344" s="89" t="n">
        <f aca="false">G$343+F$343*(Dashboard!$C10/12)</f>
        <v>2523884.52232356</v>
      </c>
      <c r="H344" s="90" t="n">
        <f aca="false">H$343+Dashboard!$C26-F$343*(Dashboard!$C10/12)</f>
        <v>-2523884.52232356</v>
      </c>
    </row>
    <row r="345" customFormat="false" ht="15" hidden="false" customHeight="true" outlineLevel="0" collapsed="false">
      <c r="A345" s="85" t="n">
        <f aca="false">INT((343-1)/12)+1</f>
        <v>29</v>
      </c>
      <c r="B345" s="85" t="n">
        <f aca="false">MOD(343-1,12)+1</f>
        <v>7</v>
      </c>
      <c r="C345" s="86" t="n">
        <f aca="false">Dashboard!$C26</f>
        <v>0</v>
      </c>
      <c r="D345" s="87" t="n">
        <f aca="false">Dashboard!$C26-F$344*(Dashboard!$C10/12)</f>
        <v>-17055.9930468875</v>
      </c>
      <c r="E345" s="88" t="n">
        <f aca="false">F$344*(Dashboard!$C10/12)</f>
        <v>17055.9930468875</v>
      </c>
      <c r="F345" s="86" t="n">
        <f aca="false">MAX(F$344-(Dashboard!$C26-F$344*(Dashboard!$C10/12)),0)</f>
        <v>2940940.51537045</v>
      </c>
      <c r="G345" s="89" t="n">
        <f aca="false">G$344+F$344*(Dashboard!$C10/12)</f>
        <v>2540940.51537045</v>
      </c>
      <c r="H345" s="90" t="n">
        <f aca="false">H$344+Dashboard!$C26-F$344*(Dashboard!$C10/12)</f>
        <v>-2540940.51537045</v>
      </c>
    </row>
    <row r="346" customFormat="false" ht="15" hidden="false" customHeight="true" outlineLevel="0" collapsed="false">
      <c r="A346" s="85" t="n">
        <f aca="false">INT((344-1)/12)+1</f>
        <v>29</v>
      </c>
      <c r="B346" s="85" t="n">
        <f aca="false">MOD(344-1,12)+1</f>
        <v>8</v>
      </c>
      <c r="C346" s="86" t="n">
        <f aca="false">Dashboard!$C26</f>
        <v>0</v>
      </c>
      <c r="D346" s="87" t="n">
        <f aca="false">Dashboard!$C26-F$345*(Dashboard!$C10/12)</f>
        <v>-17155.486339661</v>
      </c>
      <c r="E346" s="88" t="n">
        <f aca="false">F$345*(Dashboard!$C10/12)</f>
        <v>17155.486339661</v>
      </c>
      <c r="F346" s="86" t="n">
        <f aca="false">MAX(F$345-(Dashboard!$C26-F$345*(Dashboard!$C10/12)),0)</f>
        <v>2958096.00171011</v>
      </c>
      <c r="G346" s="89" t="n">
        <f aca="false">G$345+F$345*(Dashboard!$C10/12)</f>
        <v>2558096.00171011</v>
      </c>
      <c r="H346" s="90" t="n">
        <f aca="false">H$345+Dashboard!$C26-F$345*(Dashboard!$C10/12)</f>
        <v>-2558096.00171011</v>
      </c>
    </row>
    <row r="347" customFormat="false" ht="15" hidden="false" customHeight="true" outlineLevel="0" collapsed="false">
      <c r="A347" s="85" t="n">
        <f aca="false">INT((345-1)/12)+1</f>
        <v>29</v>
      </c>
      <c r="B347" s="85" t="n">
        <f aca="false">MOD(345-1,12)+1</f>
        <v>9</v>
      </c>
      <c r="C347" s="86" t="n">
        <f aca="false">Dashboard!$C26</f>
        <v>0</v>
      </c>
      <c r="D347" s="87" t="n">
        <f aca="false">Dashboard!$C26-F$346*(Dashboard!$C10/12)</f>
        <v>-17255.5600099757</v>
      </c>
      <c r="E347" s="88" t="n">
        <f aca="false">F$346*(Dashboard!$C10/12)</f>
        <v>17255.5600099757</v>
      </c>
      <c r="F347" s="86" t="n">
        <f aca="false">MAX(F$346-(Dashboard!$C26-F$346*(Dashboard!$C10/12)),0)</f>
        <v>2975351.56172009</v>
      </c>
      <c r="G347" s="89" t="n">
        <f aca="false">G$346+F$346*(Dashboard!$C10/12)</f>
        <v>2575351.56172009</v>
      </c>
      <c r="H347" s="90" t="n">
        <f aca="false">H$346+Dashboard!$C26-F$346*(Dashboard!$C10/12)</f>
        <v>-2575351.56172009</v>
      </c>
    </row>
    <row r="348" customFormat="false" ht="15" hidden="false" customHeight="true" outlineLevel="0" collapsed="false">
      <c r="A348" s="85" t="n">
        <f aca="false">INT((346-1)/12)+1</f>
        <v>29</v>
      </c>
      <c r="B348" s="85" t="n">
        <f aca="false">MOD(346-1,12)+1</f>
        <v>10</v>
      </c>
      <c r="C348" s="86" t="n">
        <f aca="false">Dashboard!$C26</f>
        <v>0</v>
      </c>
      <c r="D348" s="87" t="n">
        <f aca="false">Dashboard!$C26-F$347*(Dashboard!$C10/12)</f>
        <v>-17356.2174433672</v>
      </c>
      <c r="E348" s="88" t="n">
        <f aca="false">F$347*(Dashboard!$C10/12)</f>
        <v>17356.2174433672</v>
      </c>
      <c r="F348" s="86" t="n">
        <f aca="false">MAX(F$347-(Dashboard!$C26-F$347*(Dashboard!$C10/12)),0)</f>
        <v>2992707.77916346</v>
      </c>
      <c r="G348" s="89" t="n">
        <f aca="false">G$347+F$347*(Dashboard!$C10/12)</f>
        <v>2592707.77916346</v>
      </c>
      <c r="H348" s="90" t="n">
        <f aca="false">H$347+Dashboard!$C26-F$347*(Dashboard!$C10/12)</f>
        <v>-2592707.77916346</v>
      </c>
    </row>
    <row r="349" customFormat="false" ht="15" hidden="false" customHeight="true" outlineLevel="0" collapsed="false">
      <c r="A349" s="85" t="n">
        <f aca="false">INT((347-1)/12)+1</f>
        <v>29</v>
      </c>
      <c r="B349" s="85" t="n">
        <f aca="false">MOD(347-1,12)+1</f>
        <v>11</v>
      </c>
      <c r="C349" s="86" t="n">
        <f aca="false">Dashboard!$C26</f>
        <v>0</v>
      </c>
      <c r="D349" s="87" t="n">
        <f aca="false">Dashboard!$C26-F$348*(Dashboard!$C10/12)</f>
        <v>-17457.4620451202</v>
      </c>
      <c r="E349" s="88" t="n">
        <f aca="false">F$348*(Dashboard!$C10/12)</f>
        <v>17457.4620451202</v>
      </c>
      <c r="F349" s="86" t="n">
        <f aca="false">MAX(F$348-(Dashboard!$C26-F$348*(Dashboard!$C10/12)),0)</f>
        <v>3010165.24120858</v>
      </c>
      <c r="G349" s="89" t="n">
        <f aca="false">G$348+F$348*(Dashboard!$C10/12)</f>
        <v>2610165.24120858</v>
      </c>
      <c r="H349" s="90" t="n">
        <f aca="false">H$348+Dashboard!$C26-F$348*(Dashboard!$C10/12)</f>
        <v>-2610165.24120858</v>
      </c>
    </row>
    <row r="350" customFormat="false" ht="15" hidden="false" customHeight="true" outlineLevel="0" collapsed="false">
      <c r="A350" s="91" t="n">
        <f aca="false">INT((348-1)/12)+1</f>
        <v>29</v>
      </c>
      <c r="B350" s="91" t="n">
        <f aca="false">MOD(348-1,12)+1</f>
        <v>12</v>
      </c>
      <c r="C350" s="92" t="n">
        <f aca="false">Dashboard!$C26</f>
        <v>0</v>
      </c>
      <c r="D350" s="93" t="n">
        <f aca="false">Dashboard!$C26-F$349*(Dashboard!$C10/12)</f>
        <v>-17559.2972403834</v>
      </c>
      <c r="E350" s="94" t="n">
        <f aca="false">F$349*(Dashboard!$C10/12)</f>
        <v>17559.2972403834</v>
      </c>
      <c r="F350" s="92" t="n">
        <f aca="false">MAX(F$349-(Dashboard!$C26-F$349*(Dashboard!$C10/12)),0)</f>
        <v>3027724.53844896</v>
      </c>
      <c r="G350" s="95" t="n">
        <f aca="false">G$349+F$349*(Dashboard!$C10/12)</f>
        <v>2627724.53844896</v>
      </c>
      <c r="H350" s="96" t="n">
        <f aca="false">H$349+Dashboard!$C26-F$349*(Dashboard!$C10/12)</f>
        <v>-2627724.53844896</v>
      </c>
    </row>
    <row r="351" customFormat="false" ht="15" hidden="false" customHeight="true" outlineLevel="0" collapsed="false">
      <c r="A351" s="91" t="n">
        <f aca="false">INT((349-1)/12)+1</f>
        <v>30</v>
      </c>
      <c r="B351" s="91" t="n">
        <f aca="false">MOD(349-1,12)+1</f>
        <v>1</v>
      </c>
      <c r="C351" s="92" t="n">
        <f aca="false">Dashboard!$C26</f>
        <v>0</v>
      </c>
      <c r="D351" s="93" t="n">
        <f aca="false">Dashboard!$C26-F$350*(Dashboard!$C10/12)</f>
        <v>-17661.7264742856</v>
      </c>
      <c r="E351" s="94" t="n">
        <f aca="false">F$350*(Dashboard!$C10/12)</f>
        <v>17661.7264742856</v>
      </c>
      <c r="F351" s="92" t="n">
        <f aca="false">MAX(F$350-(Dashboard!$C26-F$350*(Dashboard!$C10/12)),0)</f>
        <v>3045386.26492324</v>
      </c>
      <c r="G351" s="95" t="n">
        <f aca="false">G$350+F$350*(Dashboard!$C10/12)</f>
        <v>2645386.26492324</v>
      </c>
      <c r="H351" s="96" t="n">
        <f aca="false">H$350+Dashboard!$C26-F$350*(Dashboard!$C10/12)</f>
        <v>-2645386.26492324</v>
      </c>
    </row>
    <row r="352" customFormat="false" ht="15" hidden="false" customHeight="true" outlineLevel="0" collapsed="false">
      <c r="A352" s="91" t="n">
        <f aca="false">INT((350-1)/12)+1</f>
        <v>30</v>
      </c>
      <c r="B352" s="91" t="n">
        <f aca="false">MOD(350-1,12)+1</f>
        <v>2</v>
      </c>
      <c r="C352" s="92" t="n">
        <f aca="false">Dashboard!$C26</f>
        <v>0</v>
      </c>
      <c r="D352" s="93" t="n">
        <f aca="false">Dashboard!$C26-F$351*(Dashboard!$C10/12)</f>
        <v>-17764.7532120523</v>
      </c>
      <c r="E352" s="94" t="n">
        <f aca="false">F$351*(Dashboard!$C10/12)</f>
        <v>17764.7532120523</v>
      </c>
      <c r="F352" s="92" t="n">
        <f aca="false">MAX(F$351-(Dashboard!$C26-F$351*(Dashboard!$C10/12)),0)</f>
        <v>3063151.0181353</v>
      </c>
      <c r="G352" s="95" t="n">
        <f aca="false">G$351+F$351*(Dashboard!$C10/12)</f>
        <v>2663151.0181353</v>
      </c>
      <c r="H352" s="96" t="n">
        <f aca="false">H$351+Dashboard!$C26-F$351*(Dashboard!$C10/12)</f>
        <v>-2663151.0181353</v>
      </c>
    </row>
    <row r="353" customFormat="false" ht="15" hidden="false" customHeight="true" outlineLevel="0" collapsed="false">
      <c r="A353" s="91" t="n">
        <f aca="false">INT((351-1)/12)+1</f>
        <v>30</v>
      </c>
      <c r="B353" s="91" t="n">
        <f aca="false">MOD(351-1,12)+1</f>
        <v>3</v>
      </c>
      <c r="C353" s="92" t="n">
        <f aca="false">Dashboard!$C26</f>
        <v>0</v>
      </c>
      <c r="D353" s="93" t="n">
        <f aca="false">Dashboard!$C26-F$352*(Dashboard!$C10/12)</f>
        <v>-17868.3809391226</v>
      </c>
      <c r="E353" s="94" t="n">
        <f aca="false">F$352*(Dashboard!$C10/12)</f>
        <v>17868.3809391226</v>
      </c>
      <c r="F353" s="92" t="n">
        <f aca="false">MAX(F$352-(Dashboard!$C26-F$352*(Dashboard!$C10/12)),0)</f>
        <v>3081019.39907442</v>
      </c>
      <c r="G353" s="95" t="n">
        <f aca="false">G$352+F$352*(Dashboard!$C10/12)</f>
        <v>2681019.39907442</v>
      </c>
      <c r="H353" s="96" t="n">
        <f aca="false">H$352+Dashboard!$C26-F$352*(Dashboard!$C10/12)</f>
        <v>-2681019.39907442</v>
      </c>
    </row>
    <row r="354" customFormat="false" ht="15" hidden="false" customHeight="true" outlineLevel="0" collapsed="false">
      <c r="A354" s="91" t="n">
        <f aca="false">INT((352-1)/12)+1</f>
        <v>30</v>
      </c>
      <c r="B354" s="91" t="n">
        <f aca="false">MOD(352-1,12)+1</f>
        <v>4</v>
      </c>
      <c r="C354" s="92" t="n">
        <f aca="false">Dashboard!$C26</f>
        <v>0</v>
      </c>
      <c r="D354" s="93" t="n">
        <f aca="false">Dashboard!$C26-F$353*(Dashboard!$C10/12)</f>
        <v>-17972.6131612675</v>
      </c>
      <c r="E354" s="94" t="n">
        <f aca="false">F$353*(Dashboard!$C10/12)</f>
        <v>17972.6131612675</v>
      </c>
      <c r="F354" s="92" t="n">
        <f aca="false">MAX(F$353-(Dashboard!$C26-F$353*(Dashboard!$C10/12)),0)</f>
        <v>3098992.01223569</v>
      </c>
      <c r="G354" s="95" t="n">
        <f aca="false">G$353+F$353*(Dashboard!$C10/12)</f>
        <v>2698992.01223569</v>
      </c>
      <c r="H354" s="96" t="n">
        <f aca="false">H$353+Dashboard!$C26-F$353*(Dashboard!$C10/12)</f>
        <v>-2698992.01223569</v>
      </c>
    </row>
    <row r="355" customFormat="false" ht="15" hidden="false" customHeight="true" outlineLevel="0" collapsed="false">
      <c r="A355" s="91" t="n">
        <f aca="false">INT((353-1)/12)+1</f>
        <v>30</v>
      </c>
      <c r="B355" s="91" t="n">
        <f aca="false">MOD(353-1,12)+1</f>
        <v>5</v>
      </c>
      <c r="C355" s="92" t="n">
        <f aca="false">Dashboard!$C26</f>
        <v>0</v>
      </c>
      <c r="D355" s="93" t="n">
        <f aca="false">Dashboard!$C26-F$354*(Dashboard!$C10/12)</f>
        <v>-18077.4534047082</v>
      </c>
      <c r="E355" s="94" t="n">
        <f aca="false">F$354*(Dashboard!$C10/12)</f>
        <v>18077.4534047082</v>
      </c>
      <c r="F355" s="92" t="n">
        <f aca="false">MAX(F$354-(Dashboard!$C26-F$354*(Dashboard!$C10/12)),0)</f>
        <v>3117069.4656404</v>
      </c>
      <c r="G355" s="95" t="n">
        <f aca="false">G$354+F$354*(Dashboard!$C10/12)</f>
        <v>2717069.4656404</v>
      </c>
      <c r="H355" s="96" t="n">
        <f aca="false">H$354+Dashboard!$C26-F$354*(Dashboard!$C10/12)</f>
        <v>-2717069.4656404</v>
      </c>
    </row>
    <row r="356" customFormat="false" ht="15" hidden="false" customHeight="true" outlineLevel="0" collapsed="false">
      <c r="A356" s="91" t="n">
        <f aca="false">INT((354-1)/12)+1</f>
        <v>30</v>
      </c>
      <c r="B356" s="91" t="n">
        <f aca="false">MOD(354-1,12)+1</f>
        <v>6</v>
      </c>
      <c r="C356" s="92" t="n">
        <f aca="false">Dashboard!$C26</f>
        <v>0</v>
      </c>
      <c r="D356" s="93" t="n">
        <f aca="false">Dashboard!$C26-F$355*(Dashboard!$C10/12)</f>
        <v>-18182.9052162356</v>
      </c>
      <c r="E356" s="94" t="n">
        <f aca="false">F$355*(Dashboard!$C10/12)</f>
        <v>18182.9052162356</v>
      </c>
      <c r="F356" s="92" t="n">
        <f aca="false">MAX(F$355-(Dashboard!$C26-F$355*(Dashboard!$C10/12)),0)</f>
        <v>3135252.37085663</v>
      </c>
      <c r="G356" s="95" t="n">
        <f aca="false">G$355+F$355*(Dashboard!$C10/12)</f>
        <v>2735252.37085663</v>
      </c>
      <c r="H356" s="96" t="n">
        <f aca="false">H$355+Dashboard!$C26-F$355*(Dashboard!$C10/12)</f>
        <v>-2735252.37085663</v>
      </c>
    </row>
    <row r="357" customFormat="false" ht="15" hidden="false" customHeight="true" outlineLevel="0" collapsed="false">
      <c r="A357" s="91" t="n">
        <f aca="false">INT((355-1)/12)+1</f>
        <v>30</v>
      </c>
      <c r="B357" s="91" t="n">
        <f aca="false">MOD(355-1,12)+1</f>
        <v>7</v>
      </c>
      <c r="C357" s="92" t="n">
        <f aca="false">Dashboard!$C26</f>
        <v>0</v>
      </c>
      <c r="D357" s="93" t="n">
        <f aca="false">Dashboard!$C26-F$356*(Dashboard!$C10/12)</f>
        <v>-18288.9721633304</v>
      </c>
      <c r="E357" s="94" t="n">
        <f aca="false">F$356*(Dashboard!$C10/12)</f>
        <v>18288.9721633304</v>
      </c>
      <c r="F357" s="92" t="n">
        <f aca="false">MAX(F$356-(Dashboard!$C26-F$356*(Dashboard!$C10/12)),0)</f>
        <v>3153541.34301996</v>
      </c>
      <c r="G357" s="95" t="n">
        <f aca="false">G$356+F$356*(Dashboard!$C10/12)</f>
        <v>2753541.34301996</v>
      </c>
      <c r="H357" s="96" t="n">
        <f aca="false">H$356+Dashboard!$C26-F$356*(Dashboard!$C10/12)</f>
        <v>-2753541.34301996</v>
      </c>
    </row>
    <row r="358" customFormat="false" ht="15" hidden="false" customHeight="true" outlineLevel="0" collapsed="false">
      <c r="A358" s="91" t="n">
        <f aca="false">INT((356-1)/12)+1</f>
        <v>30</v>
      </c>
      <c r="B358" s="91" t="n">
        <f aca="false">MOD(356-1,12)+1</f>
        <v>8</v>
      </c>
      <c r="C358" s="92" t="n">
        <f aca="false">Dashboard!$C26</f>
        <v>0</v>
      </c>
      <c r="D358" s="93" t="n">
        <f aca="false">Dashboard!$C26-F$357*(Dashboard!$C10/12)</f>
        <v>-18395.6578342831</v>
      </c>
      <c r="E358" s="94" t="n">
        <f aca="false">F$357*(Dashboard!$C10/12)</f>
        <v>18395.6578342831</v>
      </c>
      <c r="F358" s="92" t="n">
        <f aca="false">MAX(F$357-(Dashboard!$C26-F$357*(Dashboard!$C10/12)),0)</f>
        <v>3171937.00085424</v>
      </c>
      <c r="G358" s="95" t="n">
        <f aca="false">G$357+F$357*(Dashboard!$C10/12)</f>
        <v>2771937.00085424</v>
      </c>
      <c r="H358" s="96" t="n">
        <f aca="false">H$357+Dashboard!$C26-F$357*(Dashboard!$C10/12)</f>
        <v>-2771937.00085424</v>
      </c>
    </row>
    <row r="359" customFormat="false" ht="15" hidden="false" customHeight="true" outlineLevel="0" collapsed="false">
      <c r="A359" s="91" t="n">
        <f aca="false">INT((357-1)/12)+1</f>
        <v>30</v>
      </c>
      <c r="B359" s="91" t="n">
        <f aca="false">MOD(357-1,12)+1</f>
        <v>9</v>
      </c>
      <c r="C359" s="92" t="n">
        <f aca="false">Dashboard!$C26</f>
        <v>0</v>
      </c>
      <c r="D359" s="93" t="n">
        <f aca="false">Dashboard!$C26-F$358*(Dashboard!$C10/12)</f>
        <v>-18502.9658383164</v>
      </c>
      <c r="E359" s="94" t="n">
        <f aca="false">F$358*(Dashboard!$C10/12)</f>
        <v>18502.9658383164</v>
      </c>
      <c r="F359" s="92" t="n">
        <f aca="false">MAX(F$358-(Dashboard!$C26-F$358*(Dashboard!$C10/12)),0)</f>
        <v>3190439.96669256</v>
      </c>
      <c r="G359" s="95" t="n">
        <f aca="false">G$358+F$358*(Dashboard!$C10/12)</f>
        <v>2790439.96669256</v>
      </c>
      <c r="H359" s="96" t="n">
        <f aca="false">H$358+Dashboard!$C26-F$358*(Dashboard!$C10/12)</f>
        <v>-2790439.96669256</v>
      </c>
    </row>
    <row r="360" customFormat="false" ht="15" hidden="false" customHeight="true" outlineLevel="0" collapsed="false">
      <c r="A360" s="91" t="n">
        <f aca="false">INT((358-1)/12)+1</f>
        <v>30</v>
      </c>
      <c r="B360" s="91" t="n">
        <f aca="false">MOD(358-1,12)+1</f>
        <v>10</v>
      </c>
      <c r="C360" s="92" t="n">
        <f aca="false">Dashboard!$C26</f>
        <v>0</v>
      </c>
      <c r="D360" s="93" t="n">
        <f aca="false">Dashboard!$C26-F$359*(Dashboard!$C10/12)</f>
        <v>-18610.8998057066</v>
      </c>
      <c r="E360" s="94" t="n">
        <f aca="false">F$359*(Dashboard!$C10/12)</f>
        <v>18610.8998057066</v>
      </c>
      <c r="F360" s="92" t="n">
        <f aca="false">MAX(F$359-(Dashboard!$C26-F$359*(Dashboard!$C10/12)),0)</f>
        <v>3209050.86649827</v>
      </c>
      <c r="G360" s="95" t="n">
        <f aca="false">G$359+F$359*(Dashboard!$C10/12)</f>
        <v>2809050.86649827</v>
      </c>
      <c r="H360" s="96" t="n">
        <f aca="false">H$359+Dashboard!$C26-F$359*(Dashboard!$C10/12)</f>
        <v>-2809050.86649827</v>
      </c>
    </row>
    <row r="361" customFormat="false" ht="15" hidden="false" customHeight="true" outlineLevel="0" collapsed="false">
      <c r="A361" s="91" t="n">
        <f aca="false">INT((359-1)/12)+1</f>
        <v>30</v>
      </c>
      <c r="B361" s="91" t="n">
        <f aca="false">MOD(359-1,12)+1</f>
        <v>11</v>
      </c>
      <c r="C361" s="92" t="n">
        <f aca="false">Dashboard!$C26</f>
        <v>0</v>
      </c>
      <c r="D361" s="93" t="n">
        <f aca="false">Dashboard!$C26-F$360*(Dashboard!$C10/12)</f>
        <v>-18719.4633879066</v>
      </c>
      <c r="E361" s="94" t="n">
        <f aca="false">F$360*(Dashboard!$C10/12)</f>
        <v>18719.4633879066</v>
      </c>
      <c r="F361" s="92" t="n">
        <f aca="false">MAX(F$360-(Dashboard!$C26-F$360*(Dashboard!$C10/12)),0)</f>
        <v>3227770.32988617</v>
      </c>
      <c r="G361" s="95" t="n">
        <f aca="false">G$360+F$360*(Dashboard!$C10/12)</f>
        <v>2827770.32988617</v>
      </c>
      <c r="H361" s="96" t="n">
        <f aca="false">H$360+Dashboard!$C26-F$360*(Dashboard!$C10/12)</f>
        <v>-2827770.32988617</v>
      </c>
    </row>
    <row r="362" customFormat="false" ht="15" hidden="false" customHeight="true" outlineLevel="0" collapsed="false">
      <c r="A362" s="85" t="n">
        <f aca="false">INT((360-1)/12)+1</f>
        <v>30</v>
      </c>
      <c r="B362" s="85" t="n">
        <f aca="false">MOD(360-1,12)+1</f>
        <v>12</v>
      </c>
      <c r="C362" s="86" t="n">
        <f aca="false">Dashboard!$C26</f>
        <v>0</v>
      </c>
      <c r="D362" s="87" t="n">
        <f aca="false">Dashboard!$C26-F$361*(Dashboard!$C10/12)</f>
        <v>-18828.6602576693</v>
      </c>
      <c r="E362" s="88" t="n">
        <f aca="false">F$361*(Dashboard!$C10/12)</f>
        <v>18828.6602576693</v>
      </c>
      <c r="F362" s="86" t="n">
        <f aca="false">MAX(F$361-(Dashboard!$C26-F$361*(Dashboard!$C10/12)),0)</f>
        <v>3246598.99014384</v>
      </c>
      <c r="G362" s="89" t="n">
        <f aca="false">G$361+F$361*(Dashboard!$C10/12)</f>
        <v>2846598.99014384</v>
      </c>
      <c r="H362" s="90" t="n">
        <f aca="false">H$361+Dashboard!$C26-F$361*(Dashboard!$C10/12)</f>
        <v>-2846598.99014384</v>
      </c>
    </row>
  </sheetData>
  <sheetProtection sheet="true" password="ed9b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2026-02-25T00:30:42Z</dcterms:created>
  <dc:creator>openpyxl</dc:creator>
  <dc:description/>
  <dc:language>en-US</dc:language>
  <cp:lastModifiedBy/>
  <dcterms:modified xsi:type="dcterms:W3CDTF">2026-02-25T00:31:21Z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